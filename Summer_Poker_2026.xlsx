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3286534ab7dec9/Documents/Argano/WSOP/"/>
    </mc:Choice>
  </mc:AlternateContent>
  <xr:revisionPtr revIDLastSave="8789" documentId="13_ncr:1_{D07FAE16-4A18-4822-B416-65B8117D31E7}" xr6:coauthVersionLast="47" xr6:coauthVersionMax="47" xr10:uidLastSave="{7A96A5C7-98D2-414C-A5E6-FA41BBCDA9DC}"/>
  <bookViews>
    <workbookView xWindow="-108" yWindow="-108" windowWidth="23256" windowHeight="13896" activeTab="1" xr2:uid="{00000000-000D-0000-FFFF-FFFF00000000}"/>
  </bookViews>
  <sheets>
    <sheet name="2026_Dates" sheetId="5" r:id="rId1"/>
    <sheet name="2026 Summer Poker" sheetId="4" r:id="rId2"/>
    <sheet name="2025 WSOP" sheetId="14" state="hidden" r:id="rId3"/>
  </sheets>
  <definedNames>
    <definedName name="_xlnm._FilterDatabase" localSheetId="1" hidden="1">'2026 Summer Poker'!$A$1:$AH$1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7" i="4" l="1"/>
  <c r="R1596" i="4"/>
  <c r="R1564" i="4"/>
  <c r="R1533" i="4"/>
  <c r="R1501" i="4"/>
  <c r="R969" i="4"/>
  <c r="R848" i="4"/>
  <c r="R813" i="4"/>
  <c r="R657" i="4"/>
  <c r="S1627" i="4"/>
  <c r="S1596" i="4"/>
  <c r="S1564" i="4"/>
  <c r="S1533" i="4"/>
  <c r="S1501" i="4"/>
  <c r="S969" i="4"/>
  <c r="S657" i="4"/>
  <c r="S619" i="4"/>
  <c r="AH1627" i="4"/>
  <c r="AG1627" i="4"/>
  <c r="AF1627" i="4"/>
  <c r="AE1627" i="4"/>
  <c r="AH1596" i="4"/>
  <c r="AG1596" i="4"/>
  <c r="AF1596" i="4"/>
  <c r="AE1596" i="4"/>
  <c r="AH1564" i="4"/>
  <c r="AG1564" i="4"/>
  <c r="AF1564" i="4"/>
  <c r="AE1564" i="4"/>
  <c r="AH1533" i="4"/>
  <c r="AG1533" i="4"/>
  <c r="AF1533" i="4"/>
  <c r="AE1533" i="4"/>
  <c r="AH1501" i="4"/>
  <c r="AG1501" i="4"/>
  <c r="AF1501" i="4"/>
  <c r="AE1501" i="4"/>
  <c r="AH969" i="4"/>
  <c r="AG969" i="4"/>
  <c r="AF969" i="4"/>
  <c r="AE969" i="4"/>
  <c r="AH848" i="4"/>
  <c r="AG848" i="4"/>
  <c r="AF848" i="4"/>
  <c r="AE848" i="4"/>
  <c r="AH813" i="4"/>
  <c r="AG813" i="4"/>
  <c r="AF813" i="4"/>
  <c r="AE813" i="4"/>
  <c r="AH657" i="4"/>
  <c r="AG657" i="4"/>
  <c r="AF657" i="4"/>
  <c r="AE657" i="4"/>
  <c r="AH619" i="4"/>
  <c r="AG619" i="4"/>
  <c r="AF619" i="4"/>
  <c r="AE619" i="4"/>
  <c r="R619" i="4"/>
  <c r="S1266" i="4"/>
  <c r="AE1266" i="4"/>
  <c r="AH1266" i="4"/>
  <c r="AG1266" i="4"/>
  <c r="AF1266" i="4"/>
  <c r="R1266" i="4"/>
  <c r="S1002" i="4"/>
  <c r="AE1002" i="4"/>
  <c r="AE972" i="4"/>
  <c r="AE957" i="4"/>
  <c r="AE931" i="4"/>
  <c r="AE917" i="4"/>
  <c r="AE890" i="4"/>
  <c r="AE876" i="4"/>
  <c r="AE851" i="4"/>
  <c r="AE961" i="4"/>
  <c r="AE823" i="4"/>
  <c r="AE879" i="4"/>
  <c r="AE839" i="4"/>
  <c r="AE799" i="4"/>
  <c r="AH839" i="4"/>
  <c r="AG839" i="4"/>
  <c r="AF839" i="4"/>
  <c r="S839" i="4"/>
  <c r="R839" i="4"/>
  <c r="AH799" i="4"/>
  <c r="AG799" i="4"/>
  <c r="AF799" i="4"/>
  <c r="S799" i="4"/>
  <c r="R799" i="4"/>
  <c r="S1228" i="4"/>
  <c r="S1190" i="4"/>
  <c r="S1149" i="4"/>
  <c r="S1106" i="4"/>
  <c r="S931" i="4"/>
  <c r="S917" i="4"/>
  <c r="S890" i="4"/>
  <c r="S876" i="4"/>
  <c r="S851" i="4"/>
  <c r="S1287" i="4"/>
  <c r="S1252" i="4"/>
  <c r="S1216" i="4"/>
  <c r="S1207" i="4"/>
  <c r="S1175" i="4"/>
  <c r="S1167" i="4"/>
  <c r="S1133" i="4"/>
  <c r="S1270" i="4"/>
  <c r="S1094" i="4"/>
  <c r="S1064" i="4"/>
  <c r="S1018" i="4"/>
  <c r="S1009" i="4"/>
  <c r="S995" i="4"/>
  <c r="S981" i="4"/>
  <c r="S972" i="4"/>
  <c r="S962" i="4"/>
  <c r="S957" i="4"/>
  <c r="S939" i="4"/>
  <c r="S924" i="4"/>
  <c r="S899" i="4"/>
  <c r="S880" i="4"/>
  <c r="S857" i="4"/>
  <c r="S961" i="4"/>
  <c r="S843" i="4"/>
  <c r="S823" i="4"/>
  <c r="S805" i="4"/>
  <c r="S879" i="4"/>
  <c r="S745" i="4"/>
  <c r="S737" i="4"/>
  <c r="S720" i="4"/>
  <c r="S709" i="4"/>
  <c r="S700" i="4"/>
  <c r="S687" i="4"/>
  <c r="S671" i="4"/>
  <c r="S643" i="4"/>
  <c r="S632" i="4"/>
  <c r="S628" i="4"/>
  <c r="S602" i="4"/>
  <c r="S588" i="4"/>
  <c r="S583" i="4"/>
  <c r="S571" i="4"/>
  <c r="S551" i="4"/>
  <c r="S548" i="4"/>
  <c r="S532" i="4"/>
  <c r="S509" i="4"/>
  <c r="S506" i="4"/>
  <c r="S472" i="4"/>
  <c r="S469" i="4"/>
  <c r="S463" i="4"/>
  <c r="S448" i="4"/>
  <c r="S436" i="4"/>
  <c r="S427" i="4"/>
  <c r="S413" i="4"/>
  <c r="S400" i="4"/>
  <c r="S393" i="4"/>
  <c r="S378" i="4"/>
  <c r="S365" i="4"/>
  <c r="S359" i="4"/>
  <c r="S343" i="4"/>
  <c r="S327" i="4"/>
  <c r="S314" i="4"/>
  <c r="S306" i="4"/>
  <c r="R1228" i="4"/>
  <c r="R1190" i="4"/>
  <c r="R1149" i="4"/>
  <c r="R1106" i="4"/>
  <c r="R931" i="4"/>
  <c r="R917" i="4"/>
  <c r="R890" i="4"/>
  <c r="R876" i="4"/>
  <c r="R851" i="4"/>
  <c r="R1287" i="4"/>
  <c r="R1276" i="4"/>
  <c r="R1252" i="4"/>
  <c r="R1245" i="4"/>
  <c r="R1216" i="4"/>
  <c r="R1207" i="4"/>
  <c r="R1193" i="4"/>
  <c r="R1175" i="4"/>
  <c r="R1167" i="4"/>
  <c r="R1152" i="4"/>
  <c r="R1133" i="4"/>
  <c r="R1127" i="4"/>
  <c r="R1112" i="4"/>
  <c r="R1270" i="4"/>
  <c r="R1094" i="4"/>
  <c r="R1081" i="4"/>
  <c r="R1064" i="4"/>
  <c r="R1018" i="4"/>
  <c r="R1009" i="4"/>
  <c r="R1002" i="4"/>
  <c r="R1000" i="4"/>
  <c r="R995" i="4"/>
  <c r="R981" i="4"/>
  <c r="R972" i="4"/>
  <c r="R962" i="4"/>
  <c r="R957" i="4"/>
  <c r="R939" i="4"/>
  <c r="R924" i="4"/>
  <c r="R922" i="4"/>
  <c r="R899" i="4"/>
  <c r="R880" i="4"/>
  <c r="R857" i="4"/>
  <c r="R961" i="4"/>
  <c r="R843" i="4"/>
  <c r="R840" i="4"/>
  <c r="R823" i="4"/>
  <c r="R805" i="4"/>
  <c r="R800" i="4"/>
  <c r="R879" i="4"/>
  <c r="R745" i="4"/>
  <c r="R737" i="4"/>
  <c r="R732" i="4"/>
  <c r="R720" i="4"/>
  <c r="R709" i="4"/>
  <c r="R700" i="4"/>
  <c r="R691" i="4"/>
  <c r="R687" i="4"/>
  <c r="R671" i="4"/>
  <c r="R660" i="4"/>
  <c r="R648" i="4"/>
  <c r="R643" i="4"/>
  <c r="R632" i="4"/>
  <c r="R628" i="4"/>
  <c r="R608" i="4"/>
  <c r="R602" i="4"/>
  <c r="R588" i="4"/>
  <c r="R583" i="4"/>
  <c r="R571" i="4"/>
  <c r="R551" i="4"/>
  <c r="R548" i="4"/>
  <c r="R532" i="4"/>
  <c r="R509" i="4"/>
  <c r="R506" i="4"/>
  <c r="R472" i="4"/>
  <c r="R469" i="4"/>
  <c r="R463" i="4"/>
  <c r="R452" i="4"/>
  <c r="R448" i="4"/>
  <c r="R436" i="4"/>
  <c r="R427" i="4"/>
  <c r="R417" i="4"/>
  <c r="R413" i="4"/>
  <c r="R400" i="4"/>
  <c r="R393" i="4"/>
  <c r="R382" i="4"/>
  <c r="R378" i="4"/>
  <c r="R365" i="4"/>
  <c r="R359" i="4"/>
  <c r="R347" i="4"/>
  <c r="R343" i="4"/>
  <c r="R327" i="4"/>
  <c r="R321" i="4"/>
  <c r="R314" i="4"/>
  <c r="R306" i="4"/>
  <c r="AH1075" i="4"/>
  <c r="AG1075" i="4"/>
  <c r="AF1075" i="4"/>
  <c r="AE1075" i="4"/>
  <c r="AH1038" i="4"/>
  <c r="AG1038" i="4"/>
  <c r="AF1038" i="4"/>
  <c r="AE1038" i="4"/>
  <c r="AH1001" i="4"/>
  <c r="AG1001" i="4"/>
  <c r="AF1001" i="4"/>
  <c r="AE1001" i="4"/>
  <c r="AH1840" i="4"/>
  <c r="AG1840" i="4"/>
  <c r="AF1840" i="4"/>
  <c r="AE1840" i="4"/>
  <c r="AH1815" i="4"/>
  <c r="AG1815" i="4"/>
  <c r="AF1815" i="4"/>
  <c r="AE1815" i="4"/>
  <c r="AH1809" i="4"/>
  <c r="AG1809" i="4"/>
  <c r="AF1809" i="4"/>
  <c r="AE1809" i="4"/>
  <c r="AH1811" i="4"/>
  <c r="AG1811" i="4"/>
  <c r="AF1811" i="4"/>
  <c r="AE1811" i="4"/>
  <c r="AH1805" i="4"/>
  <c r="AG1805" i="4"/>
  <c r="AF1805" i="4"/>
  <c r="AE1805" i="4"/>
  <c r="AH1798" i="4"/>
  <c r="AG1798" i="4"/>
  <c r="AF1798" i="4"/>
  <c r="AE1798" i="4"/>
  <c r="AH1848" i="4"/>
  <c r="AG1848" i="4"/>
  <c r="AF1848" i="4"/>
  <c r="AE1848" i="4"/>
  <c r="AH1846" i="4"/>
  <c r="AG1846" i="4"/>
  <c r="AF1846" i="4"/>
  <c r="AE1846" i="4"/>
  <c r="AH1841" i="4"/>
  <c r="AG1841" i="4"/>
  <c r="AF1841" i="4"/>
  <c r="AE1841" i="4"/>
  <c r="AH1838" i="4"/>
  <c r="AG1838" i="4"/>
  <c r="AF1838" i="4"/>
  <c r="AE1838" i="4"/>
  <c r="AH1835" i="4"/>
  <c r="AG1835" i="4"/>
  <c r="AF1835" i="4"/>
  <c r="AE1835" i="4"/>
  <c r="AH1832" i="4"/>
  <c r="AG1832" i="4"/>
  <c r="AF1832" i="4"/>
  <c r="AE1832" i="4"/>
  <c r="AH1827" i="4"/>
  <c r="AG1827" i="4"/>
  <c r="AF1827" i="4"/>
  <c r="AE1827" i="4"/>
  <c r="AH1830" i="4"/>
  <c r="AG1830" i="4"/>
  <c r="AF1830" i="4"/>
  <c r="AE1830" i="4"/>
  <c r="AH1824" i="4"/>
  <c r="AG1824" i="4"/>
  <c r="AF1824" i="4"/>
  <c r="AE1824" i="4"/>
  <c r="AH1821" i="4"/>
  <c r="AG1821" i="4"/>
  <c r="AF1821" i="4"/>
  <c r="AE1821" i="4"/>
  <c r="AH1791" i="4"/>
  <c r="AG1791" i="4"/>
  <c r="AF1791" i="4"/>
  <c r="AE1791" i="4"/>
  <c r="AH1781" i="4"/>
  <c r="AG1781" i="4"/>
  <c r="AF1781" i="4"/>
  <c r="AE1781" i="4"/>
  <c r="AH1771" i="4"/>
  <c r="AG1771" i="4"/>
  <c r="AF1771" i="4"/>
  <c r="AE1771" i="4"/>
  <c r="AH1834" i="4"/>
  <c r="AG1834" i="4"/>
  <c r="AF1834" i="4"/>
  <c r="AE1834" i="4"/>
  <c r="AH1829" i="4"/>
  <c r="AG1829" i="4"/>
  <c r="AF1829" i="4"/>
  <c r="AE1829" i="4"/>
  <c r="AH1825" i="4"/>
  <c r="AG1825" i="4"/>
  <c r="AF1825" i="4"/>
  <c r="AE1825" i="4"/>
  <c r="AH1823" i="4"/>
  <c r="AG1823" i="4"/>
  <c r="AF1823" i="4"/>
  <c r="AE1823" i="4"/>
  <c r="AH1817" i="4"/>
  <c r="AG1817" i="4"/>
  <c r="AF1817" i="4"/>
  <c r="AE1817" i="4"/>
  <c r="AH1702" i="4"/>
  <c r="AG1702" i="4"/>
  <c r="AF1702" i="4"/>
  <c r="AE1702" i="4"/>
  <c r="AH1677" i="4"/>
  <c r="AG1677" i="4"/>
  <c r="AF1677" i="4"/>
  <c r="AE1677" i="4"/>
  <c r="AH1646" i="4"/>
  <c r="AG1646" i="4"/>
  <c r="AF1646" i="4"/>
  <c r="AE1646" i="4"/>
  <c r="AH1614" i="4"/>
  <c r="AG1614" i="4"/>
  <c r="AF1614" i="4"/>
  <c r="AE1614" i="4"/>
  <c r="AH1582" i="4"/>
  <c r="AG1582" i="4"/>
  <c r="AF1582" i="4"/>
  <c r="AE1582" i="4"/>
  <c r="AH1503" i="4"/>
  <c r="AG1503" i="4"/>
  <c r="AF1503" i="4"/>
  <c r="AE1503" i="4"/>
  <c r="AH1491" i="4"/>
  <c r="AG1491" i="4"/>
  <c r="AF1491" i="4"/>
  <c r="AE1491" i="4"/>
  <c r="AH1467" i="4"/>
  <c r="AG1467" i="4"/>
  <c r="AF1467" i="4"/>
  <c r="AE1467" i="4"/>
  <c r="AH1454" i="4"/>
  <c r="AG1454" i="4"/>
  <c r="AF1454" i="4"/>
  <c r="AE1454" i="4"/>
  <c r="AH1431" i="4"/>
  <c r="AG1431" i="4"/>
  <c r="AF1431" i="4"/>
  <c r="AE1431" i="4"/>
  <c r="AH1417" i="4"/>
  <c r="AG1417" i="4"/>
  <c r="AF1417" i="4"/>
  <c r="AE1417" i="4"/>
  <c r="AH1392" i="4"/>
  <c r="AG1392" i="4"/>
  <c r="AF1392" i="4"/>
  <c r="AE1392" i="4"/>
  <c r="AH1375" i="4"/>
  <c r="AG1375" i="4"/>
  <c r="AF1375" i="4"/>
  <c r="AE1375" i="4"/>
  <c r="AH1730" i="4"/>
  <c r="AG1730" i="4"/>
  <c r="AF1730" i="4"/>
  <c r="AE1730" i="4"/>
  <c r="AH1703" i="4"/>
  <c r="AG1703" i="4"/>
  <c r="AF1703" i="4"/>
  <c r="AE1703" i="4"/>
  <c r="AH1676" i="4"/>
  <c r="AG1676" i="4"/>
  <c r="AF1676" i="4"/>
  <c r="AE1676" i="4"/>
  <c r="AH1645" i="4"/>
  <c r="AG1645" i="4"/>
  <c r="AF1645" i="4"/>
  <c r="AE1645" i="4"/>
  <c r="AH1521" i="4"/>
  <c r="AG1521" i="4"/>
  <c r="AF1521" i="4"/>
  <c r="AE1521" i="4"/>
  <c r="AH1486" i="4"/>
  <c r="AG1486" i="4"/>
  <c r="AF1486" i="4"/>
  <c r="AE1486" i="4"/>
  <c r="AH1450" i="4"/>
  <c r="AG1450" i="4"/>
  <c r="AF1450" i="4"/>
  <c r="AE1450" i="4"/>
  <c r="AH1413" i="4"/>
  <c r="AG1413" i="4"/>
  <c r="AF1413" i="4"/>
  <c r="AE1413" i="4"/>
  <c r="AH1262" i="4"/>
  <c r="AG1262" i="4"/>
  <c r="AF1262" i="4"/>
  <c r="AE1262" i="4"/>
  <c r="AH1186" i="4"/>
  <c r="AG1186" i="4"/>
  <c r="AF1186" i="4"/>
  <c r="AE1186" i="4"/>
  <c r="AH1146" i="4"/>
  <c r="AG1146" i="4"/>
  <c r="AF1146" i="4"/>
  <c r="AE1146" i="4"/>
  <c r="AH993" i="4"/>
  <c r="AG993" i="4"/>
  <c r="AF993" i="4"/>
  <c r="AE993" i="4"/>
  <c r="AH951" i="4"/>
  <c r="AG951" i="4"/>
  <c r="AF951" i="4"/>
  <c r="AE951" i="4"/>
  <c r="AH909" i="4"/>
  <c r="AG909" i="4"/>
  <c r="AF909" i="4"/>
  <c r="AE909" i="4"/>
  <c r="AH869" i="4"/>
  <c r="AG869" i="4"/>
  <c r="AF869" i="4"/>
  <c r="AE869" i="4"/>
  <c r="AH722" i="4"/>
  <c r="AG722" i="4"/>
  <c r="AF722" i="4"/>
  <c r="AE722" i="4"/>
  <c r="AH684" i="4"/>
  <c r="AG684" i="4"/>
  <c r="AF684" i="4"/>
  <c r="AE684" i="4"/>
  <c r="AH641" i="4"/>
  <c r="AG641" i="4"/>
  <c r="AF641" i="4"/>
  <c r="AE641" i="4"/>
  <c r="AH600" i="4"/>
  <c r="AG600" i="4"/>
  <c r="AF600" i="4"/>
  <c r="AE600" i="4"/>
  <c r="AH445" i="4"/>
  <c r="AG445" i="4"/>
  <c r="AF445" i="4"/>
  <c r="AE445" i="4"/>
  <c r="AH410" i="4"/>
  <c r="AG410" i="4"/>
  <c r="AF410" i="4"/>
  <c r="AE410" i="4"/>
  <c r="AH375" i="4"/>
  <c r="AG375" i="4"/>
  <c r="AF375" i="4"/>
  <c r="AE375" i="4"/>
  <c r="AH340" i="4"/>
  <c r="AG340" i="4"/>
  <c r="AF340" i="4"/>
  <c r="AE340" i="4"/>
  <c r="AH218" i="4"/>
  <c r="AG218" i="4"/>
  <c r="AF218" i="4"/>
  <c r="AE218" i="4"/>
  <c r="AH188" i="4"/>
  <c r="AG188" i="4"/>
  <c r="AF188" i="4"/>
  <c r="AE188" i="4"/>
  <c r="AH156" i="4"/>
  <c r="AG156" i="4"/>
  <c r="AF156" i="4"/>
  <c r="AE156" i="4"/>
  <c r="AH124" i="4"/>
  <c r="AG124" i="4"/>
  <c r="AF124" i="4"/>
  <c r="AE124" i="4"/>
  <c r="AH49" i="4"/>
  <c r="AG49" i="4"/>
  <c r="AF49" i="4"/>
  <c r="AE49" i="4"/>
  <c r="AH585" i="4"/>
  <c r="AG585" i="4"/>
  <c r="AF585" i="4"/>
  <c r="AE585" i="4"/>
  <c r="AH329" i="4"/>
  <c r="AG329" i="4"/>
  <c r="AF329" i="4"/>
  <c r="AE329" i="4"/>
  <c r="AH88" i="4"/>
  <c r="AG88" i="4"/>
  <c r="AF88" i="4"/>
  <c r="AE88" i="4"/>
  <c r="AH43" i="4"/>
  <c r="AG43" i="4"/>
  <c r="AF43" i="4"/>
  <c r="AE43" i="4"/>
  <c r="AH566" i="4"/>
  <c r="AG566" i="4"/>
  <c r="AF566" i="4"/>
  <c r="AE566" i="4"/>
  <c r="AH309" i="4"/>
  <c r="AG309" i="4"/>
  <c r="AF309" i="4"/>
  <c r="AE309" i="4"/>
  <c r="AH80" i="4"/>
  <c r="AG80" i="4"/>
  <c r="AF80" i="4"/>
  <c r="AE80" i="4"/>
  <c r="AH38" i="4"/>
  <c r="AG38" i="4"/>
  <c r="AF38" i="4"/>
  <c r="AE38" i="4"/>
  <c r="AH290" i="4"/>
  <c r="AG290" i="4"/>
  <c r="AF290" i="4"/>
  <c r="AE290" i="4"/>
  <c r="AH236" i="4"/>
  <c r="AG236" i="4"/>
  <c r="AF236" i="4"/>
  <c r="AE236" i="4"/>
  <c r="AH70" i="4"/>
  <c r="AG70" i="4"/>
  <c r="AF70" i="4"/>
  <c r="AE70" i="4"/>
  <c r="AH728" i="4"/>
  <c r="AG728" i="4"/>
  <c r="AF728" i="4"/>
  <c r="AE728" i="4"/>
  <c r="AH544" i="4"/>
  <c r="AG544" i="4"/>
  <c r="AF544" i="4"/>
  <c r="AE544" i="4"/>
  <c r="AH33" i="4"/>
  <c r="AG33" i="4"/>
  <c r="AF33" i="4"/>
  <c r="AE33" i="4"/>
  <c r="AH692" i="4"/>
  <c r="AG692" i="4"/>
  <c r="AF692" i="4"/>
  <c r="AE692" i="4"/>
  <c r="AH527" i="4"/>
  <c r="AG527" i="4"/>
  <c r="AF527" i="4"/>
  <c r="AE527" i="4"/>
  <c r="AH277" i="4"/>
  <c r="AG277" i="4"/>
  <c r="AF277" i="4"/>
  <c r="AE277" i="4"/>
  <c r="AH222" i="4"/>
  <c r="AG222" i="4"/>
  <c r="AF222" i="4"/>
  <c r="AE222" i="4"/>
  <c r="AH63" i="4"/>
  <c r="AG63" i="4"/>
  <c r="AF63" i="4"/>
  <c r="AE63" i="4"/>
  <c r="AH28" i="4"/>
  <c r="AG28" i="4"/>
  <c r="AF28" i="4"/>
  <c r="AE28" i="4"/>
  <c r="AH260" i="4"/>
  <c r="AG260" i="4"/>
  <c r="AF260" i="4"/>
  <c r="AE260" i="4"/>
  <c r="AH58" i="4"/>
  <c r="AG58" i="4"/>
  <c r="AF58" i="4"/>
  <c r="AE58" i="4"/>
  <c r="AH651" i="4"/>
  <c r="AG651" i="4"/>
  <c r="AF651" i="4"/>
  <c r="AE651" i="4"/>
  <c r="AH1621" i="4"/>
  <c r="AG1621" i="4"/>
  <c r="AF1621" i="4"/>
  <c r="AE1621" i="4"/>
  <c r="AH502" i="4"/>
  <c r="AG502" i="4"/>
  <c r="AF502" i="4"/>
  <c r="AE502" i="4"/>
  <c r="AH191" i="4"/>
  <c r="AG191" i="4"/>
  <c r="AF191" i="4"/>
  <c r="AE191" i="4"/>
  <c r="AH27" i="4"/>
  <c r="AG27" i="4"/>
  <c r="AF27" i="4"/>
  <c r="AE27" i="4"/>
  <c r="AH611" i="4"/>
  <c r="AG611" i="4"/>
  <c r="AF611" i="4"/>
  <c r="AE611" i="4"/>
  <c r="AH1588" i="4"/>
  <c r="AG1588" i="4"/>
  <c r="AF1588" i="4"/>
  <c r="AE1588" i="4"/>
  <c r="AH490" i="4"/>
  <c r="AG490" i="4"/>
  <c r="AF490" i="4"/>
  <c r="AE490" i="4"/>
  <c r="AH249" i="4"/>
  <c r="AG249" i="4"/>
  <c r="AF249" i="4"/>
  <c r="AE249" i="4"/>
  <c r="AH159" i="4"/>
  <c r="AG159" i="4"/>
  <c r="AF159" i="4"/>
  <c r="AE159" i="4"/>
  <c r="AH54" i="4"/>
  <c r="AG54" i="4"/>
  <c r="AF54" i="4"/>
  <c r="AE54" i="4"/>
  <c r="AH1607" i="4"/>
  <c r="AG1607" i="4"/>
  <c r="AF1607" i="4"/>
  <c r="AE1607" i="4"/>
  <c r="AH1575" i="4"/>
  <c r="AG1575" i="4"/>
  <c r="AF1575" i="4"/>
  <c r="AE1575" i="4"/>
  <c r="AH1475" i="4"/>
  <c r="AG1475" i="4"/>
  <c r="AF1475" i="4"/>
  <c r="AE1475" i="4"/>
  <c r="AH1217" i="4"/>
  <c r="AG1217" i="4"/>
  <c r="AF1217" i="4"/>
  <c r="AE1217" i="4"/>
  <c r="AH1136" i="4"/>
  <c r="AG1136" i="4"/>
  <c r="AF1136" i="4"/>
  <c r="AE1136" i="4"/>
  <c r="AH983" i="4"/>
  <c r="AG983" i="4"/>
  <c r="AF983" i="4"/>
  <c r="AE983" i="4"/>
  <c r="AH941" i="4"/>
  <c r="AG941" i="4"/>
  <c r="AF941" i="4"/>
  <c r="AE941" i="4"/>
  <c r="AH710" i="4"/>
  <c r="AG710" i="4"/>
  <c r="AF710" i="4"/>
  <c r="AE710" i="4"/>
  <c r="AH672" i="4"/>
  <c r="AG672" i="4"/>
  <c r="AF672" i="4"/>
  <c r="AE672" i="4"/>
  <c r="AH631" i="4"/>
  <c r="AG631" i="4"/>
  <c r="AF631" i="4"/>
  <c r="AE631" i="4"/>
  <c r="AH587" i="4"/>
  <c r="AG587" i="4"/>
  <c r="AF587" i="4"/>
  <c r="AE587" i="4"/>
  <c r="AH437" i="4"/>
  <c r="AG437" i="4"/>
  <c r="AF437" i="4"/>
  <c r="AE437" i="4"/>
  <c r="AH542" i="4"/>
  <c r="AG542" i="4"/>
  <c r="AF542" i="4"/>
  <c r="AE542" i="4"/>
  <c r="AH524" i="4"/>
  <c r="AG524" i="4"/>
  <c r="AF524" i="4"/>
  <c r="AE524" i="4"/>
  <c r="AH500" i="4"/>
  <c r="AG500" i="4"/>
  <c r="AF500" i="4"/>
  <c r="AE500" i="4"/>
  <c r="AH487" i="4"/>
  <c r="AG487" i="4"/>
  <c r="AF487" i="4"/>
  <c r="AE487" i="4"/>
  <c r="AH464" i="4"/>
  <c r="AG464" i="4"/>
  <c r="AF464" i="4"/>
  <c r="AE464" i="4"/>
  <c r="AH450" i="4"/>
  <c r="AG450" i="4"/>
  <c r="AF450" i="4"/>
  <c r="AE450" i="4"/>
  <c r="AH428" i="4"/>
  <c r="AG428" i="4"/>
  <c r="AF428" i="4"/>
  <c r="AE428" i="4"/>
  <c r="AH1660" i="4"/>
  <c r="AG1660" i="4"/>
  <c r="AF1660" i="4"/>
  <c r="AE1660" i="4"/>
  <c r="AH1648" i="4"/>
  <c r="AG1648" i="4"/>
  <c r="AF1648" i="4"/>
  <c r="AE1648" i="4"/>
  <c r="AH1631" i="4"/>
  <c r="AG1631" i="4"/>
  <c r="AF1631" i="4"/>
  <c r="AE1631" i="4"/>
  <c r="AH1616" i="4"/>
  <c r="AG1616" i="4"/>
  <c r="AF1616" i="4"/>
  <c r="AE1616" i="4"/>
  <c r="AH1599" i="4"/>
  <c r="AG1599" i="4"/>
  <c r="AF1599" i="4"/>
  <c r="AE1599" i="4"/>
  <c r="AH1353" i="4"/>
  <c r="AG1353" i="4"/>
  <c r="AF1353" i="4"/>
  <c r="AE1353" i="4"/>
  <c r="AH1337" i="4"/>
  <c r="AG1337" i="4"/>
  <c r="AF1337" i="4"/>
  <c r="AE1337" i="4"/>
  <c r="AH360" i="4"/>
  <c r="AG360" i="4"/>
  <c r="AF360" i="4"/>
  <c r="AE360" i="4"/>
  <c r="AH345" i="4"/>
  <c r="AG345" i="4"/>
  <c r="AF345" i="4"/>
  <c r="AE345" i="4"/>
  <c r="AH322" i="4"/>
  <c r="AG322" i="4"/>
  <c r="AF322" i="4"/>
  <c r="AE322" i="4"/>
  <c r="AH1088" i="4"/>
  <c r="AG1088" i="4"/>
  <c r="AF1088" i="4"/>
  <c r="AE1088" i="4"/>
  <c r="AH1067" i="4"/>
  <c r="AG1067" i="4"/>
  <c r="AF1067" i="4"/>
  <c r="AE1067" i="4"/>
  <c r="AH1734" i="4"/>
  <c r="AG1734" i="4"/>
  <c r="AF1734" i="4"/>
  <c r="AE1734" i="4"/>
  <c r="AH1757" i="4"/>
  <c r="AG1757" i="4"/>
  <c r="AF1757" i="4"/>
  <c r="AE1757" i="4"/>
  <c r="AH1159" i="4"/>
  <c r="AG1159" i="4"/>
  <c r="AF1159" i="4"/>
  <c r="AE1159" i="4"/>
  <c r="AH1653" i="4"/>
  <c r="AG1653" i="4"/>
  <c r="AF1653" i="4"/>
  <c r="AE1653" i="4"/>
  <c r="AH1420" i="4"/>
  <c r="AG1420" i="4"/>
  <c r="AF1420" i="4"/>
  <c r="AE1420" i="4"/>
  <c r="AH1379" i="4"/>
  <c r="AG1379" i="4"/>
  <c r="AF1379" i="4"/>
  <c r="AE1379" i="4"/>
  <c r="AH1341" i="4"/>
  <c r="AG1341" i="4"/>
  <c r="AF1341" i="4"/>
  <c r="AE1341" i="4"/>
  <c r="AH1271" i="4"/>
  <c r="AG1271" i="4"/>
  <c r="AF1271" i="4"/>
  <c r="AE1271" i="4"/>
  <c r="AH1234" i="4"/>
  <c r="AG1234" i="4"/>
  <c r="AF1234" i="4"/>
  <c r="AE1234" i="4"/>
  <c r="AH1197" i="4"/>
  <c r="AG1197" i="4"/>
  <c r="AF1197" i="4"/>
  <c r="AE1197" i="4"/>
  <c r="AH959" i="4"/>
  <c r="AG959" i="4"/>
  <c r="AF959" i="4"/>
  <c r="AE959" i="4"/>
  <c r="AH919" i="4"/>
  <c r="AG919" i="4"/>
  <c r="AF919" i="4"/>
  <c r="AE919" i="4"/>
  <c r="AH353" i="4"/>
  <c r="AG353" i="4"/>
  <c r="AF353" i="4"/>
  <c r="AE353" i="4"/>
  <c r="AH1707" i="4"/>
  <c r="AG1707" i="4"/>
  <c r="AF1707" i="4"/>
  <c r="AE1707" i="4"/>
  <c r="AH419" i="4"/>
  <c r="AG419" i="4"/>
  <c r="AF419" i="4"/>
  <c r="AE419" i="4"/>
  <c r="AH386" i="4"/>
  <c r="AG386" i="4"/>
  <c r="AF386" i="4"/>
  <c r="AE386" i="4"/>
  <c r="AH1738" i="4"/>
  <c r="AG1738" i="4"/>
  <c r="AF1738" i="4"/>
  <c r="AE1738" i="4"/>
  <c r="AH1749" i="4"/>
  <c r="AG1749" i="4"/>
  <c r="AF1749" i="4"/>
  <c r="AE1749" i="4"/>
  <c r="AH1696" i="4"/>
  <c r="AG1696" i="4"/>
  <c r="AF1696" i="4"/>
  <c r="AE1696" i="4"/>
  <c r="AH1669" i="4"/>
  <c r="AG1669" i="4"/>
  <c r="AF1669" i="4"/>
  <c r="AE1669" i="4"/>
  <c r="AH1609" i="4"/>
  <c r="AG1609" i="4"/>
  <c r="AF1609" i="4"/>
  <c r="AE1609" i="4"/>
  <c r="AH1577" i="4"/>
  <c r="AG1577" i="4"/>
  <c r="AF1577" i="4"/>
  <c r="AE1577" i="4"/>
  <c r="AH1531" i="4"/>
  <c r="AG1531" i="4"/>
  <c r="AF1531" i="4"/>
  <c r="AE1531" i="4"/>
  <c r="AH1544" i="4"/>
  <c r="AG1544" i="4"/>
  <c r="AF1544" i="4"/>
  <c r="AE1544" i="4"/>
  <c r="AH1477" i="4"/>
  <c r="AG1477" i="4"/>
  <c r="AF1477" i="4"/>
  <c r="AE1477" i="4"/>
  <c r="AH1439" i="4"/>
  <c r="AG1439" i="4"/>
  <c r="AF1439" i="4"/>
  <c r="AE1439" i="4"/>
  <c r="AH1361" i="4"/>
  <c r="AG1361" i="4"/>
  <c r="AF1361" i="4"/>
  <c r="AE1361" i="4"/>
  <c r="AH1327" i="4"/>
  <c r="AG1327" i="4"/>
  <c r="AF1327" i="4"/>
  <c r="AE1327" i="4"/>
  <c r="AH1291" i="4"/>
  <c r="AG1291" i="4"/>
  <c r="AF1291" i="4"/>
  <c r="AE1291" i="4"/>
  <c r="AH1219" i="4"/>
  <c r="AG1219" i="4"/>
  <c r="AF1219" i="4"/>
  <c r="AE1219" i="4"/>
  <c r="AH1177" i="4"/>
  <c r="AG1177" i="4"/>
  <c r="AF1177" i="4"/>
  <c r="AE1177" i="4"/>
  <c r="AH1098" i="4"/>
  <c r="AG1098" i="4"/>
  <c r="AF1098" i="4"/>
  <c r="AE1098" i="4"/>
  <c r="AH1057" i="4"/>
  <c r="AG1057" i="4"/>
  <c r="AF1057" i="4"/>
  <c r="AE1057" i="4"/>
  <c r="AH1006" i="4"/>
  <c r="AG1006" i="4"/>
  <c r="AF1006" i="4"/>
  <c r="AE1006" i="4"/>
  <c r="AH1020" i="4"/>
  <c r="AG1020" i="4"/>
  <c r="AF1020" i="4"/>
  <c r="AE1020" i="4"/>
  <c r="AH943" i="4"/>
  <c r="AG943" i="4"/>
  <c r="AF943" i="4"/>
  <c r="AE943" i="4"/>
  <c r="AH902" i="4"/>
  <c r="AG902" i="4"/>
  <c r="AF902" i="4"/>
  <c r="AE902" i="4"/>
  <c r="AH826" i="4"/>
  <c r="AG826" i="4"/>
  <c r="AF826" i="4"/>
  <c r="AE826" i="4"/>
  <c r="AH784" i="4"/>
  <c r="AG784" i="4"/>
  <c r="AF784" i="4"/>
  <c r="AE784" i="4"/>
  <c r="AH733" i="4"/>
  <c r="AG733" i="4"/>
  <c r="AF733" i="4"/>
  <c r="AE733" i="4"/>
  <c r="AH747" i="4"/>
  <c r="AG747" i="4"/>
  <c r="AF747" i="4"/>
  <c r="AE747" i="4"/>
  <c r="AH674" i="4"/>
  <c r="AG674" i="4"/>
  <c r="AF674" i="4"/>
  <c r="AE674" i="4"/>
  <c r="AH634" i="4"/>
  <c r="AG634" i="4"/>
  <c r="AF634" i="4"/>
  <c r="AE634" i="4"/>
  <c r="AH553" i="4"/>
  <c r="AG553" i="4"/>
  <c r="AF553" i="4"/>
  <c r="AE553" i="4"/>
  <c r="AH511" i="4"/>
  <c r="AG511" i="4"/>
  <c r="AF511" i="4"/>
  <c r="AE511" i="4"/>
  <c r="AH459" i="4"/>
  <c r="AG459" i="4"/>
  <c r="AF459" i="4"/>
  <c r="AE459" i="4"/>
  <c r="AH474" i="4"/>
  <c r="AG474" i="4"/>
  <c r="AF474" i="4"/>
  <c r="AE474" i="4"/>
  <c r="AH404" i="4"/>
  <c r="AG404" i="4"/>
  <c r="AF404" i="4"/>
  <c r="AE404" i="4"/>
  <c r="AH369" i="4"/>
  <c r="AG369" i="4"/>
  <c r="AF369" i="4"/>
  <c r="AE369" i="4"/>
  <c r="AH297" i="4"/>
  <c r="AG297" i="4"/>
  <c r="AF297" i="4"/>
  <c r="AE297" i="4"/>
  <c r="AH267" i="4"/>
  <c r="AG267" i="4"/>
  <c r="AF267" i="4"/>
  <c r="AE267" i="4"/>
  <c r="AH228" i="4"/>
  <c r="AG228" i="4"/>
  <c r="AF228" i="4"/>
  <c r="AE228" i="4"/>
  <c r="AH239" i="4"/>
  <c r="AG239" i="4"/>
  <c r="AF239" i="4"/>
  <c r="AE239" i="4"/>
  <c r="AH183" i="4"/>
  <c r="AG183" i="4"/>
  <c r="AF183" i="4"/>
  <c r="AE183" i="4"/>
  <c r="AH151" i="4"/>
  <c r="AG151" i="4"/>
  <c r="AF151" i="4"/>
  <c r="AE151" i="4"/>
  <c r="AH94" i="4"/>
  <c r="AG94" i="4"/>
  <c r="AF94" i="4"/>
  <c r="AE94" i="4"/>
  <c r="AH73" i="4"/>
  <c r="AG73" i="4"/>
  <c r="AF73" i="4"/>
  <c r="AE73" i="4"/>
  <c r="AH1759" i="4"/>
  <c r="AG1759" i="4"/>
  <c r="AF1759" i="4"/>
  <c r="AE1759" i="4"/>
  <c r="AH1743" i="4"/>
  <c r="AG1743" i="4"/>
  <c r="AF1743" i="4"/>
  <c r="AE1743" i="4"/>
  <c r="AH113" i="4"/>
  <c r="AG113" i="4"/>
  <c r="AF113" i="4"/>
  <c r="AE113" i="4"/>
  <c r="AH894" i="4"/>
  <c r="AG894" i="4"/>
  <c r="AF894" i="4"/>
  <c r="AE894" i="4"/>
  <c r="AH818" i="4"/>
  <c r="AG818" i="4"/>
  <c r="AF818" i="4"/>
  <c r="AE818" i="4"/>
  <c r="AH778" i="4"/>
  <c r="AG778" i="4"/>
  <c r="AF778" i="4"/>
  <c r="AE778" i="4"/>
  <c r="AH624" i="4"/>
  <c r="AG624" i="4"/>
  <c r="AF624" i="4"/>
  <c r="AE624" i="4"/>
  <c r="AH430" i="4"/>
  <c r="AG430" i="4"/>
  <c r="AF430" i="4"/>
  <c r="AE430" i="4"/>
  <c r="AH397" i="4"/>
  <c r="AG397" i="4"/>
  <c r="AF397" i="4"/>
  <c r="AE397" i="4"/>
  <c r="AH362" i="4"/>
  <c r="AG362" i="4"/>
  <c r="AF362" i="4"/>
  <c r="AE362" i="4"/>
  <c r="AH206" i="4"/>
  <c r="AG206" i="4"/>
  <c r="AF206" i="4"/>
  <c r="AE206" i="4"/>
  <c r="AH176" i="4"/>
  <c r="AG176" i="4"/>
  <c r="AF176" i="4"/>
  <c r="AE176" i="4"/>
  <c r="AH144" i="4"/>
  <c r="AG144" i="4"/>
  <c r="AF144" i="4"/>
  <c r="AE144" i="4"/>
  <c r="AH1715" i="4"/>
  <c r="AG1715" i="4"/>
  <c r="AF1715" i="4"/>
  <c r="AE1715" i="4"/>
  <c r="AH1690" i="4"/>
  <c r="AG1690" i="4"/>
  <c r="AF1690" i="4"/>
  <c r="AE1690" i="4"/>
  <c r="AH1662" i="4"/>
  <c r="AG1662" i="4"/>
  <c r="AF1662" i="4"/>
  <c r="AE1662" i="4"/>
  <c r="AH1601" i="4"/>
  <c r="AG1601" i="4"/>
  <c r="AF1601" i="4"/>
  <c r="AE1601" i="4"/>
  <c r="AH1536" i="4"/>
  <c r="AG1536" i="4"/>
  <c r="AF1536" i="4"/>
  <c r="AE1536" i="4"/>
  <c r="AH1505" i="4"/>
  <c r="AG1505" i="4"/>
  <c r="AF1505" i="4"/>
  <c r="AE1505" i="4"/>
  <c r="AH1469" i="4"/>
  <c r="AG1469" i="4"/>
  <c r="AF1469" i="4"/>
  <c r="AE1469" i="4"/>
  <c r="AH1433" i="4"/>
  <c r="AG1433" i="4"/>
  <c r="AF1433" i="4"/>
  <c r="AE1433" i="4"/>
  <c r="AH1394" i="4"/>
  <c r="AG1394" i="4"/>
  <c r="AF1394" i="4"/>
  <c r="AE1394" i="4"/>
  <c r="AH1355" i="4"/>
  <c r="AG1355" i="4"/>
  <c r="AF1355" i="4"/>
  <c r="AE1355" i="4"/>
  <c r="AH1321" i="4"/>
  <c r="AG1321" i="4"/>
  <c r="AF1321" i="4"/>
  <c r="AE1321" i="4"/>
  <c r="AH1283" i="4"/>
  <c r="AG1283" i="4"/>
  <c r="AF1283" i="4"/>
  <c r="AE1283" i="4"/>
  <c r="AH1248" i="4"/>
  <c r="AG1248" i="4"/>
  <c r="AF1248" i="4"/>
  <c r="AE1248" i="4"/>
  <c r="AH1210" i="4"/>
  <c r="AG1210" i="4"/>
  <c r="AF1210" i="4"/>
  <c r="AE1210" i="4"/>
  <c r="AH1170" i="4"/>
  <c r="AG1170" i="4"/>
  <c r="AF1170" i="4"/>
  <c r="AE1170" i="4"/>
  <c r="AH1130" i="4"/>
  <c r="AG1130" i="4"/>
  <c r="AF1130" i="4"/>
  <c r="AE1130" i="4"/>
  <c r="AH935" i="4"/>
  <c r="AG935" i="4"/>
  <c r="AF935" i="4"/>
  <c r="AE935" i="4"/>
  <c r="AH859" i="4"/>
  <c r="AG859" i="4"/>
  <c r="AF859" i="4"/>
  <c r="AE859" i="4"/>
  <c r="AH1573" i="4"/>
  <c r="AG1573" i="4"/>
  <c r="AF1573" i="4"/>
  <c r="AE1573" i="4"/>
  <c r="AH837" i="4"/>
  <c r="AG837" i="4"/>
  <c r="AF837" i="4"/>
  <c r="AE837" i="4"/>
  <c r="AH1555" i="4"/>
  <c r="AG1555" i="4"/>
  <c r="AF1555" i="4"/>
  <c r="AE1555" i="4"/>
  <c r="AH797" i="4"/>
  <c r="AG797" i="4"/>
  <c r="AF797" i="4"/>
  <c r="AE797" i="4"/>
  <c r="AH1524" i="4"/>
  <c r="AG1524" i="4"/>
  <c r="AF1524" i="4"/>
  <c r="AE1524" i="4"/>
  <c r="AH760" i="4"/>
  <c r="AG760" i="4"/>
  <c r="AF760" i="4"/>
  <c r="AE760" i="4"/>
  <c r="AH1492" i="4"/>
  <c r="AG1492" i="4"/>
  <c r="AF1492" i="4"/>
  <c r="AE1492" i="4"/>
  <c r="AH1068" i="4"/>
  <c r="AG1068" i="4"/>
  <c r="AF1068" i="4"/>
  <c r="AE1068" i="4"/>
  <c r="AH893" i="4"/>
  <c r="AG893" i="4"/>
  <c r="AF893" i="4"/>
  <c r="AE893" i="4"/>
  <c r="AH525" i="4"/>
  <c r="AG525" i="4"/>
  <c r="AF525" i="4"/>
  <c r="AE525" i="4"/>
  <c r="AH248" i="4"/>
  <c r="AG248" i="4"/>
  <c r="AF248" i="4"/>
  <c r="AE248" i="4"/>
  <c r="AH1584" i="4"/>
  <c r="AG1584" i="4"/>
  <c r="AF1584" i="4"/>
  <c r="AE1584" i="4"/>
  <c r="AH1230" i="4"/>
  <c r="AG1230" i="4"/>
  <c r="AF1230" i="4"/>
  <c r="AE1230" i="4"/>
  <c r="AH1032" i="4"/>
  <c r="AG1032" i="4"/>
  <c r="AF1032" i="4"/>
  <c r="AE1032" i="4"/>
  <c r="AH956" i="4"/>
  <c r="AG956" i="4"/>
  <c r="AF956" i="4"/>
  <c r="AE956" i="4"/>
  <c r="AH759" i="4"/>
  <c r="AG759" i="4"/>
  <c r="AF759" i="4"/>
  <c r="AE759" i="4"/>
  <c r="AH646" i="4"/>
  <c r="AG646" i="4"/>
  <c r="AF646" i="4"/>
  <c r="AE646" i="4"/>
  <c r="AH605" i="4"/>
  <c r="AG605" i="4"/>
  <c r="AF605" i="4"/>
  <c r="AE605" i="4"/>
  <c r="AH416" i="4"/>
  <c r="AG416" i="4"/>
  <c r="AF416" i="4"/>
  <c r="AE416" i="4"/>
  <c r="AH346" i="4"/>
  <c r="AG346" i="4"/>
  <c r="AF346" i="4"/>
  <c r="AE346" i="4"/>
  <c r="AH190" i="4"/>
  <c r="AG190" i="4"/>
  <c r="AF190" i="4"/>
  <c r="AE190" i="4"/>
  <c r="AH41" i="4"/>
  <c r="AG41" i="4"/>
  <c r="AF41" i="4"/>
  <c r="AE41" i="4"/>
  <c r="AH1160" i="4"/>
  <c r="AG1160" i="4"/>
  <c r="AF1160" i="4"/>
  <c r="AE1160" i="4"/>
  <c r="AH1691" i="4"/>
  <c r="AG1691" i="4"/>
  <c r="AF1691" i="4"/>
  <c r="AE1691" i="4"/>
  <c r="AH1663" i="4"/>
  <c r="AG1663" i="4"/>
  <c r="AF1663" i="4"/>
  <c r="AE1663" i="4"/>
  <c r="AH1470" i="4"/>
  <c r="AG1470" i="4"/>
  <c r="AF1470" i="4"/>
  <c r="AE1470" i="4"/>
  <c r="AH1434" i="4"/>
  <c r="AG1434" i="4"/>
  <c r="AF1434" i="4"/>
  <c r="AE1434" i="4"/>
  <c r="AH1211" i="4"/>
  <c r="AG1211" i="4"/>
  <c r="AF1211" i="4"/>
  <c r="AE1211" i="4"/>
  <c r="AH1171" i="4"/>
  <c r="AG1171" i="4"/>
  <c r="AF1171" i="4"/>
  <c r="AE1171" i="4"/>
  <c r="AH936" i="4"/>
  <c r="AG936" i="4"/>
  <c r="AF936" i="4"/>
  <c r="AE936" i="4"/>
  <c r="AH895" i="4"/>
  <c r="AG895" i="4"/>
  <c r="AF895" i="4"/>
  <c r="AE895" i="4"/>
  <c r="AH666" i="4"/>
  <c r="AG666" i="4"/>
  <c r="AF666" i="4"/>
  <c r="AE666" i="4"/>
  <c r="AH625" i="4"/>
  <c r="AG625" i="4"/>
  <c r="AF625" i="4"/>
  <c r="AE625" i="4"/>
  <c r="AH398" i="4"/>
  <c r="AG398" i="4"/>
  <c r="AF398" i="4"/>
  <c r="AE398" i="4"/>
  <c r="AH363" i="4"/>
  <c r="AG363" i="4"/>
  <c r="AF363" i="4"/>
  <c r="AE363" i="4"/>
  <c r="AH177" i="4"/>
  <c r="AG177" i="4"/>
  <c r="AF177" i="4"/>
  <c r="AE177" i="4"/>
  <c r="AH145" i="4"/>
  <c r="AG145" i="4"/>
  <c r="AF145" i="4"/>
  <c r="AE145" i="4"/>
  <c r="AH1716" i="4"/>
  <c r="AG1716" i="4"/>
  <c r="AF1716" i="4"/>
  <c r="AE1716" i="4"/>
  <c r="AH1506" i="4"/>
  <c r="AG1506" i="4"/>
  <c r="AF1506" i="4"/>
  <c r="AE1506" i="4"/>
  <c r="AH1249" i="4"/>
  <c r="AG1249" i="4"/>
  <c r="AF1249" i="4"/>
  <c r="AE1249" i="4"/>
  <c r="AH977" i="4"/>
  <c r="AG977" i="4"/>
  <c r="AF977" i="4"/>
  <c r="AE977" i="4"/>
  <c r="AH704" i="4"/>
  <c r="AG704" i="4"/>
  <c r="AF704" i="4"/>
  <c r="AE704" i="4"/>
  <c r="AH431" i="4"/>
  <c r="AG431" i="4"/>
  <c r="AF431" i="4"/>
  <c r="AE431" i="4"/>
  <c r="AH207" i="4"/>
  <c r="AG207" i="4"/>
  <c r="AF207" i="4"/>
  <c r="AE207" i="4"/>
  <c r="AH884" i="4"/>
  <c r="AG884" i="4"/>
  <c r="AF884" i="4"/>
  <c r="AE884" i="4"/>
  <c r="AH1048" i="4"/>
  <c r="AG1048" i="4"/>
  <c r="AF1048" i="4"/>
  <c r="AE1048" i="4"/>
  <c r="AH1031" i="4"/>
  <c r="AG1031" i="4"/>
  <c r="AF1031" i="4"/>
  <c r="AE1031" i="4"/>
  <c r="AH1010" i="4"/>
  <c r="AG1010" i="4"/>
  <c r="AF1010" i="4"/>
  <c r="AE1010" i="4"/>
  <c r="AH997" i="4"/>
  <c r="AG997" i="4"/>
  <c r="AF997" i="4"/>
  <c r="AE997" i="4"/>
  <c r="AH974" i="4"/>
  <c r="AG974" i="4"/>
  <c r="AF974" i="4"/>
  <c r="AE974" i="4"/>
  <c r="AH892" i="4"/>
  <c r="AG892" i="4"/>
  <c r="AF892" i="4"/>
  <c r="AE892" i="4"/>
  <c r="AH872" i="4"/>
  <c r="AG872" i="4"/>
  <c r="AF872" i="4"/>
  <c r="AE872" i="4"/>
  <c r="AH816" i="4"/>
  <c r="AG816" i="4"/>
  <c r="AF816" i="4"/>
  <c r="AE816" i="4"/>
  <c r="AH795" i="4"/>
  <c r="AG795" i="4"/>
  <c r="AF795" i="4"/>
  <c r="AE795" i="4"/>
  <c r="AH776" i="4"/>
  <c r="AG776" i="4"/>
  <c r="AF776" i="4"/>
  <c r="AE776" i="4"/>
  <c r="AH758" i="4"/>
  <c r="AG758" i="4"/>
  <c r="AF758" i="4"/>
  <c r="AE758" i="4"/>
  <c r="AH739" i="4"/>
  <c r="AG739" i="4"/>
  <c r="AF739" i="4"/>
  <c r="AE739" i="4"/>
  <c r="AH725" i="4"/>
  <c r="AG725" i="4"/>
  <c r="AF725" i="4"/>
  <c r="AE725" i="4"/>
  <c r="AH701" i="4"/>
  <c r="AG701" i="4"/>
  <c r="AF701" i="4"/>
  <c r="AE701" i="4"/>
  <c r="AH1681" i="4"/>
  <c r="AG1681" i="4"/>
  <c r="AF1681" i="4"/>
  <c r="AE1681" i="4"/>
  <c r="AH1553" i="4"/>
  <c r="AG1553" i="4"/>
  <c r="AF1553" i="4"/>
  <c r="AE1553" i="4"/>
  <c r="AH1535" i="4"/>
  <c r="AG1535" i="4"/>
  <c r="AF1535" i="4"/>
  <c r="AE1535" i="4"/>
  <c r="AH1520" i="4"/>
  <c r="AG1520" i="4"/>
  <c r="AF1520" i="4"/>
  <c r="AE1520" i="4"/>
  <c r="AH1110" i="4"/>
  <c r="AG1110" i="4"/>
  <c r="AF1110" i="4"/>
  <c r="AE1110" i="4"/>
  <c r="AH1090" i="4"/>
  <c r="AG1090" i="4"/>
  <c r="AF1090" i="4"/>
  <c r="AE1090" i="4"/>
  <c r="AH1074" i="4"/>
  <c r="AG1074" i="4"/>
  <c r="AF1074" i="4"/>
  <c r="AE1074" i="4"/>
  <c r="AH1050" i="4"/>
  <c r="AG1050" i="4"/>
  <c r="AF1050" i="4"/>
  <c r="AE1050" i="4"/>
  <c r="AH1037" i="4"/>
  <c r="AG1037" i="4"/>
  <c r="AF1037" i="4"/>
  <c r="AE1037" i="4"/>
  <c r="AH1012" i="4"/>
  <c r="AG1012" i="4"/>
  <c r="AF1012" i="4"/>
  <c r="AE1012" i="4"/>
  <c r="AH1005" i="4"/>
  <c r="AG1005" i="4"/>
  <c r="AF1005" i="4"/>
  <c r="AE1005" i="4"/>
  <c r="AH976" i="4"/>
  <c r="AG976" i="4"/>
  <c r="AF976" i="4"/>
  <c r="AE976" i="4"/>
  <c r="AH1504" i="4"/>
  <c r="AG1504" i="4"/>
  <c r="AF1504" i="4"/>
  <c r="AE1504" i="4"/>
  <c r="AH703" i="4"/>
  <c r="AG703" i="4"/>
  <c r="AF703" i="4"/>
  <c r="AE703" i="4"/>
  <c r="AH664" i="4"/>
  <c r="AG664" i="4"/>
  <c r="AF664" i="4"/>
  <c r="AE664" i="4"/>
  <c r="AH616" i="4"/>
  <c r="AG616" i="4"/>
  <c r="AF616" i="4"/>
  <c r="AE616" i="4"/>
  <c r="AH1279" i="4"/>
  <c r="AG1279" i="4"/>
  <c r="AF1279" i="4"/>
  <c r="AE1279" i="4"/>
  <c r="AH1618" i="4"/>
  <c r="AG1618" i="4"/>
  <c r="AF1618" i="4"/>
  <c r="AE1618" i="4"/>
  <c r="AH790" i="4"/>
  <c r="AG790" i="4"/>
  <c r="AF790" i="4"/>
  <c r="AE790" i="4"/>
  <c r="AH809" i="4"/>
  <c r="AG809" i="4"/>
  <c r="AF809" i="4"/>
  <c r="AE809" i="4"/>
  <c r="AH769" i="4"/>
  <c r="AG769" i="4"/>
  <c r="AF769" i="4"/>
  <c r="AE769" i="4"/>
  <c r="AH1592" i="4"/>
  <c r="AG1592" i="4"/>
  <c r="AF1592" i="4"/>
  <c r="AE1592" i="4"/>
  <c r="AH1466" i="4"/>
  <c r="AG1466" i="4"/>
  <c r="AF1466" i="4"/>
  <c r="AE1466" i="4"/>
  <c r="AH1430" i="4"/>
  <c r="AG1430" i="4"/>
  <c r="AF1430" i="4"/>
  <c r="AE1430" i="4"/>
  <c r="AH1390" i="4"/>
  <c r="AG1390" i="4"/>
  <c r="AF1390" i="4"/>
  <c r="AE1390" i="4"/>
  <c r="AH1351" i="4"/>
  <c r="AG1351" i="4"/>
  <c r="AF1351" i="4"/>
  <c r="AE1351" i="4"/>
  <c r="AH1307" i="4"/>
  <c r="AG1307" i="4"/>
  <c r="AF1307" i="4"/>
  <c r="AE1307" i="4"/>
  <c r="AH1033" i="4"/>
  <c r="AG1033" i="4"/>
  <c r="AF1033" i="4"/>
  <c r="AE1033" i="4"/>
  <c r="AH916" i="4"/>
  <c r="AG916" i="4"/>
  <c r="AF916" i="4"/>
  <c r="AE916" i="4"/>
  <c r="AH1432" i="4"/>
  <c r="AG1432" i="4"/>
  <c r="AF1432" i="4"/>
  <c r="AE1432" i="4"/>
  <c r="AH1393" i="4"/>
  <c r="AG1393" i="4"/>
  <c r="AF1393" i="4"/>
  <c r="AE1393" i="4"/>
  <c r="AH1377" i="4"/>
  <c r="AG1377" i="4"/>
  <c r="AF1377" i="4"/>
  <c r="AE1377" i="4"/>
  <c r="AH1319" i="4"/>
  <c r="AG1319" i="4"/>
  <c r="AF1319" i="4"/>
  <c r="AE1319" i="4"/>
  <c r="AH1302" i="4"/>
  <c r="AG1302" i="4"/>
  <c r="AF1302" i="4"/>
  <c r="AE1302" i="4"/>
  <c r="AH1281" i="4"/>
  <c r="AG1281" i="4"/>
  <c r="AF1281" i="4"/>
  <c r="AE1281" i="4"/>
  <c r="AH1633" i="4"/>
  <c r="AG1633" i="4"/>
  <c r="AF1633" i="4"/>
  <c r="AE1633" i="4"/>
  <c r="AH1395" i="4"/>
  <c r="AG1395" i="4"/>
  <c r="AF1395" i="4"/>
  <c r="AE1395" i="4"/>
  <c r="AH1131" i="4"/>
  <c r="AG1131" i="4"/>
  <c r="AF1131" i="4"/>
  <c r="AE1131" i="4"/>
  <c r="AH854" i="4"/>
  <c r="AG854" i="4"/>
  <c r="AF854" i="4"/>
  <c r="AE854" i="4"/>
  <c r="AH580" i="4"/>
  <c r="AG580" i="4"/>
  <c r="AF580" i="4"/>
  <c r="AE580" i="4"/>
  <c r="AH325" i="4"/>
  <c r="AG325" i="4"/>
  <c r="AF325" i="4"/>
  <c r="AE325" i="4"/>
  <c r="AH114" i="4"/>
  <c r="AG114" i="4"/>
  <c r="AF114" i="4"/>
  <c r="AE114" i="4"/>
  <c r="AH1613" i="4"/>
  <c r="AG1613" i="4"/>
  <c r="AF1613" i="4"/>
  <c r="AE1613" i="4"/>
  <c r="AH1371" i="4"/>
  <c r="AG1371" i="4"/>
  <c r="AF1371" i="4"/>
  <c r="AE1371" i="4"/>
  <c r="AH1104" i="4"/>
  <c r="AG1104" i="4"/>
  <c r="AF1104" i="4"/>
  <c r="AE1104" i="4"/>
  <c r="AH832" i="4"/>
  <c r="AG832" i="4"/>
  <c r="AF832" i="4"/>
  <c r="AE832" i="4"/>
  <c r="AH561" i="4"/>
  <c r="AG561" i="4"/>
  <c r="AF561" i="4"/>
  <c r="AE561" i="4"/>
  <c r="AH304" i="4"/>
  <c r="AG304" i="4"/>
  <c r="AF304" i="4"/>
  <c r="AE304" i="4"/>
  <c r="AH98" i="4"/>
  <c r="AG98" i="4"/>
  <c r="AF98" i="4"/>
  <c r="AE98" i="4"/>
  <c r="AH1602" i="4"/>
  <c r="AG1602" i="4"/>
  <c r="AF1602" i="4"/>
  <c r="AE1602" i="4"/>
  <c r="AH1356" i="4"/>
  <c r="AG1356" i="4"/>
  <c r="AF1356" i="4"/>
  <c r="AE1356" i="4"/>
  <c r="AH1091" i="4"/>
  <c r="AG1091" i="4"/>
  <c r="AF1091" i="4"/>
  <c r="AE1091" i="4"/>
  <c r="AH819" i="4"/>
  <c r="AG819" i="4"/>
  <c r="AF819" i="4"/>
  <c r="AE819" i="4"/>
  <c r="AH545" i="4"/>
  <c r="AG545" i="4"/>
  <c r="AF545" i="4"/>
  <c r="AE545" i="4"/>
  <c r="AH291" i="4"/>
  <c r="AG291" i="4"/>
  <c r="AF291" i="4"/>
  <c r="AE291" i="4"/>
  <c r="AH89" i="4"/>
  <c r="AG89" i="4"/>
  <c r="AF89" i="4"/>
  <c r="AE89" i="4"/>
  <c r="AH1581" i="4"/>
  <c r="AG1581" i="4"/>
  <c r="AF1581" i="4"/>
  <c r="AE1581" i="4"/>
  <c r="AH1334" i="4"/>
  <c r="AG1334" i="4"/>
  <c r="AF1334" i="4"/>
  <c r="AE1334" i="4"/>
  <c r="AH1062" i="4"/>
  <c r="AG1062" i="4"/>
  <c r="AF1062" i="4"/>
  <c r="AE1062" i="4"/>
  <c r="AH791" i="4"/>
  <c r="AG791" i="4"/>
  <c r="AF791" i="4"/>
  <c r="AE791" i="4"/>
  <c r="AH518" i="4"/>
  <c r="AG518" i="4"/>
  <c r="AF518" i="4"/>
  <c r="AE518" i="4"/>
  <c r="AH273" i="4"/>
  <c r="AG273" i="4"/>
  <c r="AF273" i="4"/>
  <c r="AE273" i="4"/>
  <c r="AH75" i="4"/>
  <c r="AG75" i="4"/>
  <c r="AF75" i="4"/>
  <c r="AE75" i="4"/>
  <c r="AH1569" i="4"/>
  <c r="AG1569" i="4"/>
  <c r="AF1569" i="4"/>
  <c r="AE1569" i="4"/>
  <c r="AH1322" i="4"/>
  <c r="AG1322" i="4"/>
  <c r="AF1322" i="4"/>
  <c r="AE1322" i="4"/>
  <c r="AH1051" i="4"/>
  <c r="AG1051" i="4"/>
  <c r="AF1051" i="4"/>
  <c r="AE1051" i="4"/>
  <c r="AH779" i="4"/>
  <c r="AG779" i="4"/>
  <c r="AF779" i="4"/>
  <c r="AE779" i="4"/>
  <c r="AH503" i="4"/>
  <c r="AG503" i="4"/>
  <c r="AF503" i="4"/>
  <c r="AE503" i="4"/>
  <c r="AH261" i="4"/>
  <c r="AG261" i="4"/>
  <c r="AF261" i="4"/>
  <c r="AE261" i="4"/>
  <c r="AH71" i="4"/>
  <c r="AG71" i="4"/>
  <c r="AF71" i="4"/>
  <c r="AE71" i="4"/>
  <c r="AH1550" i="4"/>
  <c r="AG1550" i="4"/>
  <c r="AF1550" i="4"/>
  <c r="AE1550" i="4"/>
  <c r="AH1298" i="4"/>
  <c r="AG1298" i="4"/>
  <c r="AF1298" i="4"/>
  <c r="AE1298" i="4"/>
  <c r="AH1027" i="4"/>
  <c r="AG1027" i="4"/>
  <c r="AF1027" i="4"/>
  <c r="AE1027" i="4"/>
  <c r="AH755" i="4"/>
  <c r="AG755" i="4"/>
  <c r="AF755" i="4"/>
  <c r="AE755" i="4"/>
  <c r="AH481" i="4"/>
  <c r="AG481" i="4"/>
  <c r="AF481" i="4"/>
  <c r="AE481" i="4"/>
  <c r="AH245" i="4"/>
  <c r="AG245" i="4"/>
  <c r="AF245" i="4"/>
  <c r="AE245" i="4"/>
  <c r="AH60" i="4"/>
  <c r="AG60" i="4"/>
  <c r="AF60" i="4"/>
  <c r="AE60" i="4"/>
  <c r="AH538" i="4"/>
  <c r="AG538" i="4"/>
  <c r="AF538" i="4"/>
  <c r="AE538" i="4"/>
  <c r="AH1871" i="4"/>
  <c r="AG1871" i="4"/>
  <c r="AF1871" i="4"/>
  <c r="AE1871" i="4"/>
  <c r="AH1870" i="4"/>
  <c r="AG1870" i="4"/>
  <c r="AF1870" i="4"/>
  <c r="AE1870" i="4"/>
  <c r="AH1869" i="4"/>
  <c r="AG1869" i="4"/>
  <c r="AF1869" i="4"/>
  <c r="AE1869" i="4"/>
  <c r="AH1868" i="4"/>
  <c r="AG1868" i="4"/>
  <c r="AF1868" i="4"/>
  <c r="AE1868" i="4"/>
  <c r="AH1867" i="4"/>
  <c r="AG1867" i="4"/>
  <c r="AF1867" i="4"/>
  <c r="AE1867" i="4"/>
  <c r="AH1866" i="4"/>
  <c r="AG1866" i="4"/>
  <c r="AF1866" i="4"/>
  <c r="AE1866" i="4"/>
  <c r="AH1865" i="4"/>
  <c r="AG1865" i="4"/>
  <c r="AF1865" i="4"/>
  <c r="AE1865" i="4"/>
  <c r="AH1864" i="4"/>
  <c r="AG1864" i="4"/>
  <c r="AF1864" i="4"/>
  <c r="AE1864" i="4"/>
  <c r="AH1863" i="4"/>
  <c r="AG1863" i="4"/>
  <c r="AF1863" i="4"/>
  <c r="AE1863" i="4"/>
  <c r="AH1862" i="4"/>
  <c r="AG1862" i="4"/>
  <c r="AF1862" i="4"/>
  <c r="AE1862" i="4"/>
  <c r="AH1861" i="4"/>
  <c r="AG1861" i="4"/>
  <c r="AF1861" i="4"/>
  <c r="AE1861" i="4"/>
  <c r="AH1860" i="4"/>
  <c r="AG1860" i="4"/>
  <c r="AF1860" i="4"/>
  <c r="AE1860" i="4"/>
  <c r="AH1859" i="4"/>
  <c r="AG1859" i="4"/>
  <c r="AF1859" i="4"/>
  <c r="AE1859" i="4"/>
  <c r="AH1858" i="4"/>
  <c r="AG1858" i="4"/>
  <c r="AF1858" i="4"/>
  <c r="AE1858" i="4"/>
  <c r="AH1857" i="4"/>
  <c r="AG1857" i="4"/>
  <c r="AF1857" i="4"/>
  <c r="AE1857" i="4"/>
  <c r="AH1856" i="4"/>
  <c r="AG1856" i="4"/>
  <c r="AF1856" i="4"/>
  <c r="AE1856" i="4"/>
  <c r="AH1855" i="4"/>
  <c r="AG1855" i="4"/>
  <c r="AF1855" i="4"/>
  <c r="AE1855" i="4"/>
  <c r="AH1854" i="4"/>
  <c r="AG1854" i="4"/>
  <c r="AF1854" i="4"/>
  <c r="AE1854" i="4"/>
  <c r="AH1853" i="4"/>
  <c r="AG1853" i="4"/>
  <c r="AF1853" i="4"/>
  <c r="AE1853" i="4"/>
  <c r="AH1849" i="4"/>
  <c r="AG1849" i="4"/>
  <c r="AF1849" i="4"/>
  <c r="AE1849" i="4"/>
  <c r="AH1847" i="4"/>
  <c r="AG1847" i="4"/>
  <c r="AF1847" i="4"/>
  <c r="AE1847" i="4"/>
  <c r="AH923" i="4"/>
  <c r="AG923" i="4"/>
  <c r="AF923" i="4"/>
  <c r="AE923" i="4"/>
  <c r="AH842" i="4"/>
  <c r="AG842" i="4"/>
  <c r="AF842" i="4"/>
  <c r="AE842" i="4"/>
  <c r="AH455" i="4"/>
  <c r="AG455" i="4"/>
  <c r="AF455" i="4"/>
  <c r="AE455" i="4"/>
  <c r="AH165" i="4"/>
  <c r="AG165" i="4"/>
  <c r="AF165" i="4"/>
  <c r="AE165" i="4"/>
  <c r="AH133" i="4"/>
  <c r="AG133" i="4"/>
  <c r="AF133" i="4"/>
  <c r="AE133" i="4"/>
  <c r="AH1148" i="4"/>
  <c r="AG1148" i="4"/>
  <c r="AF1148" i="4"/>
  <c r="AE1148" i="4"/>
  <c r="AH953" i="4"/>
  <c r="AG953" i="4"/>
  <c r="AF953" i="4"/>
  <c r="AE953" i="4"/>
  <c r="AH792" i="4"/>
  <c r="AG792" i="4"/>
  <c r="AF792" i="4"/>
  <c r="AE792" i="4"/>
  <c r="AH562" i="4"/>
  <c r="AG562" i="4"/>
  <c r="AF562" i="4"/>
  <c r="AE562" i="4"/>
  <c r="AH274" i="4"/>
  <c r="AG274" i="4"/>
  <c r="AF274" i="4"/>
  <c r="AE274" i="4"/>
  <c r="AH246" i="4"/>
  <c r="AG246" i="4"/>
  <c r="AF246" i="4"/>
  <c r="AE246" i="4"/>
  <c r="AH1731" i="4"/>
  <c r="AG1731" i="4"/>
  <c r="AF1731" i="4"/>
  <c r="AE1731" i="4"/>
  <c r="AH1063" i="4"/>
  <c r="AG1063" i="4"/>
  <c r="AF1063" i="4"/>
  <c r="AE1063" i="4"/>
  <c r="AH1842" i="4"/>
  <c r="AG1842" i="4"/>
  <c r="AF1842" i="4"/>
  <c r="AE1842" i="4"/>
  <c r="AH1229" i="4"/>
  <c r="AG1229" i="4"/>
  <c r="AF1229" i="4"/>
  <c r="AE1229" i="4"/>
  <c r="AH1150" i="4"/>
  <c r="AG1150" i="4"/>
  <c r="AF1150" i="4"/>
  <c r="AE1150" i="4"/>
  <c r="AH1297" i="4"/>
  <c r="AG1297" i="4"/>
  <c r="AF1297" i="4"/>
  <c r="AE1297" i="4"/>
  <c r="AH1839" i="4"/>
  <c r="AG1839" i="4"/>
  <c r="AF1839" i="4"/>
  <c r="AE1839" i="4"/>
  <c r="AH1108" i="4"/>
  <c r="AG1108" i="4"/>
  <c r="AF1108" i="4"/>
  <c r="AE1108" i="4"/>
  <c r="AH1264" i="4"/>
  <c r="AG1264" i="4"/>
  <c r="AF1264" i="4"/>
  <c r="AE1264" i="4"/>
  <c r="AH1833" i="4"/>
  <c r="AG1833" i="4"/>
  <c r="AF1833" i="4"/>
  <c r="AE1833" i="4"/>
  <c r="AH1114" i="4"/>
  <c r="AG1114" i="4"/>
  <c r="AF1114" i="4"/>
  <c r="AE1114" i="4"/>
  <c r="AH1828" i="4"/>
  <c r="AG1828" i="4"/>
  <c r="AF1828" i="4"/>
  <c r="AE1828" i="4"/>
  <c r="AH1226" i="4"/>
  <c r="AG1226" i="4"/>
  <c r="AF1226" i="4"/>
  <c r="AE1226" i="4"/>
  <c r="AH1822" i="4"/>
  <c r="AG1822" i="4"/>
  <c r="AF1822" i="4"/>
  <c r="AE1822" i="4"/>
  <c r="AH1818" i="4"/>
  <c r="AG1818" i="4"/>
  <c r="AF1818" i="4"/>
  <c r="AE1818" i="4"/>
  <c r="AH1816" i="4"/>
  <c r="AG1816" i="4"/>
  <c r="AF1816" i="4"/>
  <c r="AE1816" i="4"/>
  <c r="AH1813" i="4"/>
  <c r="AG1813" i="4"/>
  <c r="AF1813" i="4"/>
  <c r="AE1813" i="4"/>
  <c r="AH1812" i="4"/>
  <c r="AG1812" i="4"/>
  <c r="AF1812" i="4"/>
  <c r="AE1812" i="4"/>
  <c r="AH1810" i="4"/>
  <c r="AG1810" i="4"/>
  <c r="AF1810" i="4"/>
  <c r="AE1810" i="4"/>
  <c r="AH1071" i="4"/>
  <c r="AG1071" i="4"/>
  <c r="AF1071" i="4"/>
  <c r="AE1071" i="4"/>
  <c r="AH1806" i="4"/>
  <c r="AG1806" i="4"/>
  <c r="AF1806" i="4"/>
  <c r="AE1806" i="4"/>
  <c r="AH1803" i="4"/>
  <c r="AG1803" i="4"/>
  <c r="AF1803" i="4"/>
  <c r="AE1803" i="4"/>
  <c r="AH1802" i="4"/>
  <c r="AG1802" i="4"/>
  <c r="AF1802" i="4"/>
  <c r="AE1802" i="4"/>
  <c r="AH1799" i="4"/>
  <c r="AG1799" i="4"/>
  <c r="AF1799" i="4"/>
  <c r="AE1799" i="4"/>
  <c r="AH1797" i="4"/>
  <c r="AG1797" i="4"/>
  <c r="AF1797" i="4"/>
  <c r="AE1797" i="4"/>
  <c r="AH1796" i="4"/>
  <c r="AG1796" i="4"/>
  <c r="AF1796" i="4"/>
  <c r="AE1796" i="4"/>
  <c r="AH1792" i="4"/>
  <c r="AG1792" i="4"/>
  <c r="AF1792" i="4"/>
  <c r="AE1792" i="4"/>
  <c r="AH1788" i="4"/>
  <c r="AG1788" i="4"/>
  <c r="AF1788" i="4"/>
  <c r="AE1788" i="4"/>
  <c r="AH1787" i="4"/>
  <c r="AG1787" i="4"/>
  <c r="AF1787" i="4"/>
  <c r="AE1787" i="4"/>
  <c r="AH1783" i="4"/>
  <c r="AG1783" i="4"/>
  <c r="AF1783" i="4"/>
  <c r="AE1783" i="4"/>
  <c r="AH1778" i="4"/>
  <c r="AG1778" i="4"/>
  <c r="AF1778" i="4"/>
  <c r="AE1778" i="4"/>
  <c r="AH1777" i="4"/>
  <c r="AG1777" i="4"/>
  <c r="AF1777" i="4"/>
  <c r="AE1777" i="4"/>
  <c r="AH1775" i="4"/>
  <c r="AG1775" i="4"/>
  <c r="AF1775" i="4"/>
  <c r="AE1775" i="4"/>
  <c r="AH1770" i="4"/>
  <c r="AG1770" i="4"/>
  <c r="AF1770" i="4"/>
  <c r="AE1770" i="4"/>
  <c r="AH1760" i="4"/>
  <c r="AG1760" i="4"/>
  <c r="AF1760" i="4"/>
  <c r="AE1760" i="4"/>
  <c r="AH1756" i="4"/>
  <c r="AG1756" i="4"/>
  <c r="AF1756" i="4"/>
  <c r="AE1756" i="4"/>
  <c r="AH1745" i="4"/>
  <c r="AG1745" i="4"/>
  <c r="AF1745" i="4"/>
  <c r="AE1745" i="4"/>
  <c r="AH1735" i="4"/>
  <c r="AG1735" i="4"/>
  <c r="AF1735" i="4"/>
  <c r="AE1735" i="4"/>
  <c r="AH1717" i="4"/>
  <c r="AG1717" i="4"/>
  <c r="AF1717" i="4"/>
  <c r="AE1717" i="4"/>
  <c r="AH1704" i="4"/>
  <c r="AG1704" i="4"/>
  <c r="AF1704" i="4"/>
  <c r="AE1704" i="4"/>
  <c r="AH1189" i="4"/>
  <c r="AG1189" i="4"/>
  <c r="AF1189" i="4"/>
  <c r="AE1189" i="4"/>
  <c r="AH1185" i="4"/>
  <c r="AG1185" i="4"/>
  <c r="AF1185" i="4"/>
  <c r="AE1185" i="4"/>
  <c r="AH1664" i="4"/>
  <c r="AG1664" i="4"/>
  <c r="AF1664" i="4"/>
  <c r="AE1664" i="4"/>
  <c r="AH1634" i="4"/>
  <c r="AG1634" i="4"/>
  <c r="AF1634" i="4"/>
  <c r="AE1634" i="4"/>
  <c r="AH1107" i="4"/>
  <c r="AG1107" i="4"/>
  <c r="AF1107" i="4"/>
  <c r="AE1107" i="4"/>
  <c r="AH1603" i="4"/>
  <c r="AG1603" i="4"/>
  <c r="AF1603" i="4"/>
  <c r="AE1603" i="4"/>
  <c r="AH955" i="4"/>
  <c r="AG955" i="4"/>
  <c r="AF955" i="4"/>
  <c r="AE955" i="4"/>
  <c r="AH1551" i="4"/>
  <c r="AG1551" i="4"/>
  <c r="AF1551" i="4"/>
  <c r="AE1551" i="4"/>
  <c r="AH914" i="4"/>
  <c r="AG914" i="4"/>
  <c r="AF914" i="4"/>
  <c r="AE914" i="4"/>
  <c r="AH224" i="4"/>
  <c r="AG224" i="4"/>
  <c r="AF224" i="4"/>
  <c r="AE224" i="4"/>
  <c r="AH412" i="4"/>
  <c r="AG412" i="4"/>
  <c r="AF412" i="4"/>
  <c r="AE412" i="4"/>
  <c r="AH377" i="4"/>
  <c r="AG377" i="4"/>
  <c r="AF377" i="4"/>
  <c r="AE377" i="4"/>
  <c r="AH1522" i="4"/>
  <c r="AG1522" i="4"/>
  <c r="AF1522" i="4"/>
  <c r="AE1522" i="4"/>
  <c r="AH1487" i="4"/>
  <c r="AG1487" i="4"/>
  <c r="AF1487" i="4"/>
  <c r="AE1487" i="4"/>
  <c r="AH918" i="4"/>
  <c r="AG918" i="4"/>
  <c r="AF918" i="4"/>
  <c r="AE918" i="4"/>
  <c r="AH852" i="4"/>
  <c r="AG852" i="4"/>
  <c r="AF852" i="4"/>
  <c r="AE852" i="4"/>
  <c r="AH835" i="4"/>
  <c r="AG835" i="4"/>
  <c r="AF835" i="4"/>
  <c r="AE835" i="4"/>
  <c r="AH1066" i="4"/>
  <c r="AG1066" i="4"/>
  <c r="AF1066" i="4"/>
  <c r="AE1066" i="4"/>
  <c r="AH1706" i="4"/>
  <c r="AG1706" i="4"/>
  <c r="AF1706" i="4"/>
  <c r="AE1706" i="4"/>
  <c r="AH1689" i="4"/>
  <c r="AG1689" i="4"/>
  <c r="AF1689" i="4"/>
  <c r="AE1689" i="4"/>
  <c r="AH1679" i="4"/>
  <c r="AG1679" i="4"/>
  <c r="AF1679" i="4"/>
  <c r="AE1679" i="4"/>
  <c r="AH841" i="4"/>
  <c r="AG841" i="4"/>
  <c r="AF841" i="4"/>
  <c r="AE841" i="4"/>
  <c r="AH801" i="4"/>
  <c r="AG801" i="4"/>
  <c r="AF801" i="4"/>
  <c r="AE801" i="4"/>
  <c r="AH1451" i="4"/>
  <c r="AG1451" i="4"/>
  <c r="AF1451" i="4"/>
  <c r="AE1451" i="4"/>
  <c r="AH1424" i="4"/>
  <c r="AG1424" i="4"/>
  <c r="AF1424" i="4"/>
  <c r="AE1424" i="4"/>
  <c r="AH1419" i="4"/>
  <c r="AG1419" i="4"/>
  <c r="AF1419" i="4"/>
  <c r="AE1419" i="4"/>
  <c r="AH1414" i="4"/>
  <c r="AG1414" i="4"/>
  <c r="AF1414" i="4"/>
  <c r="AE1414" i="4"/>
  <c r="AH1391" i="4"/>
  <c r="AG1391" i="4"/>
  <c r="AF1391" i="4"/>
  <c r="AE1391" i="4"/>
  <c r="AH1378" i="4"/>
  <c r="AG1378" i="4"/>
  <c r="AF1378" i="4"/>
  <c r="AE1378" i="4"/>
  <c r="AH1372" i="4"/>
  <c r="AG1372" i="4"/>
  <c r="AF1372" i="4"/>
  <c r="AE1372" i="4"/>
  <c r="AH1352" i="4"/>
  <c r="AG1352" i="4"/>
  <c r="AF1352" i="4"/>
  <c r="AE1352" i="4"/>
  <c r="AH1342" i="4"/>
  <c r="AG1342" i="4"/>
  <c r="AF1342" i="4"/>
  <c r="AE1342" i="4"/>
  <c r="AH1335" i="4"/>
  <c r="AG1335" i="4"/>
  <c r="AF1335" i="4"/>
  <c r="AE1335" i="4"/>
  <c r="AH1317" i="4"/>
  <c r="AG1317" i="4"/>
  <c r="AF1317" i="4"/>
  <c r="AE1317" i="4"/>
  <c r="AH1316" i="4"/>
  <c r="AG1316" i="4"/>
  <c r="AF1316" i="4"/>
  <c r="AE1316" i="4"/>
  <c r="AH1410" i="4"/>
  <c r="AG1410" i="4"/>
  <c r="AF1410" i="4"/>
  <c r="AE1410" i="4"/>
  <c r="AH1369" i="4"/>
  <c r="AG1369" i="4"/>
  <c r="AF1369" i="4"/>
  <c r="AE1369" i="4"/>
  <c r="AH1396" i="4"/>
  <c r="AG1396" i="4"/>
  <c r="AF1396" i="4"/>
  <c r="AE1396" i="4"/>
  <c r="AH1357" i="4"/>
  <c r="AG1357" i="4"/>
  <c r="AF1357" i="4"/>
  <c r="AE1357" i="4"/>
  <c r="AH1418" i="4"/>
  <c r="AG1418" i="4"/>
  <c r="AF1418" i="4"/>
  <c r="AE1418" i="4"/>
  <c r="AH1376" i="4"/>
  <c r="AG1376" i="4"/>
  <c r="AF1376" i="4"/>
  <c r="AE1376" i="4"/>
  <c r="AH645" i="4"/>
  <c r="AG645" i="4"/>
  <c r="AF645" i="4"/>
  <c r="AE645" i="4"/>
  <c r="AH1299" i="4"/>
  <c r="AG1299" i="4"/>
  <c r="AF1299" i="4"/>
  <c r="AE1299" i="4"/>
  <c r="AH1058" i="4"/>
  <c r="AG1058" i="4"/>
  <c r="AF1058" i="4"/>
  <c r="AE1058" i="4"/>
  <c r="AH867" i="4"/>
  <c r="AG867" i="4"/>
  <c r="AF867" i="4"/>
  <c r="AE867" i="4"/>
  <c r="AH856" i="4"/>
  <c r="AG856" i="4"/>
  <c r="AF856" i="4"/>
  <c r="AE856" i="4"/>
  <c r="AH1718" i="4"/>
  <c r="AG1718" i="4"/>
  <c r="AF1718" i="4"/>
  <c r="AE1718" i="4"/>
  <c r="AH1692" i="4"/>
  <c r="AG1692" i="4"/>
  <c r="AF1692" i="4"/>
  <c r="AE1692" i="4"/>
  <c r="AH1665" i="4"/>
  <c r="AG1665" i="4"/>
  <c r="AF1665" i="4"/>
  <c r="AE1665" i="4"/>
  <c r="AH1635" i="4"/>
  <c r="AG1635" i="4"/>
  <c r="AF1635" i="4"/>
  <c r="AE1635" i="4"/>
  <c r="AH1604" i="4"/>
  <c r="AG1604" i="4"/>
  <c r="AF1604" i="4"/>
  <c r="AE1604" i="4"/>
  <c r="AH1570" i="4"/>
  <c r="AG1570" i="4"/>
  <c r="AF1570" i="4"/>
  <c r="AE1570" i="4"/>
  <c r="AH1538" i="4"/>
  <c r="AG1538" i="4"/>
  <c r="AF1538" i="4"/>
  <c r="AE1538" i="4"/>
  <c r="AH1471" i="4"/>
  <c r="AG1471" i="4"/>
  <c r="AF1471" i="4"/>
  <c r="AE1471" i="4"/>
  <c r="AH1251" i="4"/>
  <c r="AG1251" i="4"/>
  <c r="AF1251" i="4"/>
  <c r="AE1251" i="4"/>
  <c r="AH1213" i="4"/>
  <c r="AG1213" i="4"/>
  <c r="AF1213" i="4"/>
  <c r="AE1213" i="4"/>
  <c r="AH1172" i="4"/>
  <c r="AG1172" i="4"/>
  <c r="AF1172" i="4"/>
  <c r="AE1172" i="4"/>
  <c r="AH1132" i="4"/>
  <c r="AG1132" i="4"/>
  <c r="AF1132" i="4"/>
  <c r="AE1132" i="4"/>
  <c r="AH1093" i="4"/>
  <c r="AG1093" i="4"/>
  <c r="AF1093" i="4"/>
  <c r="AE1093" i="4"/>
  <c r="AH1053" i="4"/>
  <c r="AG1053" i="4"/>
  <c r="AF1053" i="4"/>
  <c r="AE1053" i="4"/>
  <c r="AH1015" i="4"/>
  <c r="AG1015" i="4"/>
  <c r="AF1015" i="4"/>
  <c r="AE1015" i="4"/>
  <c r="AH979" i="4"/>
  <c r="AG979" i="4"/>
  <c r="AF979" i="4"/>
  <c r="AE979" i="4"/>
  <c r="AH937" i="4"/>
  <c r="AG937" i="4"/>
  <c r="AF937" i="4"/>
  <c r="AE937" i="4"/>
  <c r="AH897" i="4"/>
  <c r="AG897" i="4"/>
  <c r="AF897" i="4"/>
  <c r="AE897" i="4"/>
  <c r="AH821" i="4"/>
  <c r="AG821" i="4"/>
  <c r="AF821" i="4"/>
  <c r="AE821" i="4"/>
  <c r="AH780" i="4"/>
  <c r="AG780" i="4"/>
  <c r="AF780" i="4"/>
  <c r="AE780" i="4"/>
  <c r="AH668" i="4"/>
  <c r="AG668" i="4"/>
  <c r="AF668" i="4"/>
  <c r="AE668" i="4"/>
  <c r="AH627" i="4"/>
  <c r="AG627" i="4"/>
  <c r="AF627" i="4"/>
  <c r="AE627" i="4"/>
  <c r="AH582" i="4"/>
  <c r="AG582" i="4"/>
  <c r="AF582" i="4"/>
  <c r="AE582" i="4"/>
  <c r="AH547" i="4"/>
  <c r="AG547" i="4"/>
  <c r="AF547" i="4"/>
  <c r="AE547" i="4"/>
  <c r="AH505" i="4"/>
  <c r="AG505" i="4"/>
  <c r="AF505" i="4"/>
  <c r="AE505" i="4"/>
  <c r="AH468" i="4"/>
  <c r="AG468" i="4"/>
  <c r="AF468" i="4"/>
  <c r="AE468" i="4"/>
  <c r="AH433" i="4"/>
  <c r="AG433" i="4"/>
  <c r="AF433" i="4"/>
  <c r="AE433" i="4"/>
  <c r="AH399" i="4"/>
  <c r="AG399" i="4"/>
  <c r="AF399" i="4"/>
  <c r="AE399" i="4"/>
  <c r="AH364" i="4"/>
  <c r="AG364" i="4"/>
  <c r="AF364" i="4"/>
  <c r="AE364" i="4"/>
  <c r="AH326" i="4"/>
  <c r="AG326" i="4"/>
  <c r="AF326" i="4"/>
  <c r="AE326" i="4"/>
  <c r="AH293" i="4"/>
  <c r="AG293" i="4"/>
  <c r="AF293" i="4"/>
  <c r="AE293" i="4"/>
  <c r="AH263" i="4"/>
  <c r="AG263" i="4"/>
  <c r="AF263" i="4"/>
  <c r="AE263" i="4"/>
  <c r="AH234" i="4"/>
  <c r="AG234" i="4"/>
  <c r="AF234" i="4"/>
  <c r="AE234" i="4"/>
  <c r="AH209" i="4"/>
  <c r="AG209" i="4"/>
  <c r="AF209" i="4"/>
  <c r="AE209" i="4"/>
  <c r="AH179" i="4"/>
  <c r="AG179" i="4"/>
  <c r="AF179" i="4"/>
  <c r="AE179" i="4"/>
  <c r="AH147" i="4"/>
  <c r="AG147" i="4"/>
  <c r="AF147" i="4"/>
  <c r="AE147" i="4"/>
  <c r="AH116" i="4"/>
  <c r="AG116" i="4"/>
  <c r="AF116" i="4"/>
  <c r="AE116" i="4"/>
  <c r="AH1560" i="4"/>
  <c r="AG1560" i="4"/>
  <c r="AF1560" i="4"/>
  <c r="AE1560" i="4"/>
  <c r="AH1529" i="4"/>
  <c r="AG1529" i="4"/>
  <c r="AF1529" i="4"/>
  <c r="AE1529" i="4"/>
  <c r="AH1498" i="4"/>
  <c r="AG1498" i="4"/>
  <c r="AF1498" i="4"/>
  <c r="AE1498" i="4"/>
  <c r="AH1462" i="4"/>
  <c r="AG1462" i="4"/>
  <c r="AF1462" i="4"/>
  <c r="AE1462" i="4"/>
  <c r="AH1426" i="4"/>
  <c r="AG1426" i="4"/>
  <c r="AF1426" i="4"/>
  <c r="AE1426" i="4"/>
  <c r="AH1384" i="4"/>
  <c r="AG1384" i="4"/>
  <c r="AF1384" i="4"/>
  <c r="AE1384" i="4"/>
  <c r="AH1285" i="4"/>
  <c r="AG1285" i="4"/>
  <c r="AF1285" i="4"/>
  <c r="AE1285" i="4"/>
  <c r="AH1280" i="4"/>
  <c r="AG1280" i="4"/>
  <c r="AF1280" i="4"/>
  <c r="AE1280" i="4"/>
  <c r="AH1026" i="4"/>
  <c r="AG1026" i="4"/>
  <c r="AF1026" i="4"/>
  <c r="AE1026" i="4"/>
  <c r="AH1250" i="4"/>
  <c r="AG1250" i="4"/>
  <c r="AF1250" i="4"/>
  <c r="AE1250" i="4"/>
  <c r="AH1238" i="4"/>
  <c r="AG1238" i="4"/>
  <c r="AF1238" i="4"/>
  <c r="AE1238" i="4"/>
  <c r="AH994" i="4"/>
  <c r="AG994" i="4"/>
  <c r="AF994" i="4"/>
  <c r="AE994" i="4"/>
  <c r="AH1206" i="4"/>
  <c r="AG1206" i="4"/>
  <c r="AF1206" i="4"/>
  <c r="AE1206" i="4"/>
  <c r="AH1188" i="4"/>
  <c r="AG1188" i="4"/>
  <c r="AF1188" i="4"/>
  <c r="AE1188" i="4"/>
  <c r="AH1166" i="4"/>
  <c r="AG1166" i="4"/>
  <c r="AF1166" i="4"/>
  <c r="AE1166" i="4"/>
  <c r="AH442" i="4"/>
  <c r="AG442" i="4"/>
  <c r="AF442" i="4"/>
  <c r="AE442" i="4"/>
  <c r="AH372" i="4"/>
  <c r="AG372" i="4"/>
  <c r="AF372" i="4"/>
  <c r="AE372" i="4"/>
  <c r="AH335" i="4"/>
  <c r="AG335" i="4"/>
  <c r="AF335" i="4"/>
  <c r="AE335" i="4"/>
  <c r="AH1643" i="4"/>
  <c r="AG1643" i="4"/>
  <c r="AF1643" i="4"/>
  <c r="AE1643" i="4"/>
  <c r="AH1580" i="4"/>
  <c r="AG1580" i="4"/>
  <c r="AF1580" i="4"/>
  <c r="AE1580" i="4"/>
  <c r="AH992" i="4"/>
  <c r="AG992" i="4"/>
  <c r="AF992" i="4"/>
  <c r="AE992" i="4"/>
  <c r="AH640" i="4"/>
  <c r="AG640" i="4"/>
  <c r="AF640" i="4"/>
  <c r="AE640" i="4"/>
  <c r="AH598" i="4"/>
  <c r="AG598" i="4"/>
  <c r="AF598" i="4"/>
  <c r="AE598" i="4"/>
  <c r="AH754" i="4"/>
  <c r="AG754" i="4"/>
  <c r="AF754" i="4"/>
  <c r="AE754" i="4"/>
  <c r="AH742" i="4"/>
  <c r="AG742" i="4"/>
  <c r="AF742" i="4"/>
  <c r="AE742" i="4"/>
  <c r="AH1147" i="4"/>
  <c r="AG1147" i="4"/>
  <c r="AF1147" i="4"/>
  <c r="AE1147" i="4"/>
  <c r="AH1111" i="4"/>
  <c r="AG1111" i="4"/>
  <c r="AF1111" i="4"/>
  <c r="AE1111" i="4"/>
  <c r="AH1092" i="4"/>
  <c r="AG1092" i="4"/>
  <c r="AF1092" i="4"/>
  <c r="AE1092" i="4"/>
  <c r="AH1069" i="4"/>
  <c r="AG1069" i="4"/>
  <c r="AF1069" i="4"/>
  <c r="AE1069" i="4"/>
  <c r="AH1052" i="4"/>
  <c r="AG1052" i="4"/>
  <c r="AF1052" i="4"/>
  <c r="AE1052" i="4"/>
  <c r="AH1034" i="4"/>
  <c r="AG1034" i="4"/>
  <c r="AF1034" i="4"/>
  <c r="AE1034" i="4"/>
  <c r="AH991" i="4"/>
  <c r="AG991" i="4"/>
  <c r="AF991" i="4"/>
  <c r="AE991" i="4"/>
  <c r="AH1014" i="4"/>
  <c r="AG1014" i="4"/>
  <c r="AF1014" i="4"/>
  <c r="AE1014" i="4"/>
  <c r="AH952" i="4"/>
  <c r="AG952" i="4"/>
  <c r="AF952" i="4"/>
  <c r="AE952" i="4"/>
  <c r="AH978" i="4"/>
  <c r="AG978" i="4"/>
  <c r="AF978" i="4"/>
  <c r="AE978" i="4"/>
  <c r="AH913" i="4"/>
  <c r="AG913" i="4"/>
  <c r="AF913" i="4"/>
  <c r="AE913" i="4"/>
  <c r="AH910" i="4"/>
  <c r="AG910" i="4"/>
  <c r="AF910" i="4"/>
  <c r="AE910" i="4"/>
  <c r="AH896" i="4"/>
  <c r="AG896" i="4"/>
  <c r="AF896" i="4"/>
  <c r="AE896" i="4"/>
  <c r="AH875" i="4"/>
  <c r="AG875" i="4"/>
  <c r="AF875" i="4"/>
  <c r="AE875" i="4"/>
  <c r="AH855" i="4"/>
  <c r="AG855" i="4"/>
  <c r="AF855" i="4"/>
  <c r="AE855" i="4"/>
  <c r="AH838" i="4"/>
  <c r="AG838" i="4"/>
  <c r="AF838" i="4"/>
  <c r="AE838" i="4"/>
  <c r="AH820" i="4"/>
  <c r="AG820" i="4"/>
  <c r="AF820" i="4"/>
  <c r="AE820" i="4"/>
  <c r="AH798" i="4"/>
  <c r="AG798" i="4"/>
  <c r="AF798" i="4"/>
  <c r="AE798" i="4"/>
  <c r="AH761" i="4"/>
  <c r="AG761" i="4"/>
  <c r="AF761" i="4"/>
  <c r="AE761" i="4"/>
  <c r="AH727" i="4"/>
  <c r="AG727" i="4"/>
  <c r="AF727" i="4"/>
  <c r="AE727" i="4"/>
  <c r="AH874" i="4"/>
  <c r="AG874" i="4"/>
  <c r="AF874" i="4"/>
  <c r="AE874" i="4"/>
  <c r="AH705" i="4"/>
  <c r="AG705" i="4"/>
  <c r="AF705" i="4"/>
  <c r="AE705" i="4"/>
  <c r="AH877" i="4"/>
  <c r="AG877" i="4"/>
  <c r="AF877" i="4"/>
  <c r="AE877" i="4"/>
  <c r="AH97" i="4"/>
  <c r="AG97" i="4"/>
  <c r="AF97" i="4"/>
  <c r="AE97" i="4"/>
  <c r="AH1296" i="4"/>
  <c r="AG1296" i="4"/>
  <c r="AF1296" i="4"/>
  <c r="AE1296" i="4"/>
  <c r="AH719" i="4"/>
  <c r="AG719" i="4"/>
  <c r="AF719" i="4"/>
  <c r="AE719" i="4"/>
  <c r="AH1286" i="4"/>
  <c r="AG1286" i="4"/>
  <c r="AF1286" i="4"/>
  <c r="AE1286" i="4"/>
  <c r="AH706" i="4"/>
  <c r="AG706" i="4"/>
  <c r="AF706" i="4"/>
  <c r="AE706" i="4"/>
  <c r="AH1547" i="4"/>
  <c r="AG1547" i="4"/>
  <c r="AF1547" i="4"/>
  <c r="AE1547" i="4"/>
  <c r="AH1517" i="4"/>
  <c r="AG1517" i="4"/>
  <c r="AF1517" i="4"/>
  <c r="AE1517" i="4"/>
  <c r="AH1483" i="4"/>
  <c r="AG1483" i="4"/>
  <c r="AF1483" i="4"/>
  <c r="AE1483" i="4"/>
  <c r="AH1447" i="4"/>
  <c r="AG1447" i="4"/>
  <c r="AF1447" i="4"/>
  <c r="AE1447" i="4"/>
  <c r="AH1408" i="4"/>
  <c r="AG1408" i="4"/>
  <c r="AF1408" i="4"/>
  <c r="AE1408" i="4"/>
  <c r="AH1367" i="4"/>
  <c r="AG1367" i="4"/>
  <c r="AF1367" i="4"/>
  <c r="AE1367" i="4"/>
  <c r="AH529" i="4"/>
  <c r="AG529" i="4"/>
  <c r="AF529" i="4"/>
  <c r="AE529" i="4"/>
  <c r="AH871" i="4"/>
  <c r="AG871" i="4"/>
  <c r="AF871" i="4"/>
  <c r="AE871" i="4"/>
  <c r="AH667" i="4"/>
  <c r="AG667" i="4"/>
  <c r="AF667" i="4"/>
  <c r="AE667" i="4"/>
  <c r="AH626" i="4"/>
  <c r="AG626" i="4"/>
  <c r="AF626" i="4"/>
  <c r="AE626" i="4"/>
  <c r="AH834" i="4"/>
  <c r="AG834" i="4"/>
  <c r="AF834" i="4"/>
  <c r="AE834" i="4"/>
  <c r="AH581" i="4"/>
  <c r="AG581" i="4"/>
  <c r="AF581" i="4"/>
  <c r="AE581" i="4"/>
  <c r="AH567" i="4"/>
  <c r="AG567" i="4"/>
  <c r="AF567" i="4"/>
  <c r="AE567" i="4"/>
  <c r="AH560" i="4"/>
  <c r="AG560" i="4"/>
  <c r="AF560" i="4"/>
  <c r="AE560" i="4"/>
  <c r="AH546" i="4"/>
  <c r="AG546" i="4"/>
  <c r="AF546" i="4"/>
  <c r="AE546" i="4"/>
  <c r="AH1650" i="4"/>
  <c r="AG1650" i="4"/>
  <c r="AF1650" i="4"/>
  <c r="AE1650" i="4"/>
  <c r="AH1585" i="4"/>
  <c r="AG1585" i="4"/>
  <c r="AF1585" i="4"/>
  <c r="AE1585" i="4"/>
  <c r="AH999" i="4"/>
  <c r="AG999" i="4"/>
  <c r="AF999" i="4"/>
  <c r="AE999" i="4"/>
  <c r="AH762" i="4"/>
  <c r="AG762" i="4"/>
  <c r="AF762" i="4"/>
  <c r="AE762" i="4"/>
  <c r="AH647" i="4"/>
  <c r="AG647" i="4"/>
  <c r="AF647" i="4"/>
  <c r="AE647" i="4"/>
  <c r="AH606" i="4"/>
  <c r="AG606" i="4"/>
  <c r="AF606" i="4"/>
  <c r="AE606" i="4"/>
  <c r="AH332" i="4"/>
  <c r="AG332" i="4"/>
  <c r="AF332" i="4"/>
  <c r="AE332" i="4"/>
  <c r="AH440" i="4"/>
  <c r="AG440" i="4"/>
  <c r="AF440" i="4"/>
  <c r="AE440" i="4"/>
  <c r="AH405" i="4"/>
  <c r="AG405" i="4"/>
  <c r="AF405" i="4"/>
  <c r="AE405" i="4"/>
  <c r="AH370" i="4"/>
  <c r="AG370" i="4"/>
  <c r="AF370" i="4"/>
  <c r="AE370" i="4"/>
  <c r="AH827" i="4"/>
  <c r="AG827" i="4"/>
  <c r="AF827" i="4"/>
  <c r="AE827" i="4"/>
  <c r="AH519" i="4"/>
  <c r="AG519" i="4"/>
  <c r="AF519" i="4"/>
  <c r="AE519" i="4"/>
  <c r="AH504" i="4"/>
  <c r="AG504" i="4"/>
  <c r="AF504" i="4"/>
  <c r="AE504" i="4"/>
  <c r="AH482" i="4"/>
  <c r="AG482" i="4"/>
  <c r="AF482" i="4"/>
  <c r="AE482" i="4"/>
  <c r="AH446" i="4"/>
  <c r="AG446" i="4"/>
  <c r="AF446" i="4"/>
  <c r="AE446" i="4"/>
  <c r="AH432" i="4"/>
  <c r="AG432" i="4"/>
  <c r="AF432" i="4"/>
  <c r="AE432" i="4"/>
  <c r="AH422" i="4"/>
  <c r="AG422" i="4"/>
  <c r="AF422" i="4"/>
  <c r="AE422" i="4"/>
  <c r="AH411" i="4"/>
  <c r="AG411" i="4"/>
  <c r="AF411" i="4"/>
  <c r="AE411" i="4"/>
  <c r="AH392" i="4"/>
  <c r="AG392" i="4"/>
  <c r="AF392" i="4"/>
  <c r="AE392" i="4"/>
  <c r="AH376" i="4"/>
  <c r="AG376" i="4"/>
  <c r="AF376" i="4"/>
  <c r="AE376" i="4"/>
  <c r="AH358" i="4"/>
  <c r="AG358" i="4"/>
  <c r="AF358" i="4"/>
  <c r="AE358" i="4"/>
  <c r="AH341" i="4"/>
  <c r="AG341" i="4"/>
  <c r="AF341" i="4"/>
  <c r="AE341" i="4"/>
  <c r="AH310" i="4"/>
  <c r="AG310" i="4"/>
  <c r="AF310" i="4"/>
  <c r="AE310" i="4"/>
  <c r="AH292" i="4"/>
  <c r="AG292" i="4"/>
  <c r="AF292" i="4"/>
  <c r="AE292" i="4"/>
  <c r="AH278" i="4"/>
  <c r="AG278" i="4"/>
  <c r="AF278" i="4"/>
  <c r="AE278" i="4"/>
  <c r="AH262" i="4"/>
  <c r="AG262" i="4"/>
  <c r="AF262" i="4"/>
  <c r="AE262" i="4"/>
  <c r="AH250" i="4"/>
  <c r="AG250" i="4"/>
  <c r="AF250" i="4"/>
  <c r="AE250" i="4"/>
  <c r="AH233" i="4"/>
  <c r="AG233" i="4"/>
  <c r="AF233" i="4"/>
  <c r="AE233" i="4"/>
  <c r="AH794" i="4"/>
  <c r="AG794" i="4"/>
  <c r="AF794" i="4"/>
  <c r="AE794" i="4"/>
  <c r="AH208" i="4"/>
  <c r="AG208" i="4"/>
  <c r="AF208" i="4"/>
  <c r="AE208" i="4"/>
  <c r="AH192" i="4"/>
  <c r="AG192" i="4"/>
  <c r="AF192" i="4"/>
  <c r="AE192" i="4"/>
  <c r="AH178" i="4"/>
  <c r="AG178" i="4"/>
  <c r="AF178" i="4"/>
  <c r="AE178" i="4"/>
  <c r="AH160" i="4"/>
  <c r="AG160" i="4"/>
  <c r="AF160" i="4"/>
  <c r="AE160" i="4"/>
  <c r="AH146" i="4"/>
  <c r="AG146" i="4"/>
  <c r="AF146" i="4"/>
  <c r="AE146" i="4"/>
  <c r="AH128" i="4"/>
  <c r="AG128" i="4"/>
  <c r="AF128" i="4"/>
  <c r="AE128" i="4"/>
  <c r="AH115" i="4"/>
  <c r="AG115" i="4"/>
  <c r="AF115" i="4"/>
  <c r="AE115" i="4"/>
  <c r="AH101" i="4"/>
  <c r="AG101" i="4"/>
  <c r="AF101" i="4"/>
  <c r="AE101" i="4"/>
  <c r="AH90" i="4"/>
  <c r="AG90" i="4"/>
  <c r="AF90" i="4"/>
  <c r="AE90" i="4"/>
  <c r="AH77" i="4"/>
  <c r="AG77" i="4"/>
  <c r="AF77" i="4"/>
  <c r="AE77" i="4"/>
  <c r="AH789" i="4"/>
  <c r="AG789" i="4"/>
  <c r="AF789" i="4"/>
  <c r="AE789" i="4"/>
  <c r="AH72" i="4"/>
  <c r="AG72" i="4"/>
  <c r="AF72" i="4"/>
  <c r="AE72" i="4"/>
  <c r="AH104" i="4"/>
  <c r="AG104" i="4"/>
  <c r="AF104" i="4"/>
  <c r="AE104" i="4"/>
  <c r="AH483" i="4"/>
  <c r="AG483" i="4"/>
  <c r="AF483" i="4"/>
  <c r="AE483" i="4"/>
  <c r="AH1678" i="4"/>
  <c r="AG1678" i="4"/>
  <c r="AF1678" i="4"/>
  <c r="AE1678" i="4"/>
  <c r="AH1615" i="4"/>
  <c r="AG1615" i="4"/>
  <c r="AF1615" i="4"/>
  <c r="AE1615" i="4"/>
  <c r="AH1552" i="4"/>
  <c r="AG1552" i="4"/>
  <c r="AF1552" i="4"/>
  <c r="AE1552" i="4"/>
  <c r="AH1488" i="4"/>
  <c r="AG1488" i="4"/>
  <c r="AF1488" i="4"/>
  <c r="AE1488" i="4"/>
  <c r="AH1265" i="4"/>
  <c r="AG1265" i="4"/>
  <c r="AF1265" i="4"/>
  <c r="AE1265" i="4"/>
  <c r="AH1105" i="4"/>
  <c r="AG1105" i="4"/>
  <c r="AF1105" i="4"/>
  <c r="AE1105" i="4"/>
  <c r="AH1028" i="4"/>
  <c r="AG1028" i="4"/>
  <c r="AF1028" i="4"/>
  <c r="AE1028" i="4"/>
  <c r="AH1300" i="4"/>
  <c r="AG1300" i="4"/>
  <c r="AF1300" i="4"/>
  <c r="AE1300" i="4"/>
  <c r="AH723" i="4"/>
  <c r="AG723" i="4"/>
  <c r="AF723" i="4"/>
  <c r="AE723" i="4"/>
  <c r="AH1656" i="4"/>
  <c r="AG1656" i="4"/>
  <c r="AF1656" i="4"/>
  <c r="AE1656" i="4"/>
  <c r="AH1624" i="4"/>
  <c r="AG1624" i="4"/>
  <c r="AF1624" i="4"/>
  <c r="AE1624" i="4"/>
  <c r="AH785" i="4"/>
  <c r="AG785" i="4"/>
  <c r="AF785" i="4"/>
  <c r="AE785" i="4"/>
  <c r="AH751" i="4"/>
  <c r="AG751" i="4"/>
  <c r="AF751" i="4"/>
  <c r="AE751" i="4"/>
  <c r="AH721" i="4"/>
  <c r="AG721" i="4"/>
  <c r="AF721" i="4"/>
  <c r="AE721" i="4"/>
  <c r="AH715" i="4"/>
  <c r="AG715" i="4"/>
  <c r="AF715" i="4"/>
  <c r="AE715" i="4"/>
  <c r="AH685" i="4"/>
  <c r="AG685" i="4"/>
  <c r="AF685" i="4"/>
  <c r="AE685" i="4"/>
  <c r="AH683" i="4"/>
  <c r="AG683" i="4"/>
  <c r="AF683" i="4"/>
  <c r="AE683" i="4"/>
  <c r="AH1292" i="4"/>
  <c r="AG1292" i="4"/>
  <c r="AF1292" i="4"/>
  <c r="AE1292" i="4"/>
  <c r="AH1224" i="4"/>
  <c r="AG1224" i="4"/>
  <c r="AF1224" i="4"/>
  <c r="AE1224" i="4"/>
  <c r="AH1180" i="4"/>
  <c r="AG1180" i="4"/>
  <c r="AF1180" i="4"/>
  <c r="AE1180" i="4"/>
  <c r="AH1140" i="4"/>
  <c r="AG1140" i="4"/>
  <c r="AF1140" i="4"/>
  <c r="AE1140" i="4"/>
  <c r="AH1184" i="4"/>
  <c r="AG1184" i="4"/>
  <c r="AF1184" i="4"/>
  <c r="AE1184" i="4"/>
  <c r="AH1120" i="4"/>
  <c r="AG1120" i="4"/>
  <c r="AF1120" i="4"/>
  <c r="AE1120" i="4"/>
  <c r="AH1102" i="4"/>
  <c r="AG1102" i="4"/>
  <c r="AF1102" i="4"/>
  <c r="AE1102" i="4"/>
  <c r="AH1087" i="4"/>
  <c r="AG1087" i="4"/>
  <c r="AF1087" i="4"/>
  <c r="AE1087" i="4"/>
  <c r="AH1837" i="4"/>
  <c r="AG1837" i="4"/>
  <c r="AF1837" i="4"/>
  <c r="AE1837" i="4"/>
  <c r="AH1852" i="4"/>
  <c r="AG1852" i="4"/>
  <c r="AF1852" i="4"/>
  <c r="AE1852" i="4"/>
  <c r="AH1850" i="4"/>
  <c r="AG1850" i="4"/>
  <c r="AF1850" i="4"/>
  <c r="AE1850" i="4"/>
  <c r="AH1845" i="4"/>
  <c r="AG1845" i="4"/>
  <c r="AF1845" i="4"/>
  <c r="AE1845" i="4"/>
  <c r="AH1844" i="4"/>
  <c r="AG1844" i="4"/>
  <c r="AF1844" i="4"/>
  <c r="AE1844" i="4"/>
  <c r="AH677" i="4"/>
  <c r="AG677" i="4"/>
  <c r="AF677" i="4"/>
  <c r="AE677" i="4"/>
  <c r="AH59" i="4"/>
  <c r="AG59" i="4"/>
  <c r="AF59" i="4"/>
  <c r="AE59" i="4"/>
  <c r="AH1649" i="4"/>
  <c r="AG1649" i="4"/>
  <c r="AF1649" i="4"/>
  <c r="AE1649" i="4"/>
  <c r="AH1617" i="4"/>
  <c r="AG1617" i="4"/>
  <c r="AF1617" i="4"/>
  <c r="AE1617" i="4"/>
  <c r="AH1554" i="4"/>
  <c r="AG1554" i="4"/>
  <c r="AF1554" i="4"/>
  <c r="AE1554" i="4"/>
  <c r="AH1338" i="4"/>
  <c r="AG1338" i="4"/>
  <c r="AF1338" i="4"/>
  <c r="AE1338" i="4"/>
  <c r="AH1303" i="4"/>
  <c r="AG1303" i="4"/>
  <c r="AF1303" i="4"/>
  <c r="AE1303" i="4"/>
  <c r="AH1109" i="4"/>
  <c r="AG1109" i="4"/>
  <c r="AF1109" i="4"/>
  <c r="AE1109" i="4"/>
  <c r="AH836" i="4"/>
  <c r="AG836" i="4"/>
  <c r="AF836" i="4"/>
  <c r="AE836" i="4"/>
  <c r="AH690" i="4"/>
  <c r="AG690" i="4"/>
  <c r="AF690" i="4"/>
  <c r="AE690" i="4"/>
  <c r="AH564" i="4"/>
  <c r="AG564" i="4"/>
  <c r="AF564" i="4"/>
  <c r="AE564" i="4"/>
  <c r="AH488" i="4"/>
  <c r="AG488" i="4"/>
  <c r="AF488" i="4"/>
  <c r="AE488" i="4"/>
  <c r="AH308" i="4"/>
  <c r="AG308" i="4"/>
  <c r="AF308" i="4"/>
  <c r="AE308" i="4"/>
  <c r="AH276" i="4"/>
  <c r="AG276" i="4"/>
  <c r="AF276" i="4"/>
  <c r="AE276" i="4"/>
  <c r="AH99" i="4"/>
  <c r="AG99" i="4"/>
  <c r="AF99" i="4"/>
  <c r="AE99" i="4"/>
  <c r="AH76" i="4"/>
  <c r="AG76" i="4"/>
  <c r="AF76" i="4"/>
  <c r="AE76" i="4"/>
  <c r="AH30" i="4"/>
  <c r="AG30" i="4"/>
  <c r="AF30" i="4"/>
  <c r="AE30" i="4"/>
  <c r="AH1530" i="4"/>
  <c r="AG1530" i="4"/>
  <c r="AF1530" i="4"/>
  <c r="AE1530" i="4"/>
  <c r="AH1733" i="4"/>
  <c r="AG1733" i="4"/>
  <c r="AF1733" i="4"/>
  <c r="AE1733" i="4"/>
  <c r="AH1269" i="4"/>
  <c r="AG1269" i="4"/>
  <c r="AF1269" i="4"/>
  <c r="AE1269" i="4"/>
  <c r="AH998" i="4"/>
  <c r="AG998" i="4"/>
  <c r="AF998" i="4"/>
  <c r="AE998" i="4"/>
  <c r="AH726" i="4"/>
  <c r="AG726" i="4"/>
  <c r="AF726" i="4"/>
  <c r="AE726" i="4"/>
  <c r="AH451" i="4"/>
  <c r="AG451" i="4"/>
  <c r="AF451" i="4"/>
  <c r="AE451" i="4"/>
  <c r="AH221" i="4"/>
  <c r="AG221" i="4"/>
  <c r="AF221" i="4"/>
  <c r="AE221" i="4"/>
  <c r="AH52" i="4"/>
  <c r="AG52" i="4"/>
  <c r="AF52" i="4"/>
  <c r="AE52" i="4"/>
  <c r="AH642" i="4"/>
  <c r="AG642" i="4"/>
  <c r="AF642" i="4"/>
  <c r="AE642" i="4"/>
  <c r="AH1267" i="4"/>
  <c r="AG1267" i="4"/>
  <c r="AF1267" i="4"/>
  <c r="AE1267" i="4"/>
  <c r="AH1192" i="4"/>
  <c r="AG1192" i="4"/>
  <c r="AF1192" i="4"/>
  <c r="AE1192" i="4"/>
  <c r="AH1151" i="4"/>
  <c r="AG1151" i="4"/>
  <c r="AF1151" i="4"/>
  <c r="AE1151" i="4"/>
  <c r="AH915" i="4"/>
  <c r="AG915" i="4"/>
  <c r="AF915" i="4"/>
  <c r="AE915" i="4"/>
  <c r="AH873" i="4"/>
  <c r="AG873" i="4"/>
  <c r="AF873" i="4"/>
  <c r="AE873" i="4"/>
  <c r="AH796" i="4"/>
  <c r="AG796" i="4"/>
  <c r="AF796" i="4"/>
  <c r="AE796" i="4"/>
  <c r="AH381" i="4"/>
  <c r="AG381" i="4"/>
  <c r="AF381" i="4"/>
  <c r="AE381" i="4"/>
  <c r="AH158" i="4"/>
  <c r="AG158" i="4"/>
  <c r="AF158" i="4"/>
  <c r="AE158" i="4"/>
  <c r="AH126" i="4"/>
  <c r="AG126" i="4"/>
  <c r="AF126" i="4"/>
  <c r="AE126" i="4"/>
  <c r="AH1714" i="4"/>
  <c r="AG1714" i="4"/>
  <c r="AF1714" i="4"/>
  <c r="AE1714" i="4"/>
  <c r="AH1661" i="4"/>
  <c r="AG1661" i="4"/>
  <c r="AF1661" i="4"/>
  <c r="AE1661" i="4"/>
  <c r="AH1632" i="4"/>
  <c r="AG1632" i="4"/>
  <c r="AF1632" i="4"/>
  <c r="AE1632" i="4"/>
  <c r="AH1600" i="4"/>
  <c r="AG1600" i="4"/>
  <c r="AF1600" i="4"/>
  <c r="AE1600" i="4"/>
  <c r="AH1568" i="4"/>
  <c r="AG1568" i="4"/>
  <c r="AF1568" i="4"/>
  <c r="AE1568" i="4"/>
  <c r="AH1354" i="4"/>
  <c r="AG1354" i="4"/>
  <c r="AF1354" i="4"/>
  <c r="AE1354" i="4"/>
  <c r="AH1320" i="4"/>
  <c r="AG1320" i="4"/>
  <c r="AF1320" i="4"/>
  <c r="AE1320" i="4"/>
  <c r="AH1247" i="4"/>
  <c r="AG1247" i="4"/>
  <c r="AF1247" i="4"/>
  <c r="AE1247" i="4"/>
  <c r="AH1169" i="4"/>
  <c r="AG1169" i="4"/>
  <c r="AF1169" i="4"/>
  <c r="AE1169" i="4"/>
  <c r="AH1129" i="4"/>
  <c r="AG1129" i="4"/>
  <c r="AF1129" i="4"/>
  <c r="AE1129" i="4"/>
  <c r="AH1089" i="4"/>
  <c r="AG1089" i="4"/>
  <c r="AF1089" i="4"/>
  <c r="AE1089" i="4"/>
  <c r="AH1049" i="4"/>
  <c r="AG1049" i="4"/>
  <c r="AF1049" i="4"/>
  <c r="AE1049" i="4"/>
  <c r="AH975" i="4"/>
  <c r="AG975" i="4"/>
  <c r="AF975" i="4"/>
  <c r="AE975" i="4"/>
  <c r="AH853" i="4"/>
  <c r="AG853" i="4"/>
  <c r="AF853" i="4"/>
  <c r="AE853" i="4"/>
  <c r="AH817" i="4"/>
  <c r="AG817" i="4"/>
  <c r="AF817" i="4"/>
  <c r="AE817" i="4"/>
  <c r="AH777" i="4"/>
  <c r="AG777" i="4"/>
  <c r="AF777" i="4"/>
  <c r="AE777" i="4"/>
  <c r="AH702" i="4"/>
  <c r="AG702" i="4"/>
  <c r="AF702" i="4"/>
  <c r="AE702" i="4"/>
  <c r="AH623" i="4"/>
  <c r="AG623" i="4"/>
  <c r="AF623" i="4"/>
  <c r="AE623" i="4"/>
  <c r="AH579" i="4"/>
  <c r="AG579" i="4"/>
  <c r="AF579" i="4"/>
  <c r="AE579" i="4"/>
  <c r="AH543" i="4"/>
  <c r="AG543" i="4"/>
  <c r="AF543" i="4"/>
  <c r="AE543" i="4"/>
  <c r="AH501" i="4"/>
  <c r="AG501" i="4"/>
  <c r="AF501" i="4"/>
  <c r="AE501" i="4"/>
  <c r="AH429" i="4"/>
  <c r="AG429" i="4"/>
  <c r="AF429" i="4"/>
  <c r="AE429" i="4"/>
  <c r="AH361" i="4"/>
  <c r="AG361" i="4"/>
  <c r="AF361" i="4"/>
  <c r="AE361" i="4"/>
  <c r="AH324" i="4"/>
  <c r="AG324" i="4"/>
  <c r="AF324" i="4"/>
  <c r="AE324" i="4"/>
  <c r="AH289" i="4"/>
  <c r="AG289" i="4"/>
  <c r="AF289" i="4"/>
  <c r="AE289" i="4"/>
  <c r="AH259" i="4"/>
  <c r="AG259" i="4"/>
  <c r="AF259" i="4"/>
  <c r="AE259" i="4"/>
  <c r="AH205" i="4"/>
  <c r="AG205" i="4"/>
  <c r="AF205" i="4"/>
  <c r="AE205" i="4"/>
  <c r="AH143" i="4"/>
  <c r="AG143" i="4"/>
  <c r="AF143" i="4"/>
  <c r="AE143" i="4"/>
  <c r="AH112" i="4"/>
  <c r="AG112" i="4"/>
  <c r="AF112" i="4"/>
  <c r="AE112" i="4"/>
  <c r="AH87" i="4"/>
  <c r="AG87" i="4"/>
  <c r="AF87" i="4"/>
  <c r="AE87" i="4"/>
  <c r="AH69" i="4"/>
  <c r="AG69" i="4"/>
  <c r="AF69" i="4"/>
  <c r="AE69" i="4"/>
  <c r="AH48" i="4"/>
  <c r="AG48" i="4"/>
  <c r="AF48" i="4"/>
  <c r="AE48" i="4"/>
  <c r="AH1260" i="4"/>
  <c r="AG1260" i="4"/>
  <c r="AF1260" i="4"/>
  <c r="AE1260" i="4"/>
  <c r="AH1209" i="4"/>
  <c r="AG1209" i="4"/>
  <c r="AF1209" i="4"/>
  <c r="AE1209" i="4"/>
  <c r="AH934" i="4"/>
  <c r="AG934" i="4"/>
  <c r="AF934" i="4"/>
  <c r="AE934" i="4"/>
  <c r="AH663" i="4"/>
  <c r="AG663" i="4"/>
  <c r="AF663" i="4"/>
  <c r="AE663" i="4"/>
  <c r="AH396" i="4"/>
  <c r="AG396" i="4"/>
  <c r="AF396" i="4"/>
  <c r="AE396" i="4"/>
  <c r="AH175" i="4"/>
  <c r="AG175" i="4"/>
  <c r="AF175" i="4"/>
  <c r="AE175" i="4"/>
  <c r="AH37" i="4"/>
  <c r="AG37" i="4"/>
  <c r="AF37" i="4"/>
  <c r="AE37" i="4"/>
  <c r="AH86" i="4"/>
  <c r="AG86" i="4"/>
  <c r="AF86" i="4"/>
  <c r="AE86" i="4"/>
  <c r="AH499" i="4"/>
  <c r="AG499" i="4"/>
  <c r="AF499" i="4"/>
  <c r="AE499" i="4"/>
  <c r="AH320" i="4"/>
  <c r="AG320" i="4"/>
  <c r="AF320" i="4"/>
  <c r="AE320" i="4"/>
  <c r="AH204" i="4"/>
  <c r="AG204" i="4"/>
  <c r="AF204" i="4"/>
  <c r="AE204" i="4"/>
  <c r="AH111" i="4"/>
  <c r="AG111" i="4"/>
  <c r="AF111" i="4"/>
  <c r="AE111" i="4"/>
  <c r="AH1478" i="4"/>
  <c r="AG1478" i="4"/>
  <c r="AF1478" i="4"/>
  <c r="AE1478" i="4"/>
  <c r="AH1440" i="4"/>
  <c r="AG1440" i="4"/>
  <c r="AF1440" i="4"/>
  <c r="AE1440" i="4"/>
  <c r="AH1257" i="4"/>
  <c r="AG1257" i="4"/>
  <c r="AF1257" i="4"/>
  <c r="AE1257" i="4"/>
  <c r="AH1779" i="4"/>
  <c r="AG1779" i="4"/>
  <c r="AF1779" i="4"/>
  <c r="AE1779" i="4"/>
  <c r="AH1610" i="4"/>
  <c r="AG1610" i="4"/>
  <c r="AF1610" i="4"/>
  <c r="AE1610" i="4"/>
  <c r="AH1578" i="4"/>
  <c r="AG1578" i="4"/>
  <c r="AF1578" i="4"/>
  <c r="AE1578" i="4"/>
  <c r="AH1545" i="4"/>
  <c r="AG1545" i="4"/>
  <c r="AF1545" i="4"/>
  <c r="AE1545" i="4"/>
  <c r="AH1402" i="4"/>
  <c r="AG1402" i="4"/>
  <c r="AF1402" i="4"/>
  <c r="AE1402" i="4"/>
  <c r="AH1763" i="4"/>
  <c r="AG1763" i="4"/>
  <c r="AF1763" i="4"/>
  <c r="AE1763" i="4"/>
  <c r="AH1750" i="4"/>
  <c r="AG1750" i="4"/>
  <c r="AF1750" i="4"/>
  <c r="AE1750" i="4"/>
  <c r="AH1220" i="4"/>
  <c r="AG1220" i="4"/>
  <c r="AF1220" i="4"/>
  <c r="AE1220" i="4"/>
  <c r="AH1178" i="4"/>
  <c r="AG1178" i="4"/>
  <c r="AF1178" i="4"/>
  <c r="AE1178" i="4"/>
  <c r="AH1138" i="4"/>
  <c r="AG1138" i="4"/>
  <c r="AF1138" i="4"/>
  <c r="AE1138" i="4"/>
  <c r="AH1099" i="4"/>
  <c r="AG1099" i="4"/>
  <c r="AF1099" i="4"/>
  <c r="AE1099" i="4"/>
  <c r="AH1144" i="4"/>
  <c r="AG1144" i="4"/>
  <c r="AF1144" i="4"/>
  <c r="AE1144" i="4"/>
  <c r="AH1078" i="4"/>
  <c r="AG1078" i="4"/>
  <c r="AF1078" i="4"/>
  <c r="AE1078" i="4"/>
  <c r="AH1673" i="4"/>
  <c r="AG1673" i="4"/>
  <c r="AF1673" i="4"/>
  <c r="AE1673" i="4"/>
  <c r="AH514" i="4"/>
  <c r="AG514" i="4"/>
  <c r="AF514" i="4"/>
  <c r="AE514" i="4"/>
  <c r="AH1480" i="4"/>
  <c r="AG1480" i="4"/>
  <c r="AF1480" i="4"/>
  <c r="AE1480" i="4"/>
  <c r="AH601" i="4"/>
  <c r="AG601" i="4"/>
  <c r="AF601" i="4"/>
  <c r="AE601" i="4"/>
  <c r="AH1780" i="4"/>
  <c r="AG1780" i="4"/>
  <c r="AF1780" i="4"/>
  <c r="AE1780" i="4"/>
  <c r="AH1293" i="4"/>
  <c r="AG1293" i="4"/>
  <c r="AF1293" i="4"/>
  <c r="AE1293" i="4"/>
  <c r="AH1723" i="4"/>
  <c r="AG1723" i="4"/>
  <c r="AF1723" i="4"/>
  <c r="AE1723" i="4"/>
  <c r="AH1697" i="4"/>
  <c r="AG1697" i="4"/>
  <c r="AF1697" i="4"/>
  <c r="AE1697" i="4"/>
  <c r="AH1670" i="4"/>
  <c r="AG1670" i="4"/>
  <c r="AF1670" i="4"/>
  <c r="AE1670" i="4"/>
  <c r="AH1639" i="4"/>
  <c r="AG1639" i="4"/>
  <c r="AF1639" i="4"/>
  <c r="AE1639" i="4"/>
  <c r="AH1699" i="4"/>
  <c r="AG1699" i="4"/>
  <c r="AF1699" i="4"/>
  <c r="AE1699" i="4"/>
  <c r="AH1672" i="4"/>
  <c r="AG1672" i="4"/>
  <c r="AF1672" i="4"/>
  <c r="AE1672" i="4"/>
  <c r="AH1641" i="4"/>
  <c r="AG1641" i="4"/>
  <c r="AF1641" i="4"/>
  <c r="AE1641" i="4"/>
  <c r="AH1404" i="4"/>
  <c r="AG1404" i="4"/>
  <c r="AF1404" i="4"/>
  <c r="AE1404" i="4"/>
  <c r="AH1060" i="4"/>
  <c r="AG1060" i="4"/>
  <c r="AF1060" i="4"/>
  <c r="AE1060" i="4"/>
  <c r="AH556" i="4"/>
  <c r="AG556" i="4"/>
  <c r="AF556" i="4"/>
  <c r="AE556" i="4"/>
  <c r="AH714" i="4"/>
  <c r="AG714" i="4"/>
  <c r="AF714" i="4"/>
  <c r="AE714" i="4"/>
  <c r="AH1103" i="4"/>
  <c r="AG1103" i="4"/>
  <c r="AF1103" i="4"/>
  <c r="AE1103" i="4"/>
  <c r="AH1030" i="4"/>
  <c r="AG1030" i="4"/>
  <c r="AF1030" i="4"/>
  <c r="AE1030" i="4"/>
  <c r="AH1021" i="4"/>
  <c r="AG1021" i="4"/>
  <c r="AF1021" i="4"/>
  <c r="AE1021" i="4"/>
  <c r="AH964" i="4"/>
  <c r="AG964" i="4"/>
  <c r="AF964" i="4"/>
  <c r="AE964" i="4"/>
  <c r="AH593" i="4"/>
  <c r="AG593" i="4"/>
  <c r="AF593" i="4"/>
  <c r="AE593" i="4"/>
  <c r="AH1546" i="4"/>
  <c r="AG1546" i="4"/>
  <c r="AF1546" i="4"/>
  <c r="AE1546" i="4"/>
  <c r="AH1514" i="4"/>
  <c r="AG1514" i="4"/>
  <c r="AF1514" i="4"/>
  <c r="AE1514" i="4"/>
  <c r="AH1479" i="4"/>
  <c r="AG1479" i="4"/>
  <c r="AF1479" i="4"/>
  <c r="AE1479" i="4"/>
  <c r="AH1441" i="4"/>
  <c r="AG1441" i="4"/>
  <c r="AF1441" i="4"/>
  <c r="AE1441" i="4"/>
  <c r="AH947" i="4"/>
  <c r="AG947" i="4"/>
  <c r="AF947" i="4"/>
  <c r="AE947" i="4"/>
  <c r="AH950" i="4"/>
  <c r="AG950" i="4"/>
  <c r="AF950" i="4"/>
  <c r="AE950" i="4"/>
  <c r="AH1727" i="4"/>
  <c r="AG1727" i="4"/>
  <c r="AF1727" i="4"/>
  <c r="AE1727" i="4"/>
  <c r="AH1753" i="4"/>
  <c r="AG1753" i="4"/>
  <c r="AF1753" i="4"/>
  <c r="AE1753" i="4"/>
  <c r="AH1726" i="4"/>
  <c r="AG1726" i="4"/>
  <c r="AF1726" i="4"/>
  <c r="AE1726" i="4"/>
  <c r="AH904" i="4"/>
  <c r="AG904" i="4"/>
  <c r="AF904" i="4"/>
  <c r="AE904" i="4"/>
  <c r="AH864" i="4"/>
  <c r="AG864" i="4"/>
  <c r="AF864" i="4"/>
  <c r="AE864" i="4"/>
  <c r="AH1143" i="4"/>
  <c r="AG1143" i="4"/>
  <c r="AF1143" i="4"/>
  <c r="AE1143" i="4"/>
  <c r="AH1065" i="4"/>
  <c r="AG1065" i="4"/>
  <c r="AF1065" i="4"/>
  <c r="AE1065" i="4"/>
  <c r="AH1029" i="4"/>
  <c r="AG1029" i="4"/>
  <c r="AF1029" i="4"/>
  <c r="AE1029" i="4"/>
  <c r="AH996" i="4"/>
  <c r="AG996" i="4"/>
  <c r="AF996" i="4"/>
  <c r="AE996" i="4"/>
  <c r="AH986" i="4"/>
  <c r="AG986" i="4"/>
  <c r="AF986" i="4"/>
  <c r="AE986" i="4"/>
  <c r="AH1789" i="4"/>
  <c r="AG1789" i="4"/>
  <c r="AF1789" i="4"/>
  <c r="AE1789" i="4"/>
  <c r="AH954" i="4"/>
  <c r="AG954" i="4"/>
  <c r="AF954" i="4"/>
  <c r="AE954" i="4"/>
  <c r="AH565" i="4"/>
  <c r="AG565" i="4"/>
  <c r="AF565" i="4"/>
  <c r="AE565" i="4"/>
  <c r="AH526" i="4"/>
  <c r="AG526" i="4"/>
  <c r="AF526" i="4"/>
  <c r="AE526" i="4"/>
  <c r="AH944" i="4"/>
  <c r="AG944" i="4"/>
  <c r="AF944" i="4"/>
  <c r="AE944" i="4"/>
  <c r="AH912" i="4"/>
  <c r="AG912" i="4"/>
  <c r="AF912" i="4"/>
  <c r="AE912" i="4"/>
  <c r="AH903" i="4"/>
  <c r="AG903" i="4"/>
  <c r="AF903" i="4"/>
  <c r="AE903" i="4"/>
  <c r="AH870" i="4"/>
  <c r="AG870" i="4"/>
  <c r="AF870" i="4"/>
  <c r="AE870" i="4"/>
  <c r="AH862" i="4"/>
  <c r="AG862" i="4"/>
  <c r="AF862" i="4"/>
  <c r="AE862" i="4"/>
  <c r="AH908" i="4"/>
  <c r="AG908" i="4"/>
  <c r="AF908" i="4"/>
  <c r="AE908" i="4"/>
  <c r="AH1362" i="4"/>
  <c r="AG1362" i="4"/>
  <c r="AF1362" i="4"/>
  <c r="AE1362" i="4"/>
  <c r="AH1328" i="4"/>
  <c r="AG1328" i="4"/>
  <c r="AF1328" i="4"/>
  <c r="AE1328" i="4"/>
  <c r="AH844" i="4"/>
  <c r="AG844" i="4"/>
  <c r="AF844" i="4"/>
  <c r="AE844" i="4"/>
  <c r="AH1179" i="4"/>
  <c r="AG1179" i="4"/>
  <c r="AF1179" i="4"/>
  <c r="AE1179" i="4"/>
  <c r="AH1513" i="4"/>
  <c r="AG1513" i="4"/>
  <c r="AF1513" i="4"/>
  <c r="AE1513" i="4"/>
  <c r="AH604" i="4"/>
  <c r="AG604" i="4"/>
  <c r="AF604" i="4"/>
  <c r="AE604" i="4"/>
  <c r="AH489" i="4"/>
  <c r="AG489" i="4"/>
  <c r="AF489" i="4"/>
  <c r="AE489" i="4"/>
  <c r="AH1820" i="4"/>
  <c r="AG1820" i="4"/>
  <c r="AF1820" i="4"/>
  <c r="AE1820" i="4"/>
  <c r="AH1814" i="4"/>
  <c r="AG1814" i="4"/>
  <c r="AF1814" i="4"/>
  <c r="AE1814" i="4"/>
  <c r="AH1819" i="4"/>
  <c r="AG1819" i="4"/>
  <c r="AF1819" i="4"/>
  <c r="AE1819" i="4"/>
  <c r="AH1831" i="4"/>
  <c r="AG1831" i="4"/>
  <c r="AF1831" i="4"/>
  <c r="AE1831" i="4"/>
  <c r="AH1843" i="4"/>
  <c r="AG1843" i="4"/>
  <c r="AF1843" i="4"/>
  <c r="AE1843" i="4"/>
  <c r="AH1836" i="4"/>
  <c r="AG1836" i="4"/>
  <c r="AF1836" i="4"/>
  <c r="AE1836" i="4"/>
  <c r="AH1826" i="4"/>
  <c r="AG1826" i="4"/>
  <c r="AF1826" i="4"/>
  <c r="AE1826" i="4"/>
  <c r="AH1804" i="4"/>
  <c r="AG1804" i="4"/>
  <c r="AF1804" i="4"/>
  <c r="AE1804" i="4"/>
  <c r="AH570" i="4"/>
  <c r="AG570" i="4"/>
  <c r="AF570" i="4"/>
  <c r="AE570" i="4"/>
  <c r="AH530" i="4"/>
  <c r="AG530" i="4"/>
  <c r="AF530" i="4"/>
  <c r="AE530" i="4"/>
  <c r="AH415" i="4"/>
  <c r="AG415" i="4"/>
  <c r="AF415" i="4"/>
  <c r="AE415" i="4"/>
  <c r="AH395" i="4"/>
  <c r="AG395" i="4"/>
  <c r="AF395" i="4"/>
  <c r="AE395" i="4"/>
  <c r="AH1655" i="4"/>
  <c r="AG1655" i="4"/>
  <c r="AF1655" i="4"/>
  <c r="AE1655" i="4"/>
  <c r="AH1427" i="4"/>
  <c r="AG1427" i="4"/>
  <c r="AF1427" i="4"/>
  <c r="AE1427" i="4"/>
  <c r="AH1161" i="4"/>
  <c r="AG1161" i="4"/>
  <c r="AF1161" i="4"/>
  <c r="AE1161" i="4"/>
  <c r="AH885" i="4"/>
  <c r="AG885" i="4"/>
  <c r="AF885" i="4"/>
  <c r="AE885" i="4"/>
  <c r="AH617" i="4"/>
  <c r="AG617" i="4"/>
  <c r="AF617" i="4"/>
  <c r="AE617" i="4"/>
  <c r="AH354" i="4"/>
  <c r="AG354" i="4"/>
  <c r="AF354" i="4"/>
  <c r="AE354" i="4"/>
  <c r="AH137" i="4"/>
  <c r="AG137" i="4"/>
  <c r="AF137" i="4"/>
  <c r="AE137" i="4"/>
  <c r="AH458" i="4"/>
  <c r="AG458" i="4"/>
  <c r="AF458" i="4"/>
  <c r="AE458" i="4"/>
  <c r="AH50" i="4"/>
  <c r="AG50" i="4"/>
  <c r="AF50" i="4"/>
  <c r="AE50" i="4"/>
  <c r="AH342" i="4"/>
  <c r="AG342" i="4"/>
  <c r="AF342" i="4"/>
  <c r="AE342" i="4"/>
  <c r="AH39" i="4"/>
  <c r="AG39" i="4"/>
  <c r="AF39" i="4"/>
  <c r="AE39" i="4"/>
  <c r="AH829" i="4"/>
  <c r="AG829" i="4"/>
  <c r="AF829" i="4"/>
  <c r="AE829" i="4"/>
  <c r="AH383" i="4"/>
  <c r="AG383" i="4"/>
  <c r="AF383" i="4"/>
  <c r="AE383" i="4"/>
  <c r="AH32" i="4"/>
  <c r="AG32" i="4"/>
  <c r="AF32" i="4"/>
  <c r="AE32" i="4"/>
  <c r="AH29" i="4"/>
  <c r="AG29" i="4"/>
  <c r="AF29" i="4"/>
  <c r="AE29" i="4"/>
  <c r="AH26" i="4"/>
  <c r="AG26" i="4"/>
  <c r="AF26" i="4"/>
  <c r="AE26" i="4"/>
  <c r="AH24" i="4"/>
  <c r="AG24" i="4"/>
  <c r="AF24" i="4"/>
  <c r="AE24" i="4"/>
  <c r="AH23" i="4"/>
  <c r="AG23" i="4"/>
  <c r="AF23" i="4"/>
  <c r="AE23" i="4"/>
  <c r="AH1493" i="4"/>
  <c r="AG1493" i="4"/>
  <c r="AF1493" i="4"/>
  <c r="AE1493" i="4"/>
  <c r="AH1455" i="4"/>
  <c r="AG1455" i="4"/>
  <c r="AF1455" i="4"/>
  <c r="AE1455" i="4"/>
  <c r="AH21" i="4"/>
  <c r="AG21" i="4"/>
  <c r="AF21" i="4"/>
  <c r="AE21" i="4"/>
  <c r="AH911" i="4"/>
  <c r="AG911" i="4"/>
  <c r="AF911" i="4"/>
  <c r="AE911" i="4"/>
  <c r="AH19" i="4"/>
  <c r="AG19" i="4"/>
  <c r="AF19" i="4"/>
  <c r="AE19" i="4"/>
  <c r="AH16" i="4"/>
  <c r="AG16" i="4"/>
  <c r="AF16" i="4"/>
  <c r="AE16" i="4"/>
  <c r="AH15" i="4"/>
  <c r="AG15" i="4"/>
  <c r="AF15" i="4"/>
  <c r="AE15" i="4"/>
  <c r="AH12" i="4"/>
  <c r="AG12" i="4"/>
  <c r="AF12" i="4"/>
  <c r="AE12" i="4"/>
  <c r="AH1201" i="4"/>
  <c r="AG1201" i="4"/>
  <c r="AF1201" i="4"/>
  <c r="AE1201" i="4"/>
  <c r="AH1340" i="4"/>
  <c r="AG1340" i="4"/>
  <c r="AF1340" i="4"/>
  <c r="AE1340" i="4"/>
  <c r="AH441" i="4"/>
  <c r="AG441" i="4"/>
  <c r="AF441" i="4"/>
  <c r="AE441" i="4"/>
  <c r="AH750" i="4"/>
  <c r="AG750" i="4"/>
  <c r="AF750" i="4"/>
  <c r="AE750" i="4"/>
  <c r="AH486" i="4"/>
  <c r="AG486" i="4"/>
  <c r="AF486" i="4"/>
  <c r="AE486" i="4"/>
  <c r="AH757" i="4"/>
  <c r="AG757" i="4"/>
  <c r="AF757" i="4"/>
  <c r="AE757" i="4"/>
  <c r="AH748" i="4"/>
  <c r="AG748" i="4"/>
  <c r="AF748" i="4"/>
  <c r="AE748" i="4"/>
  <c r="AH1233" i="4"/>
  <c r="AG1233" i="4"/>
  <c r="AF1233" i="4"/>
  <c r="AE1233" i="4"/>
  <c r="AH1196" i="4"/>
  <c r="AG1196" i="4"/>
  <c r="AF1196" i="4"/>
  <c r="AE1196" i="4"/>
  <c r="AH1155" i="4"/>
  <c r="AG1155" i="4"/>
  <c r="AF1155" i="4"/>
  <c r="AE1155" i="4"/>
  <c r="AH303" i="4"/>
  <c r="AG303" i="4"/>
  <c r="AF303" i="4"/>
  <c r="AE303" i="4"/>
  <c r="AH1526" i="4"/>
  <c r="AG1526" i="4"/>
  <c r="AF1526" i="4"/>
  <c r="AE1526" i="4"/>
  <c r="AH650" i="4"/>
  <c r="AG650" i="4"/>
  <c r="AF650" i="4"/>
  <c r="AE650" i="4"/>
  <c r="AH385" i="4"/>
  <c r="AG385" i="4"/>
  <c r="AF385" i="4"/>
  <c r="AE385" i="4"/>
  <c r="AH279" i="4"/>
  <c r="AG279" i="4"/>
  <c r="AF279" i="4"/>
  <c r="AE279" i="4"/>
  <c r="AH131" i="4"/>
  <c r="AG131" i="4"/>
  <c r="AF131" i="4"/>
  <c r="AE131" i="4"/>
  <c r="AH803" i="4"/>
  <c r="AG803" i="4"/>
  <c r="AF803" i="4"/>
  <c r="AE803" i="4"/>
  <c r="AH1652" i="4"/>
  <c r="AG1652" i="4"/>
  <c r="AF1652" i="4"/>
  <c r="AE1652" i="4"/>
  <c r="AH764" i="4"/>
  <c r="AG764" i="4"/>
  <c r="AF764" i="4"/>
  <c r="AE764" i="4"/>
  <c r="AH615" i="4"/>
  <c r="AG615" i="4"/>
  <c r="AF615" i="4"/>
  <c r="AE615" i="4"/>
  <c r="AH352" i="4"/>
  <c r="AG352" i="4"/>
  <c r="AF352" i="4"/>
  <c r="AE352" i="4"/>
  <c r="AH254" i="4"/>
  <c r="AG254" i="4"/>
  <c r="AF254" i="4"/>
  <c r="AE254" i="4"/>
  <c r="AH107" i="4"/>
  <c r="AG107" i="4"/>
  <c r="AF107" i="4"/>
  <c r="AE107" i="4"/>
  <c r="AH56" i="4"/>
  <c r="AG56" i="4"/>
  <c r="AF56" i="4"/>
  <c r="AE56" i="4"/>
  <c r="AH1590" i="4"/>
  <c r="AG1590" i="4"/>
  <c r="AF1590" i="4"/>
  <c r="AE1590" i="4"/>
  <c r="AH883" i="4"/>
  <c r="AG883" i="4"/>
  <c r="AF883" i="4"/>
  <c r="AE883" i="4"/>
  <c r="AH1675" i="4"/>
  <c r="AG1675" i="4"/>
  <c r="AF1675" i="4"/>
  <c r="AE1675" i="4"/>
  <c r="AH1452" i="4"/>
  <c r="AG1452" i="4"/>
  <c r="AF1452" i="4"/>
  <c r="AE1452" i="4"/>
  <c r="AH793" i="4"/>
  <c r="AG793" i="4"/>
  <c r="AF793" i="4"/>
  <c r="AE793" i="4"/>
  <c r="AH756" i="4"/>
  <c r="AG756" i="4"/>
  <c r="AF756" i="4"/>
  <c r="AE756" i="4"/>
  <c r="AH724" i="4"/>
  <c r="AG724" i="4"/>
  <c r="AF724" i="4"/>
  <c r="AE724" i="4"/>
  <c r="AH713" i="4"/>
  <c r="AG713" i="4"/>
  <c r="AF713" i="4"/>
  <c r="AE713" i="4"/>
  <c r="AH688" i="4"/>
  <c r="AG688" i="4"/>
  <c r="AF688" i="4"/>
  <c r="AE688" i="4"/>
  <c r="AH675" i="4"/>
  <c r="AG675" i="4"/>
  <c r="AF675" i="4"/>
  <c r="AE675" i="4"/>
  <c r="AH644" i="4"/>
  <c r="AG644" i="4"/>
  <c r="AF644" i="4"/>
  <c r="AE644" i="4"/>
  <c r="AH1728" i="4"/>
  <c r="AG1728" i="4"/>
  <c r="AF1728" i="4"/>
  <c r="AE1728" i="4"/>
  <c r="AH596" i="4"/>
  <c r="AG596" i="4"/>
  <c r="AF596" i="4"/>
  <c r="AE596" i="4"/>
  <c r="AH219" i="4"/>
  <c r="AG219" i="4"/>
  <c r="AF219" i="4"/>
  <c r="AE219" i="4"/>
  <c r="AH635" i="4"/>
  <c r="AG635" i="4"/>
  <c r="AF635" i="4"/>
  <c r="AE635" i="4"/>
  <c r="AH603" i="4"/>
  <c r="AG603" i="4"/>
  <c r="AF603" i="4"/>
  <c r="AE603" i="4"/>
  <c r="AH590" i="4"/>
  <c r="AG590" i="4"/>
  <c r="AF590" i="4"/>
  <c r="AE590" i="4"/>
  <c r="AH1363" i="4"/>
  <c r="AG1363" i="4"/>
  <c r="AF1363" i="4"/>
  <c r="AE1363" i="4"/>
  <c r="AH1769" i="4"/>
  <c r="AG1769" i="4"/>
  <c r="AF1769" i="4"/>
  <c r="AE1769" i="4"/>
  <c r="AH1752" i="4"/>
  <c r="AG1752" i="4"/>
  <c r="AF1752" i="4"/>
  <c r="AE1752" i="4"/>
  <c r="AH1481" i="4"/>
  <c r="AG1481" i="4"/>
  <c r="AF1481" i="4"/>
  <c r="AE1481" i="4"/>
  <c r="AH636" i="4"/>
  <c r="AG636" i="4"/>
  <c r="AF636" i="4"/>
  <c r="AE636" i="4"/>
  <c r="AH788" i="4"/>
  <c r="AG788" i="4"/>
  <c r="AF788" i="4"/>
  <c r="AE788" i="4"/>
  <c r="AH406" i="4"/>
  <c r="AG406" i="4"/>
  <c r="AF406" i="4"/>
  <c r="AE406" i="4"/>
  <c r="AH554" i="4"/>
  <c r="AG554" i="4"/>
  <c r="AF554" i="4"/>
  <c r="AE554" i="4"/>
  <c r="AH559" i="4"/>
  <c r="AG559" i="4"/>
  <c r="AF559" i="4"/>
  <c r="AE559" i="4"/>
  <c r="AH513" i="4"/>
  <c r="AG513" i="4"/>
  <c r="AF513" i="4"/>
  <c r="AE513" i="4"/>
  <c r="AH681" i="4"/>
  <c r="AG681" i="4"/>
  <c r="AF681" i="4"/>
  <c r="AE681" i="4"/>
  <c r="AH1640" i="4"/>
  <c r="AG1640" i="4"/>
  <c r="AF1640" i="4"/>
  <c r="AE1640" i="4"/>
  <c r="AH477" i="4"/>
  <c r="AG477" i="4"/>
  <c r="AF477" i="4"/>
  <c r="AE477" i="4"/>
  <c r="AH1768" i="4"/>
  <c r="AG1768" i="4"/>
  <c r="AF1768" i="4"/>
  <c r="AE1768" i="4"/>
  <c r="AH485" i="4"/>
  <c r="AG485" i="4"/>
  <c r="AF485" i="4"/>
  <c r="AE485" i="4"/>
  <c r="AH475" i="4"/>
  <c r="AG475" i="4"/>
  <c r="AF475" i="4"/>
  <c r="AE475" i="4"/>
  <c r="AH374" i="4"/>
  <c r="AG374" i="4"/>
  <c r="AF374" i="4"/>
  <c r="AE374" i="4"/>
  <c r="AH449" i="4"/>
  <c r="AG449" i="4"/>
  <c r="AF449" i="4"/>
  <c r="AE449" i="4"/>
  <c r="AH414" i="4"/>
  <c r="AG414" i="4"/>
  <c r="AF414" i="4"/>
  <c r="AE414" i="4"/>
  <c r="AH379" i="4"/>
  <c r="AG379" i="4"/>
  <c r="AF379" i="4"/>
  <c r="AE379" i="4"/>
  <c r="AH344" i="4"/>
  <c r="AG344" i="4"/>
  <c r="AF344" i="4"/>
  <c r="AE344" i="4"/>
  <c r="AH334" i="4"/>
  <c r="AG334" i="4"/>
  <c r="AF334" i="4"/>
  <c r="AE334" i="4"/>
  <c r="AH300" i="4"/>
  <c r="AG300" i="4"/>
  <c r="AF300" i="4"/>
  <c r="AE300" i="4"/>
  <c r="AH337" i="4"/>
  <c r="AG337" i="4"/>
  <c r="AF337" i="4"/>
  <c r="AE337" i="4"/>
  <c r="AH163" i="4"/>
  <c r="AG163" i="4"/>
  <c r="AF163" i="4"/>
  <c r="AE163" i="4"/>
  <c r="AH127" i="4"/>
  <c r="AG127" i="4"/>
  <c r="AF127" i="4"/>
  <c r="AE127" i="4"/>
  <c r="AH1331" i="4"/>
  <c r="AG1331" i="4"/>
  <c r="AF1331" i="4"/>
  <c r="AE1331" i="4"/>
  <c r="AH1444" i="4"/>
  <c r="AG1444" i="4"/>
  <c r="AF1444" i="4"/>
  <c r="AE1444" i="4"/>
  <c r="AH1258" i="4"/>
  <c r="AG1258" i="4"/>
  <c r="AF1258" i="4"/>
  <c r="AE1258" i="4"/>
  <c r="AH1489" i="4"/>
  <c r="AG1489" i="4"/>
  <c r="AF1489" i="4"/>
  <c r="AE1489" i="4"/>
  <c r="AH275" i="4"/>
  <c r="AG275" i="4"/>
  <c r="AF275" i="4"/>
  <c r="AE275" i="4"/>
  <c r="AH1782" i="4"/>
  <c r="AG1782" i="4"/>
  <c r="AF1782" i="4"/>
  <c r="AE1782" i="4"/>
  <c r="AH1622" i="4"/>
  <c r="AG1622" i="4"/>
  <c r="AF1622" i="4"/>
  <c r="AE1622" i="4"/>
  <c r="AH1515" i="4"/>
  <c r="AG1515" i="4"/>
  <c r="AF1515" i="4"/>
  <c r="AE1515" i="4"/>
  <c r="AH1415" i="4"/>
  <c r="AG1415" i="4"/>
  <c r="AF1415" i="4"/>
  <c r="AE1415" i="4"/>
  <c r="AH1772" i="4"/>
  <c r="AG1772" i="4"/>
  <c r="AF1772" i="4"/>
  <c r="AE1772" i="4"/>
  <c r="AH268" i="4"/>
  <c r="AG268" i="4"/>
  <c r="AF268" i="4"/>
  <c r="AE268" i="4"/>
  <c r="AH1700" i="4"/>
  <c r="AG1700" i="4"/>
  <c r="AF1700" i="4"/>
  <c r="AE1700" i="4"/>
  <c r="AH555" i="4"/>
  <c r="AG555" i="4"/>
  <c r="AF555" i="4"/>
  <c r="AE555" i="4"/>
  <c r="AH100" i="4"/>
  <c r="AG100" i="4"/>
  <c r="AF100" i="4"/>
  <c r="AE100" i="4"/>
  <c r="AH1785" i="4"/>
  <c r="AG1785" i="4"/>
  <c r="AF1785" i="4"/>
  <c r="AE1785" i="4"/>
  <c r="AH1406" i="4"/>
  <c r="AG1406" i="4"/>
  <c r="AF1406" i="4"/>
  <c r="AE1406" i="4"/>
  <c r="AH1329" i="4"/>
  <c r="AG1329" i="4"/>
  <c r="AF1329" i="4"/>
  <c r="AE1329" i="4"/>
  <c r="AH1732" i="4"/>
  <c r="AG1732" i="4"/>
  <c r="AF1732" i="4"/>
  <c r="AE1732" i="4"/>
  <c r="AH1766" i="4"/>
  <c r="AG1766" i="4"/>
  <c r="AF1766" i="4"/>
  <c r="AE1766" i="4"/>
  <c r="AH1725" i="4"/>
  <c r="AG1725" i="4"/>
  <c r="AF1725" i="4"/>
  <c r="AE1725" i="4"/>
  <c r="AH1442" i="4"/>
  <c r="AG1442" i="4"/>
  <c r="AF1442" i="4"/>
  <c r="AE1442" i="4"/>
  <c r="AH680" i="4"/>
  <c r="AG680" i="4"/>
  <c r="AF680" i="4"/>
  <c r="AE680" i="4"/>
  <c r="AH591" i="4"/>
  <c r="AG591" i="4"/>
  <c r="AF591" i="4"/>
  <c r="AE591" i="4"/>
  <c r="AH749" i="4"/>
  <c r="AG749" i="4"/>
  <c r="AF749" i="4"/>
  <c r="AE749" i="4"/>
  <c r="AH476" i="4"/>
  <c r="AG476" i="4"/>
  <c r="AF476" i="4"/>
  <c r="AE476" i="4"/>
  <c r="AH638" i="4"/>
  <c r="AG638" i="4"/>
  <c r="AF638" i="4"/>
  <c r="AE638" i="4"/>
  <c r="AH1764" i="4"/>
  <c r="AG1764" i="4"/>
  <c r="AF1764" i="4"/>
  <c r="AE1764" i="4"/>
  <c r="AH1751" i="4"/>
  <c r="AG1751" i="4"/>
  <c r="AF1751" i="4"/>
  <c r="AE1751" i="4"/>
  <c r="AH1724" i="4"/>
  <c r="AG1724" i="4"/>
  <c r="AF1724" i="4"/>
  <c r="AE1724" i="4"/>
  <c r="AH1698" i="4"/>
  <c r="AG1698" i="4"/>
  <c r="AF1698" i="4"/>
  <c r="AE1698" i="4"/>
  <c r="AH1671" i="4"/>
  <c r="AG1671" i="4"/>
  <c r="AF1671" i="4"/>
  <c r="AE1671" i="4"/>
  <c r="AH1611" i="4"/>
  <c r="AG1611" i="4"/>
  <c r="AF1611" i="4"/>
  <c r="AE1611" i="4"/>
  <c r="AH1579" i="4"/>
  <c r="AG1579" i="4"/>
  <c r="AF1579" i="4"/>
  <c r="AE1579" i="4"/>
  <c r="AH1736" i="4"/>
  <c r="AG1736" i="4"/>
  <c r="AF1736" i="4"/>
  <c r="AE1736" i="4"/>
  <c r="AH1765" i="4"/>
  <c r="AG1765" i="4"/>
  <c r="AF1765" i="4"/>
  <c r="AE1765" i="4"/>
  <c r="AH74" i="4"/>
  <c r="AG74" i="4"/>
  <c r="AF74" i="4"/>
  <c r="AE74" i="4"/>
  <c r="AH62" i="4"/>
  <c r="AG62" i="4"/>
  <c r="AF62" i="4"/>
  <c r="AE62" i="4"/>
  <c r="AH61" i="4"/>
  <c r="AG61" i="4"/>
  <c r="AF61" i="4"/>
  <c r="AE61" i="4"/>
  <c r="AH51" i="4"/>
  <c r="AG51" i="4"/>
  <c r="AF51" i="4"/>
  <c r="AE51" i="4"/>
  <c r="AH40" i="4"/>
  <c r="AG40" i="4"/>
  <c r="AF40" i="4"/>
  <c r="AE40" i="4"/>
  <c r="AH20" i="4"/>
  <c r="AG20" i="4"/>
  <c r="AF20" i="4"/>
  <c r="AE20" i="4"/>
  <c r="AH1373" i="4"/>
  <c r="AG1373" i="4"/>
  <c r="AF1373" i="4"/>
  <c r="AE1373" i="4"/>
  <c r="AH1295" i="4"/>
  <c r="AG1295" i="4"/>
  <c r="AF1295" i="4"/>
  <c r="AE1295" i="4"/>
  <c r="AH1221" i="4"/>
  <c r="AG1221" i="4"/>
  <c r="AF1221" i="4"/>
  <c r="AE1221" i="4"/>
  <c r="AH1523" i="4"/>
  <c r="AG1523" i="4"/>
  <c r="AF1523" i="4"/>
  <c r="AE1523" i="4"/>
  <c r="AH516" i="4"/>
  <c r="AG516" i="4"/>
  <c r="AF516" i="4"/>
  <c r="AE516" i="4"/>
  <c r="AH479" i="4"/>
  <c r="AG479" i="4"/>
  <c r="AF479" i="4"/>
  <c r="AE479" i="4"/>
  <c r="AH595" i="4"/>
  <c r="AG595" i="4"/>
  <c r="AF595" i="4"/>
  <c r="AE595" i="4"/>
  <c r="AH522" i="4"/>
  <c r="AG522" i="4"/>
  <c r="AF522" i="4"/>
  <c r="AE522" i="4"/>
  <c r="S1116" i="4"/>
  <c r="S1075" i="4"/>
  <c r="S1038" i="4"/>
  <c r="S1001" i="4"/>
  <c r="S1840" i="4"/>
  <c r="S1815" i="4"/>
  <c r="S1809" i="4"/>
  <c r="S1811" i="4"/>
  <c r="S1805" i="4"/>
  <c r="S1798" i="4"/>
  <c r="S1848" i="4"/>
  <c r="S1846" i="4"/>
  <c r="S1841" i="4"/>
  <c r="S1838" i="4"/>
  <c r="S1835" i="4"/>
  <c r="S1832" i="4"/>
  <c r="S1827" i="4"/>
  <c r="S1830" i="4"/>
  <c r="S1824" i="4"/>
  <c r="S1821" i="4"/>
  <c r="S1791" i="4"/>
  <c r="S1781" i="4"/>
  <c r="S1771" i="4"/>
  <c r="S1834" i="4"/>
  <c r="S1829" i="4"/>
  <c r="S1825" i="4"/>
  <c r="S1823" i="4"/>
  <c r="S1817" i="4"/>
  <c r="S1702" i="4"/>
  <c r="S1677" i="4"/>
  <c r="S1646" i="4"/>
  <c r="S1614" i="4"/>
  <c r="S1582" i="4"/>
  <c r="S1503" i="4"/>
  <c r="S1491" i="4"/>
  <c r="S1467" i="4"/>
  <c r="S1454" i="4"/>
  <c r="S1431" i="4"/>
  <c r="S1417" i="4"/>
  <c r="S1392" i="4"/>
  <c r="S1375" i="4"/>
  <c r="S1730" i="4"/>
  <c r="S1703" i="4"/>
  <c r="S1676" i="4"/>
  <c r="S1645" i="4"/>
  <c r="S1521" i="4"/>
  <c r="S1486" i="4"/>
  <c r="S1450" i="4"/>
  <c r="S1413" i="4"/>
  <c r="S1262" i="4"/>
  <c r="S1186" i="4"/>
  <c r="S1146" i="4"/>
  <c r="S993" i="4"/>
  <c r="S951" i="4"/>
  <c r="S909" i="4"/>
  <c r="S869" i="4"/>
  <c r="S722" i="4"/>
  <c r="S684" i="4"/>
  <c r="S641" i="4"/>
  <c r="S600" i="4"/>
  <c r="S445" i="4"/>
  <c r="S410" i="4"/>
  <c r="S375" i="4"/>
  <c r="S340" i="4"/>
  <c r="S218" i="4"/>
  <c r="S188" i="4"/>
  <c r="S156" i="4"/>
  <c r="S124" i="4"/>
  <c r="S49" i="4"/>
  <c r="S585" i="4"/>
  <c r="S329" i="4"/>
  <c r="S88" i="4"/>
  <c r="S43" i="4"/>
  <c r="S566" i="4"/>
  <c r="S309" i="4"/>
  <c r="S80" i="4"/>
  <c r="S38" i="4"/>
  <c r="S290" i="4"/>
  <c r="S236" i="4"/>
  <c r="S70" i="4"/>
  <c r="S728" i="4"/>
  <c r="S544" i="4"/>
  <c r="S33" i="4"/>
  <c r="S692" i="4"/>
  <c r="S527" i="4"/>
  <c r="S277" i="4"/>
  <c r="S222" i="4"/>
  <c r="S63" i="4"/>
  <c r="S28" i="4"/>
  <c r="S260" i="4"/>
  <c r="S58" i="4"/>
  <c r="S651" i="4"/>
  <c r="S1621" i="4"/>
  <c r="S502" i="4"/>
  <c r="S191" i="4"/>
  <c r="S27" i="4"/>
  <c r="S611" i="4"/>
  <c r="S1588" i="4"/>
  <c r="S490" i="4"/>
  <c r="S249" i="4"/>
  <c r="S159" i="4"/>
  <c r="S54" i="4"/>
  <c r="S1607" i="4"/>
  <c r="S1575" i="4"/>
  <c r="S1475" i="4"/>
  <c r="S1217" i="4"/>
  <c r="S1136" i="4"/>
  <c r="S983" i="4"/>
  <c r="S941" i="4"/>
  <c r="S710" i="4"/>
  <c r="S672" i="4"/>
  <c r="S631" i="4"/>
  <c r="S587" i="4"/>
  <c r="S437" i="4"/>
  <c r="S542" i="4"/>
  <c r="S524" i="4"/>
  <c r="S500" i="4"/>
  <c r="S487" i="4"/>
  <c r="S464" i="4"/>
  <c r="S450" i="4"/>
  <c r="S428" i="4"/>
  <c r="S1660" i="4"/>
  <c r="S1648" i="4"/>
  <c r="S1631" i="4"/>
  <c r="S1616" i="4"/>
  <c r="S1599" i="4"/>
  <c r="S1353" i="4"/>
  <c r="S1337" i="4"/>
  <c r="S360" i="4"/>
  <c r="S345" i="4"/>
  <c r="S322" i="4"/>
  <c r="S1088" i="4"/>
  <c r="S1067" i="4"/>
  <c r="S1734" i="4"/>
  <c r="S1757" i="4"/>
  <c r="S1159" i="4"/>
  <c r="S1653" i="4"/>
  <c r="S1420" i="4"/>
  <c r="S1379" i="4"/>
  <c r="S1341" i="4"/>
  <c r="S1271" i="4"/>
  <c r="S1234" i="4"/>
  <c r="S1197" i="4"/>
  <c r="S959" i="4"/>
  <c r="S919" i="4"/>
  <c r="S353" i="4"/>
  <c r="S1707" i="4"/>
  <c r="S419" i="4"/>
  <c r="S386" i="4"/>
  <c r="S1738" i="4"/>
  <c r="S1749" i="4"/>
  <c r="S1696" i="4"/>
  <c r="S1669" i="4"/>
  <c r="S1609" i="4"/>
  <c r="S1577" i="4"/>
  <c r="S1531" i="4"/>
  <c r="S1544" i="4"/>
  <c r="S1477" i="4"/>
  <c r="S1439" i="4"/>
  <c r="S1361" i="4"/>
  <c r="S1327" i="4"/>
  <c r="S1291" i="4"/>
  <c r="S1219" i="4"/>
  <c r="S1177" i="4"/>
  <c r="S1098" i="4"/>
  <c r="S1057" i="4"/>
  <c r="S1006" i="4"/>
  <c r="S1020" i="4"/>
  <c r="S943" i="4"/>
  <c r="S902" i="4"/>
  <c r="S826" i="4"/>
  <c r="S784" i="4"/>
  <c r="S733" i="4"/>
  <c r="S747" i="4"/>
  <c r="S674" i="4"/>
  <c r="S634" i="4"/>
  <c r="S553" i="4"/>
  <c r="S511" i="4"/>
  <c r="S459" i="4"/>
  <c r="S474" i="4"/>
  <c r="S404" i="4"/>
  <c r="S369" i="4"/>
  <c r="S297" i="4"/>
  <c r="S267" i="4"/>
  <c r="S228" i="4"/>
  <c r="S239" i="4"/>
  <c r="S183" i="4"/>
  <c r="S151" i="4"/>
  <c r="S94" i="4"/>
  <c r="S73" i="4"/>
  <c r="S1759" i="4"/>
  <c r="S1743" i="4"/>
  <c r="S113" i="4"/>
  <c r="S894" i="4"/>
  <c r="S818" i="4"/>
  <c r="S778" i="4"/>
  <c r="S624" i="4"/>
  <c r="S430" i="4"/>
  <c r="S397" i="4"/>
  <c r="S362" i="4"/>
  <c r="S206" i="4"/>
  <c r="S176" i="4"/>
  <c r="S144" i="4"/>
  <c r="S1715" i="4"/>
  <c r="S1690" i="4"/>
  <c r="S1662" i="4"/>
  <c r="S1601" i="4"/>
  <c r="S1536" i="4"/>
  <c r="S1505" i="4"/>
  <c r="S1469" i="4"/>
  <c r="S1433" i="4"/>
  <c r="S1394" i="4"/>
  <c r="S1355" i="4"/>
  <c r="S1321" i="4"/>
  <c r="S1283" i="4"/>
  <c r="S1248" i="4"/>
  <c r="S1210" i="4"/>
  <c r="S1170" i="4"/>
  <c r="S1130" i="4"/>
  <c r="S935" i="4"/>
  <c r="S859" i="4"/>
  <c r="S1573" i="4"/>
  <c r="S837" i="4"/>
  <c r="S1555" i="4"/>
  <c r="S797" i="4"/>
  <c r="S1524" i="4"/>
  <c r="S760" i="4"/>
  <c r="S1492" i="4"/>
  <c r="S1068" i="4"/>
  <c r="S893" i="4"/>
  <c r="S525" i="4"/>
  <c r="S248" i="4"/>
  <c r="S1584" i="4"/>
  <c r="S1230" i="4"/>
  <c r="S1032" i="4"/>
  <c r="S956" i="4"/>
  <c r="S759" i="4"/>
  <c r="S646" i="4"/>
  <c r="S605" i="4"/>
  <c r="S416" i="4"/>
  <c r="S346" i="4"/>
  <c r="S190" i="4"/>
  <c r="S41" i="4"/>
  <c r="S1160" i="4"/>
  <c r="S1691" i="4"/>
  <c r="S1663" i="4"/>
  <c r="S1470" i="4"/>
  <c r="S1434" i="4"/>
  <c r="S1211" i="4"/>
  <c r="S1171" i="4"/>
  <c r="S936" i="4"/>
  <c r="S895" i="4"/>
  <c r="S666" i="4"/>
  <c r="S625" i="4"/>
  <c r="S398" i="4"/>
  <c r="S363" i="4"/>
  <c r="S177" i="4"/>
  <c r="S145" i="4"/>
  <c r="S1716" i="4"/>
  <c r="S1506" i="4"/>
  <c r="S1249" i="4"/>
  <c r="S977" i="4"/>
  <c r="S704" i="4"/>
  <c r="S431" i="4"/>
  <c r="S207" i="4"/>
  <c r="S884" i="4"/>
  <c r="S1048" i="4"/>
  <c r="S1031" i="4"/>
  <c r="S1010" i="4"/>
  <c r="S997" i="4"/>
  <c r="S974" i="4"/>
  <c r="S892" i="4"/>
  <c r="S872" i="4"/>
  <c r="S816" i="4"/>
  <c r="S795" i="4"/>
  <c r="S776" i="4"/>
  <c r="S758" i="4"/>
  <c r="S739" i="4"/>
  <c r="S725" i="4"/>
  <c r="S701" i="4"/>
  <c r="S1681" i="4"/>
  <c r="S1553" i="4"/>
  <c r="S1535" i="4"/>
  <c r="S1520" i="4"/>
  <c r="S1110" i="4"/>
  <c r="S1090" i="4"/>
  <c r="S1074" i="4"/>
  <c r="S1050" i="4"/>
  <c r="S1037" i="4"/>
  <c r="S1012" i="4"/>
  <c r="S1005" i="4"/>
  <c r="S976" i="4"/>
  <c r="S1504" i="4"/>
  <c r="S703" i="4"/>
  <c r="S664" i="4"/>
  <c r="S616" i="4"/>
  <c r="S1279" i="4"/>
  <c r="S1618" i="4"/>
  <c r="S790" i="4"/>
  <c r="S809" i="4"/>
  <c r="S769" i="4"/>
  <c r="S1592" i="4"/>
  <c r="S1466" i="4"/>
  <c r="S1430" i="4"/>
  <c r="S1390" i="4"/>
  <c r="S1351" i="4"/>
  <c r="S1307" i="4"/>
  <c r="S1033" i="4"/>
  <c r="S916" i="4"/>
  <c r="S1432" i="4"/>
  <c r="S1393" i="4"/>
  <c r="S1377" i="4"/>
  <c r="S1319" i="4"/>
  <c r="S1302" i="4"/>
  <c r="S1281" i="4"/>
  <c r="S1633" i="4"/>
  <c r="S1395" i="4"/>
  <c r="S1131" i="4"/>
  <c r="S854" i="4"/>
  <c r="S580" i="4"/>
  <c r="S325" i="4"/>
  <c r="S114" i="4"/>
  <c r="S1613" i="4"/>
  <c r="S1371" i="4"/>
  <c r="S1104" i="4"/>
  <c r="S832" i="4"/>
  <c r="S561" i="4"/>
  <c r="S304" i="4"/>
  <c r="S98" i="4"/>
  <c r="S1602" i="4"/>
  <c r="S1356" i="4"/>
  <c r="S1091" i="4"/>
  <c r="S819" i="4"/>
  <c r="S545" i="4"/>
  <c r="S291" i="4"/>
  <c r="S89" i="4"/>
  <c r="S1581" i="4"/>
  <c r="S1334" i="4"/>
  <c r="S1062" i="4"/>
  <c r="S791" i="4"/>
  <c r="S518" i="4"/>
  <c r="S273" i="4"/>
  <c r="S75" i="4"/>
  <c r="S1569" i="4"/>
  <c r="S1322" i="4"/>
  <c r="S1051" i="4"/>
  <c r="S779" i="4"/>
  <c r="S503" i="4"/>
  <c r="S261" i="4"/>
  <c r="S71" i="4"/>
  <c r="S1550" i="4"/>
  <c r="S1298" i="4"/>
  <c r="S1027" i="4"/>
  <c r="S755" i="4"/>
  <c r="S481" i="4"/>
  <c r="S245" i="4"/>
  <c r="S60" i="4"/>
  <c r="S538" i="4"/>
  <c r="S1871" i="4"/>
  <c r="S1870" i="4"/>
  <c r="S1869" i="4"/>
  <c r="S1868" i="4"/>
  <c r="S1867" i="4"/>
  <c r="S1866" i="4"/>
  <c r="S1865" i="4"/>
  <c r="S1864" i="4"/>
  <c r="S1863" i="4"/>
  <c r="S1862" i="4"/>
  <c r="S1861" i="4"/>
  <c r="S1860" i="4"/>
  <c r="S1859" i="4"/>
  <c r="S1858" i="4"/>
  <c r="S1857" i="4"/>
  <c r="S1856" i="4"/>
  <c r="S1855" i="4"/>
  <c r="S1854" i="4"/>
  <c r="S1853" i="4"/>
  <c r="S1849" i="4"/>
  <c r="S1847" i="4"/>
  <c r="S923" i="4"/>
  <c r="S842" i="4"/>
  <c r="S455" i="4"/>
  <c r="S165" i="4"/>
  <c r="S133" i="4"/>
  <c r="S1148" i="4"/>
  <c r="S953" i="4"/>
  <c r="S792" i="4"/>
  <c r="S562" i="4"/>
  <c r="S274" i="4"/>
  <c r="S246" i="4"/>
  <c r="S1731" i="4"/>
  <c r="S1063" i="4"/>
  <c r="S1842" i="4"/>
  <c r="S1229" i="4"/>
  <c r="S1150" i="4"/>
  <c r="S1297" i="4"/>
  <c r="S1839" i="4"/>
  <c r="S1108" i="4"/>
  <c r="S1264" i="4"/>
  <c r="S1833" i="4"/>
  <c r="S1114" i="4"/>
  <c r="S1828" i="4"/>
  <c r="S1226" i="4"/>
  <c r="S1822" i="4"/>
  <c r="S1818" i="4"/>
  <c r="S1816" i="4"/>
  <c r="S1813" i="4"/>
  <c r="S1812" i="4"/>
  <c r="S1810" i="4"/>
  <c r="S1071" i="4"/>
  <c r="S1806" i="4"/>
  <c r="S1803" i="4"/>
  <c r="S1802" i="4"/>
  <c r="S1799" i="4"/>
  <c r="S1797" i="4"/>
  <c r="S1796" i="4"/>
  <c r="S1792" i="4"/>
  <c r="S1788" i="4"/>
  <c r="S1787" i="4"/>
  <c r="S1783" i="4"/>
  <c r="S1778" i="4"/>
  <c r="S1777" i="4"/>
  <c r="S1775" i="4"/>
  <c r="S1770" i="4"/>
  <c r="S1760" i="4"/>
  <c r="S1756" i="4"/>
  <c r="S1745" i="4"/>
  <c r="S1735" i="4"/>
  <c r="S1717" i="4"/>
  <c r="S1704" i="4"/>
  <c r="S1189" i="4"/>
  <c r="S1185" i="4"/>
  <c r="S1664" i="4"/>
  <c r="S1634" i="4"/>
  <c r="S1107" i="4"/>
  <c r="S1603" i="4"/>
  <c r="S955" i="4"/>
  <c r="S1551" i="4"/>
  <c r="S914" i="4"/>
  <c r="S224" i="4"/>
  <c r="S412" i="4"/>
  <c r="S377" i="4"/>
  <c r="S1522" i="4"/>
  <c r="S1487" i="4"/>
  <c r="S918" i="4"/>
  <c r="S852" i="4"/>
  <c r="S835" i="4"/>
  <c r="S1066" i="4"/>
  <c r="S1706" i="4"/>
  <c r="S1689" i="4"/>
  <c r="S1679" i="4"/>
  <c r="S841" i="4"/>
  <c r="S801" i="4"/>
  <c r="S1451" i="4"/>
  <c r="S1424" i="4"/>
  <c r="S1419" i="4"/>
  <c r="S1414" i="4"/>
  <c r="S1391" i="4"/>
  <c r="S1378" i="4"/>
  <c r="S1372" i="4"/>
  <c r="S1352" i="4"/>
  <c r="S1342" i="4"/>
  <c r="S1335" i="4"/>
  <c r="S1317" i="4"/>
  <c r="S1316" i="4"/>
  <c r="S1410" i="4"/>
  <c r="S1369" i="4"/>
  <c r="S1396" i="4"/>
  <c r="S1357" i="4"/>
  <c r="S1418" i="4"/>
  <c r="S1376" i="4"/>
  <c r="S645" i="4"/>
  <c r="S1299" i="4"/>
  <c r="S1058" i="4"/>
  <c r="S867" i="4"/>
  <c r="S856" i="4"/>
  <c r="S1718" i="4"/>
  <c r="S1692" i="4"/>
  <c r="S1665" i="4"/>
  <c r="S1635" i="4"/>
  <c r="S1604" i="4"/>
  <c r="S1570" i="4"/>
  <c r="S1538" i="4"/>
  <c r="S1471" i="4"/>
  <c r="S1251" i="4"/>
  <c r="S1213" i="4"/>
  <c r="S1172" i="4"/>
  <c r="S1132" i="4"/>
  <c r="S1093" i="4"/>
  <c r="S1053" i="4"/>
  <c r="S1015" i="4"/>
  <c r="S979" i="4"/>
  <c r="S937" i="4"/>
  <c r="S897" i="4"/>
  <c r="S821" i="4"/>
  <c r="S780" i="4"/>
  <c r="S668" i="4"/>
  <c r="S627" i="4"/>
  <c r="S582" i="4"/>
  <c r="S547" i="4"/>
  <c r="S505" i="4"/>
  <c r="S468" i="4"/>
  <c r="S433" i="4"/>
  <c r="S399" i="4"/>
  <c r="S364" i="4"/>
  <c r="S326" i="4"/>
  <c r="S293" i="4"/>
  <c r="S263" i="4"/>
  <c r="S234" i="4"/>
  <c r="S209" i="4"/>
  <c r="S179" i="4"/>
  <c r="S147" i="4"/>
  <c r="S116" i="4"/>
  <c r="S1560" i="4"/>
  <c r="S1529" i="4"/>
  <c r="S1498" i="4"/>
  <c r="S1462" i="4"/>
  <c r="S1426" i="4"/>
  <c r="S1384" i="4"/>
  <c r="S1285" i="4"/>
  <c r="S1280" i="4"/>
  <c r="S1026" i="4"/>
  <c r="S1250" i="4"/>
  <c r="S1238" i="4"/>
  <c r="S994" i="4"/>
  <c r="S1206" i="4"/>
  <c r="S1188" i="4"/>
  <c r="S1166" i="4"/>
  <c r="S442" i="4"/>
  <c r="S372" i="4"/>
  <c r="S335" i="4"/>
  <c r="S1643" i="4"/>
  <c r="S1580" i="4"/>
  <c r="S992" i="4"/>
  <c r="S640" i="4"/>
  <c r="S598" i="4"/>
  <c r="S754" i="4"/>
  <c r="S742" i="4"/>
  <c r="S1147" i="4"/>
  <c r="S1111" i="4"/>
  <c r="S1092" i="4"/>
  <c r="S1069" i="4"/>
  <c r="S1052" i="4"/>
  <c r="S1034" i="4"/>
  <c r="S991" i="4"/>
  <c r="S1014" i="4"/>
  <c r="S952" i="4"/>
  <c r="S978" i="4"/>
  <c r="S913" i="4"/>
  <c r="S910" i="4"/>
  <c r="S896" i="4"/>
  <c r="S875" i="4"/>
  <c r="S855" i="4"/>
  <c r="S838" i="4"/>
  <c r="S820" i="4"/>
  <c r="S798" i="4"/>
  <c r="S761" i="4"/>
  <c r="S727" i="4"/>
  <c r="S874" i="4"/>
  <c r="S705" i="4"/>
  <c r="S877" i="4"/>
  <c r="S97" i="4"/>
  <c r="S1296" i="4"/>
  <c r="S719" i="4"/>
  <c r="S1286" i="4"/>
  <c r="S706" i="4"/>
  <c r="S1547" i="4"/>
  <c r="S1517" i="4"/>
  <c r="S1483" i="4"/>
  <c r="S1447" i="4"/>
  <c r="S1408" i="4"/>
  <c r="S1367" i="4"/>
  <c r="S529" i="4"/>
  <c r="S871" i="4"/>
  <c r="S667" i="4"/>
  <c r="S626" i="4"/>
  <c r="S834" i="4"/>
  <c r="S581" i="4"/>
  <c r="S567" i="4"/>
  <c r="S560" i="4"/>
  <c r="S546" i="4"/>
  <c r="S1650" i="4"/>
  <c r="S1585" i="4"/>
  <c r="S999" i="4"/>
  <c r="S762" i="4"/>
  <c r="S647" i="4"/>
  <c r="S606" i="4"/>
  <c r="S332" i="4"/>
  <c r="S440" i="4"/>
  <c r="S405" i="4"/>
  <c r="S370" i="4"/>
  <c r="S827" i="4"/>
  <c r="S519" i="4"/>
  <c r="S504" i="4"/>
  <c r="S482" i="4"/>
  <c r="S446" i="4"/>
  <c r="S432" i="4"/>
  <c r="S422" i="4"/>
  <c r="S411" i="4"/>
  <c r="S392" i="4"/>
  <c r="S376" i="4"/>
  <c r="S358" i="4"/>
  <c r="S341" i="4"/>
  <c r="S310" i="4"/>
  <c r="S292" i="4"/>
  <c r="S278" i="4"/>
  <c r="S262" i="4"/>
  <c r="S250" i="4"/>
  <c r="S233" i="4"/>
  <c r="S794" i="4"/>
  <c r="S208" i="4"/>
  <c r="S192" i="4"/>
  <c r="S178" i="4"/>
  <c r="S160" i="4"/>
  <c r="S146" i="4"/>
  <c r="S128" i="4"/>
  <c r="S115" i="4"/>
  <c r="S101" i="4"/>
  <c r="S90" i="4"/>
  <c r="S77" i="4"/>
  <c r="S789" i="4"/>
  <c r="S72" i="4"/>
  <c r="S104" i="4"/>
  <c r="S483" i="4"/>
  <c r="S1678" i="4"/>
  <c r="S1615" i="4"/>
  <c r="S1552" i="4"/>
  <c r="S1488" i="4"/>
  <c r="S1265" i="4"/>
  <c r="S1105" i="4"/>
  <c r="S1028" i="4"/>
  <c r="S1300" i="4"/>
  <c r="S723" i="4"/>
  <c r="S1656" i="4"/>
  <c r="S1624" i="4"/>
  <c r="S785" i="4"/>
  <c r="S751" i="4"/>
  <c r="S721" i="4"/>
  <c r="S715" i="4"/>
  <c r="S685" i="4"/>
  <c r="S683" i="4"/>
  <c r="S1292" i="4"/>
  <c r="S1224" i="4"/>
  <c r="S1180" i="4"/>
  <c r="S1140" i="4"/>
  <c r="S1184" i="4"/>
  <c r="S1120" i="4"/>
  <c r="S1102" i="4"/>
  <c r="S1087" i="4"/>
  <c r="S1837" i="4"/>
  <c r="S1852" i="4"/>
  <c r="S1850" i="4"/>
  <c r="S1845" i="4"/>
  <c r="S1844" i="4"/>
  <c r="S677" i="4"/>
  <c r="S59" i="4"/>
  <c r="S1649" i="4"/>
  <c r="S1617" i="4"/>
  <c r="S1554" i="4"/>
  <c r="S1338" i="4"/>
  <c r="S1303" i="4"/>
  <c r="S1109" i="4"/>
  <c r="S836" i="4"/>
  <c r="S690" i="4"/>
  <c r="S564" i="4"/>
  <c r="S488" i="4"/>
  <c r="S308" i="4"/>
  <c r="S276" i="4"/>
  <c r="S99" i="4"/>
  <c r="S76" i="4"/>
  <c r="S30" i="4"/>
  <c r="S1530" i="4"/>
  <c r="S1733" i="4"/>
  <c r="S1269" i="4"/>
  <c r="S998" i="4"/>
  <c r="S726" i="4"/>
  <c r="S451" i="4"/>
  <c r="S221" i="4"/>
  <c r="S52" i="4"/>
  <c r="S642" i="4"/>
  <c r="S1267" i="4"/>
  <c r="S1192" i="4"/>
  <c r="S1151" i="4"/>
  <c r="S915" i="4"/>
  <c r="S873" i="4"/>
  <c r="S796" i="4"/>
  <c r="S381" i="4"/>
  <c r="S158" i="4"/>
  <c r="S126" i="4"/>
  <c r="S1714" i="4"/>
  <c r="S1661" i="4"/>
  <c r="S1632" i="4"/>
  <c r="S1600" i="4"/>
  <c r="S1568" i="4"/>
  <c r="S1354" i="4"/>
  <c r="S1320" i="4"/>
  <c r="S1247" i="4"/>
  <c r="S1169" i="4"/>
  <c r="S1129" i="4"/>
  <c r="S1089" i="4"/>
  <c r="S1049" i="4"/>
  <c r="S975" i="4"/>
  <c r="S853" i="4"/>
  <c r="S817" i="4"/>
  <c r="S777" i="4"/>
  <c r="S702" i="4"/>
  <c r="S623" i="4"/>
  <c r="S579" i="4"/>
  <c r="S543" i="4"/>
  <c r="S501" i="4"/>
  <c r="S429" i="4"/>
  <c r="S361" i="4"/>
  <c r="S324" i="4"/>
  <c r="S289" i="4"/>
  <c r="S259" i="4"/>
  <c r="S205" i="4"/>
  <c r="S143" i="4"/>
  <c r="S112" i="4"/>
  <c r="S87" i="4"/>
  <c r="S69" i="4"/>
  <c r="S48" i="4"/>
  <c r="S1260" i="4"/>
  <c r="S1209" i="4"/>
  <c r="S934" i="4"/>
  <c r="S663" i="4"/>
  <c r="S396" i="4"/>
  <c r="S175" i="4"/>
  <c r="S37" i="4"/>
  <c r="S86" i="4"/>
  <c r="S499" i="4"/>
  <c r="S320" i="4"/>
  <c r="S204" i="4"/>
  <c r="S111" i="4"/>
  <c r="S1478" i="4"/>
  <c r="S1440" i="4"/>
  <c r="S1257" i="4"/>
  <c r="S1779" i="4"/>
  <c r="S1610" i="4"/>
  <c r="S1578" i="4"/>
  <c r="S1545" i="4"/>
  <c r="S1402" i="4"/>
  <c r="S1763" i="4"/>
  <c r="S1750" i="4"/>
  <c r="S1220" i="4"/>
  <c r="S1178" i="4"/>
  <c r="S1138" i="4"/>
  <c r="S1099" i="4"/>
  <c r="S1144" i="4"/>
  <c r="S1078" i="4"/>
  <c r="S1673" i="4"/>
  <c r="S514" i="4"/>
  <c r="S1480" i="4"/>
  <c r="S601" i="4"/>
  <c r="S1780" i="4"/>
  <c r="S1293" i="4"/>
  <c r="S1723" i="4"/>
  <c r="S1697" i="4"/>
  <c r="S1670" i="4"/>
  <c r="S1639" i="4"/>
  <c r="S1699" i="4"/>
  <c r="S1672" i="4"/>
  <c r="S1641" i="4"/>
  <c r="S1404" i="4"/>
  <c r="S1060" i="4"/>
  <c r="S556" i="4"/>
  <c r="S714" i="4"/>
  <c r="S1103" i="4"/>
  <c r="S1030" i="4"/>
  <c r="S1021" i="4"/>
  <c r="S964" i="4"/>
  <c r="S593" i="4"/>
  <c r="S1546" i="4"/>
  <c r="S1514" i="4"/>
  <c r="S1479" i="4"/>
  <c r="S1441" i="4"/>
  <c r="S947" i="4"/>
  <c r="S950" i="4"/>
  <c r="S1727" i="4"/>
  <c r="S1753" i="4"/>
  <c r="S1726" i="4"/>
  <c r="S904" i="4"/>
  <c r="S864" i="4"/>
  <c r="S1143" i="4"/>
  <c r="S1065" i="4"/>
  <c r="S1029" i="4"/>
  <c r="S996" i="4"/>
  <c r="S986" i="4"/>
  <c r="S1789" i="4"/>
  <c r="S954" i="4"/>
  <c r="S565" i="4"/>
  <c r="S526" i="4"/>
  <c r="S944" i="4"/>
  <c r="S912" i="4"/>
  <c r="S903" i="4"/>
  <c r="S870" i="4"/>
  <c r="S862" i="4"/>
  <c r="S908" i="4"/>
  <c r="S1362" i="4"/>
  <c r="S1328" i="4"/>
  <c r="S844" i="4"/>
  <c r="S1179" i="4"/>
  <c r="S1513" i="4"/>
  <c r="S604" i="4"/>
  <c r="S489" i="4"/>
  <c r="S1820" i="4"/>
  <c r="S1814" i="4"/>
  <c r="S1819" i="4"/>
  <c r="S1831" i="4"/>
  <c r="S1843" i="4"/>
  <c r="S1836" i="4"/>
  <c r="S1826" i="4"/>
  <c r="S1804" i="4"/>
  <c r="S570" i="4"/>
  <c r="S530" i="4"/>
  <c r="S415" i="4"/>
  <c r="S395" i="4"/>
  <c r="S1655" i="4"/>
  <c r="S1427" i="4"/>
  <c r="S1161" i="4"/>
  <c r="S885" i="4"/>
  <c r="S617" i="4"/>
  <c r="S354" i="4"/>
  <c r="S137" i="4"/>
  <c r="S458" i="4"/>
  <c r="S50" i="4"/>
  <c r="S342" i="4"/>
  <c r="S39" i="4"/>
  <c r="S829" i="4"/>
  <c r="S383" i="4"/>
  <c r="S32" i="4"/>
  <c r="S29" i="4"/>
  <c r="S26" i="4"/>
  <c r="S24" i="4"/>
  <c r="S23" i="4"/>
  <c r="S1493" i="4"/>
  <c r="S1455" i="4"/>
  <c r="S21" i="4"/>
  <c r="S911" i="4"/>
  <c r="S19" i="4"/>
  <c r="S16" i="4"/>
  <c r="S15" i="4"/>
  <c r="S12" i="4"/>
  <c r="S1201" i="4"/>
  <c r="S1340" i="4"/>
  <c r="S441" i="4"/>
  <c r="S750" i="4"/>
  <c r="S486" i="4"/>
  <c r="S757" i="4"/>
  <c r="S748" i="4"/>
  <c r="S1233" i="4"/>
  <c r="S1196" i="4"/>
  <c r="S1155" i="4"/>
  <c r="S303" i="4"/>
  <c r="S1526" i="4"/>
  <c r="S650" i="4"/>
  <c r="S385" i="4"/>
  <c r="S279" i="4"/>
  <c r="S131" i="4"/>
  <c r="S803" i="4"/>
  <c r="S1652" i="4"/>
  <c r="S764" i="4"/>
  <c r="S615" i="4"/>
  <c r="S352" i="4"/>
  <c r="S254" i="4"/>
  <c r="S107" i="4"/>
  <c r="S56" i="4"/>
  <c r="S1590" i="4"/>
  <c r="S883" i="4"/>
  <c r="S1675" i="4"/>
  <c r="S1452" i="4"/>
  <c r="S793" i="4"/>
  <c r="S756" i="4"/>
  <c r="S724" i="4"/>
  <c r="S713" i="4"/>
  <c r="S688" i="4"/>
  <c r="S675" i="4"/>
  <c r="S644" i="4"/>
  <c r="S1728" i="4"/>
  <c r="S596" i="4"/>
  <c r="S219" i="4"/>
  <c r="S635" i="4"/>
  <c r="S603" i="4"/>
  <c r="S590" i="4"/>
  <c r="S1363" i="4"/>
  <c r="S1769" i="4"/>
  <c r="S1752" i="4"/>
  <c r="S1481" i="4"/>
  <c r="S636" i="4"/>
  <c r="S788" i="4"/>
  <c r="S406" i="4"/>
  <c r="S554" i="4"/>
  <c r="S559" i="4"/>
  <c r="S513" i="4"/>
  <c r="S681" i="4"/>
  <c r="S1640" i="4"/>
  <c r="S477" i="4"/>
  <c r="S1768" i="4"/>
  <c r="S485" i="4"/>
  <c r="S475" i="4"/>
  <c r="S374" i="4"/>
  <c r="S449" i="4"/>
  <c r="S414" i="4"/>
  <c r="S379" i="4"/>
  <c r="S344" i="4"/>
  <c r="S334" i="4"/>
  <c r="S300" i="4"/>
  <c r="S337" i="4"/>
  <c r="S163" i="4"/>
  <c r="S127" i="4"/>
  <c r="S1331" i="4"/>
  <c r="S1444" i="4"/>
  <c r="S1258" i="4"/>
  <c r="S1489" i="4"/>
  <c r="S275" i="4"/>
  <c r="S1782" i="4"/>
  <c r="S1622" i="4"/>
  <c r="S1515" i="4"/>
  <c r="S1415" i="4"/>
  <c r="S1772" i="4"/>
  <c r="S268" i="4"/>
  <c r="S1700" i="4"/>
  <c r="S555" i="4"/>
  <c r="S100" i="4"/>
  <c r="S1785" i="4"/>
  <c r="S1406" i="4"/>
  <c r="S1329" i="4"/>
  <c r="S1732" i="4"/>
  <c r="S1766" i="4"/>
  <c r="S1725" i="4"/>
  <c r="S1442" i="4"/>
  <c r="S680" i="4"/>
  <c r="S591" i="4"/>
  <c r="S749" i="4"/>
  <c r="S476" i="4"/>
  <c r="S638" i="4"/>
  <c r="S1764" i="4"/>
  <c r="S1751" i="4"/>
  <c r="S1724" i="4"/>
  <c r="S1698" i="4"/>
  <c r="S1671" i="4"/>
  <c r="S1611" i="4"/>
  <c r="S1579" i="4"/>
  <c r="S1736" i="4"/>
  <c r="S1765" i="4"/>
  <c r="S74" i="4"/>
  <c r="S62" i="4"/>
  <c r="S61" i="4"/>
  <c r="S51" i="4"/>
  <c r="S40" i="4"/>
  <c r="S20" i="4"/>
  <c r="S1373" i="4"/>
  <c r="S1295" i="4"/>
  <c r="S1221" i="4"/>
  <c r="S1523" i="4"/>
  <c r="S516" i="4"/>
  <c r="S479" i="4"/>
  <c r="S595" i="4"/>
  <c r="S522" i="4"/>
  <c r="T1185" i="4"/>
  <c r="Q1656" i="4"/>
  <c r="R1656" i="4" s="1"/>
  <c r="R142" i="4"/>
  <c r="R174" i="4"/>
  <c r="R1852" i="4"/>
  <c r="R1850" i="4"/>
  <c r="R1845" i="4"/>
  <c r="R1844" i="4"/>
  <c r="R1837" i="4"/>
  <c r="R1831" i="4"/>
  <c r="R1843" i="4"/>
  <c r="R1826" i="4"/>
  <c r="R1825" i="4"/>
  <c r="R1820" i="4"/>
  <c r="R1814" i="4"/>
  <c r="AH1808" i="4"/>
  <c r="AG1808" i="4"/>
  <c r="AF1808" i="4"/>
  <c r="AE1808" i="4"/>
  <c r="R1808" i="4"/>
  <c r="AH1800" i="4"/>
  <c r="AG1800" i="4"/>
  <c r="AF1800" i="4"/>
  <c r="AE1800" i="4"/>
  <c r="R1800" i="4"/>
  <c r="AH1793" i="4"/>
  <c r="AG1793" i="4"/>
  <c r="AF1793" i="4"/>
  <c r="AE1793" i="4"/>
  <c r="R1793" i="4"/>
  <c r="AH1784" i="4"/>
  <c r="AG1784" i="4"/>
  <c r="AF1784" i="4"/>
  <c r="AE1784" i="4"/>
  <c r="R1784" i="4"/>
  <c r="R1848" i="4"/>
  <c r="R1846" i="4"/>
  <c r="R1841" i="4"/>
  <c r="R1838" i="4"/>
  <c r="R1835" i="4"/>
  <c r="R1832" i="4"/>
  <c r="R1827" i="4"/>
  <c r="R1836" i="4"/>
  <c r="R1824" i="4"/>
  <c r="R1830" i="4"/>
  <c r="R1821" i="4"/>
  <c r="R1817" i="4"/>
  <c r="R1815" i="4"/>
  <c r="R1809" i="4"/>
  <c r="R1801" i="4"/>
  <c r="R1819" i="4"/>
  <c r="R1811" i="4"/>
  <c r="R1805" i="4"/>
  <c r="R1798" i="4"/>
  <c r="R1795" i="4"/>
  <c r="R1786" i="4"/>
  <c r="R1776" i="4"/>
  <c r="R1804" i="4"/>
  <c r="R1791" i="4"/>
  <c r="R1781" i="4"/>
  <c r="R1771" i="4"/>
  <c r="AH174" i="4"/>
  <c r="AG174" i="4"/>
  <c r="AF174" i="4"/>
  <c r="AE174" i="4"/>
  <c r="AH142" i="4"/>
  <c r="AG142" i="4"/>
  <c r="AF142" i="4"/>
  <c r="AE142" i="4"/>
  <c r="AH173" i="4"/>
  <c r="AG173" i="4"/>
  <c r="AF173" i="4"/>
  <c r="AE173" i="4"/>
  <c r="AH141" i="4"/>
  <c r="AG141" i="4"/>
  <c r="AF141" i="4"/>
  <c r="AE141" i="4"/>
  <c r="AH272" i="4"/>
  <c r="AG272" i="4"/>
  <c r="AF272" i="4"/>
  <c r="AE272" i="4"/>
  <c r="AH242" i="4"/>
  <c r="AG242" i="4"/>
  <c r="AF242" i="4"/>
  <c r="AE242" i="4"/>
  <c r="AH215" i="4"/>
  <c r="AG215" i="4"/>
  <c r="AF215" i="4"/>
  <c r="AE215" i="4"/>
  <c r="AH185" i="4"/>
  <c r="AG185" i="4"/>
  <c r="AF185" i="4"/>
  <c r="AE185" i="4"/>
  <c r="R1235" i="4"/>
  <c r="R1333" i="4"/>
  <c r="R1323" i="4"/>
  <c r="R742" i="4"/>
  <c r="R1643" i="4"/>
  <c r="R1580" i="4"/>
  <c r="R1410" i="4"/>
  <c r="R1369" i="4"/>
  <c r="R1296" i="4"/>
  <c r="R992" i="4"/>
  <c r="R867" i="4"/>
  <c r="R754" i="4"/>
  <c r="R719" i="4"/>
  <c r="R640" i="4"/>
  <c r="R598" i="4"/>
  <c r="R97" i="4"/>
  <c r="R1507" i="4"/>
  <c r="R1396" i="4"/>
  <c r="R1357" i="4"/>
  <c r="R1286" i="4"/>
  <c r="R856" i="4"/>
  <c r="R706" i="4"/>
  <c r="R1493" i="4"/>
  <c r="R1455" i="4"/>
  <c r="R1418" i="4"/>
  <c r="R1376" i="4"/>
  <c r="R1556" i="4"/>
  <c r="R1525" i="4"/>
  <c r="R911" i="4"/>
  <c r="R877" i="4"/>
  <c r="R1650" i="4"/>
  <c r="R1585" i="4"/>
  <c r="R1336" i="4"/>
  <c r="R1300" i="4"/>
  <c r="R999" i="4"/>
  <c r="R762" i="4"/>
  <c r="R647" i="4"/>
  <c r="R606" i="4"/>
  <c r="R723" i="4"/>
  <c r="R1705" i="4"/>
  <c r="R1678" i="4"/>
  <c r="R1615" i="4"/>
  <c r="R1552" i="4"/>
  <c r="R1488" i="4"/>
  <c r="R1265" i="4"/>
  <c r="R1227" i="4"/>
  <c r="R1105" i="4"/>
  <c r="R1028" i="4"/>
  <c r="R686" i="4"/>
  <c r="R520" i="4"/>
  <c r="R483" i="4"/>
  <c r="R104" i="4"/>
  <c r="R1189" i="4"/>
  <c r="R1148" i="4"/>
  <c r="R1076" i="4"/>
  <c r="R953" i="4"/>
  <c r="R923" i="4"/>
  <c r="R842" i="4"/>
  <c r="R792" i="4"/>
  <c r="R562" i="4"/>
  <c r="R455" i="4"/>
  <c r="R342" i="4"/>
  <c r="R305" i="4"/>
  <c r="R274" i="4"/>
  <c r="R246" i="4"/>
  <c r="R196" i="4"/>
  <c r="R165" i="4"/>
  <c r="R133" i="4"/>
  <c r="R1063" i="4"/>
  <c r="R833" i="4"/>
  <c r="R412" i="4"/>
  <c r="R377" i="4"/>
  <c r="R224" i="4"/>
  <c r="R1731" i="4"/>
  <c r="R1118" i="4"/>
  <c r="R1039" i="4"/>
  <c r="R804" i="4"/>
  <c r="R492" i="4"/>
  <c r="R447" i="4"/>
  <c r="R251" i="4"/>
  <c r="R220" i="4"/>
  <c r="R189" i="4"/>
  <c r="R157" i="4"/>
  <c r="R125" i="4"/>
  <c r="R1718" i="4"/>
  <c r="R1692" i="4"/>
  <c r="R1665" i="4"/>
  <c r="R1635" i="4"/>
  <c r="R1604" i="4"/>
  <c r="R1570" i="4"/>
  <c r="R1538" i="4"/>
  <c r="R1471" i="4"/>
  <c r="R1251" i="4"/>
  <c r="R1213" i="4"/>
  <c r="R1172" i="4"/>
  <c r="R1132" i="4"/>
  <c r="R1093" i="4"/>
  <c r="R1053" i="4"/>
  <c r="R1015" i="4"/>
  <c r="R979" i="4"/>
  <c r="R937" i="4"/>
  <c r="R897" i="4"/>
  <c r="R821" i="4"/>
  <c r="R780" i="4"/>
  <c r="R668" i="4"/>
  <c r="R627" i="4"/>
  <c r="R582" i="4"/>
  <c r="R547" i="4"/>
  <c r="R505" i="4"/>
  <c r="R468" i="4"/>
  <c r="R433" i="4"/>
  <c r="R399" i="4"/>
  <c r="R364" i="4"/>
  <c r="R326" i="4"/>
  <c r="R293" i="4"/>
  <c r="R263" i="4"/>
  <c r="R234" i="4"/>
  <c r="R209" i="4"/>
  <c r="R179" i="4"/>
  <c r="R147" i="4"/>
  <c r="R116" i="4"/>
  <c r="AH1456" i="4"/>
  <c r="AG1456" i="4"/>
  <c r="AF1456" i="4"/>
  <c r="AE1456" i="4"/>
  <c r="R1456" i="4"/>
  <c r="R1340" i="4"/>
  <c r="R1160" i="4"/>
  <c r="AH64" i="4"/>
  <c r="AG64" i="4"/>
  <c r="AF64" i="4"/>
  <c r="AE64" i="4"/>
  <c r="R64" i="4"/>
  <c r="AH44" i="4"/>
  <c r="AG44" i="4"/>
  <c r="AF44" i="4"/>
  <c r="AE44" i="4"/>
  <c r="R44" i="4"/>
  <c r="AH25" i="4"/>
  <c r="AG25" i="4"/>
  <c r="AF25" i="4"/>
  <c r="AE25" i="4"/>
  <c r="R25" i="4"/>
  <c r="AH312" i="4"/>
  <c r="AG312" i="4"/>
  <c r="AF312" i="4"/>
  <c r="AE312" i="4"/>
  <c r="R312" i="4"/>
  <c r="R22" i="4"/>
  <c r="R565" i="4"/>
  <c r="R526" i="4"/>
  <c r="R1759" i="4"/>
  <c r="R1757" i="4"/>
  <c r="R1743" i="4"/>
  <c r="R1734" i="4"/>
  <c r="R1715" i="4"/>
  <c r="R1707" i="4"/>
  <c r="R1690" i="4"/>
  <c r="R1682" i="4"/>
  <c r="R1662" i="4"/>
  <c r="R1652" i="4"/>
  <c r="R1653" i="4"/>
  <c r="R1621" i="4"/>
  <c r="R1618" i="4"/>
  <c r="R1601" i="4"/>
  <c r="R1592" i="4"/>
  <c r="R1590" i="4"/>
  <c r="R1588" i="4"/>
  <c r="R1573" i="4"/>
  <c r="R1555" i="4"/>
  <c r="R1536" i="4"/>
  <c r="R1524" i="4"/>
  <c r="R1505" i="4"/>
  <c r="R1496" i="4"/>
  <c r="R1497" i="4"/>
  <c r="R1492" i="4"/>
  <c r="R1469" i="4"/>
  <c r="R1461" i="4"/>
  <c r="R1457" i="4"/>
  <c r="R1433" i="4"/>
  <c r="R1425" i="4"/>
  <c r="R1420" i="4"/>
  <c r="R1394" i="4"/>
  <c r="R1385" i="4"/>
  <c r="R1383" i="4"/>
  <c r="R1379" i="4"/>
  <c r="R1355" i="4"/>
  <c r="R1346" i="4"/>
  <c r="R1345" i="4"/>
  <c r="R1341" i="4"/>
  <c r="R1321" i="4"/>
  <c r="R1310" i="4"/>
  <c r="R1307" i="4"/>
  <c r="R1283" i="4"/>
  <c r="R1279" i="4"/>
  <c r="R1275" i="4"/>
  <c r="R1271" i="4"/>
  <c r="R1248" i="4"/>
  <c r="R1239" i="4"/>
  <c r="R1233" i="4"/>
  <c r="R1234" i="4"/>
  <c r="R1210" i="4"/>
  <c r="R1196" i="4"/>
  <c r="R1197" i="4"/>
  <c r="R1198" i="4"/>
  <c r="R1170" i="4"/>
  <c r="R1201" i="4"/>
  <c r="R1159" i="4"/>
  <c r="R1155" i="4"/>
  <c r="R1130" i="4"/>
  <c r="R1116" i="4"/>
  <c r="R1110" i="4"/>
  <c r="R1090" i="4"/>
  <c r="R1080" i="4"/>
  <c r="R1074" i="4"/>
  <c r="R1075" i="4"/>
  <c r="R1050" i="4"/>
  <c r="R1037" i="4"/>
  <c r="R1038" i="4"/>
  <c r="R1033" i="4"/>
  <c r="R1012" i="4"/>
  <c r="R1005" i="4"/>
  <c r="R1001" i="4"/>
  <c r="R976" i="4"/>
  <c r="R959" i="4"/>
  <c r="R960" i="4"/>
  <c r="R935" i="4"/>
  <c r="R919" i="4"/>
  <c r="R920" i="4"/>
  <c r="R894" i="4"/>
  <c r="R884" i="4"/>
  <c r="R883" i="4"/>
  <c r="R874" i="4"/>
  <c r="R859" i="4"/>
  <c r="R837" i="4"/>
  <c r="R818" i="4"/>
  <c r="R809" i="4"/>
  <c r="R808" i="4"/>
  <c r="R803" i="4"/>
  <c r="R797" i="4"/>
  <c r="R790" i="4"/>
  <c r="R778" i="4"/>
  <c r="R769" i="4"/>
  <c r="R764" i="4"/>
  <c r="R760" i="4"/>
  <c r="R728" i="4"/>
  <c r="R703" i="4"/>
  <c r="R692" i="4"/>
  <c r="R693" i="4"/>
  <c r="R664" i="4"/>
  <c r="R665" i="4"/>
  <c r="R651" i="4"/>
  <c r="R650" i="4"/>
  <c r="R652" i="4"/>
  <c r="R624" i="4"/>
  <c r="R616" i="4"/>
  <c r="R615" i="4"/>
  <c r="R611" i="4"/>
  <c r="R585" i="4"/>
  <c r="R566" i="4"/>
  <c r="R544" i="4"/>
  <c r="R531" i="4"/>
  <c r="R527" i="4"/>
  <c r="R502" i="4"/>
  <c r="R490" i="4"/>
  <c r="R489" i="4"/>
  <c r="R466" i="4"/>
  <c r="R458" i="4"/>
  <c r="R453" i="4"/>
  <c r="R430" i="4"/>
  <c r="R419" i="4"/>
  <c r="R397" i="4"/>
  <c r="R385" i="4"/>
  <c r="R386" i="4"/>
  <c r="R362" i="4"/>
  <c r="R352" i="4"/>
  <c r="R353" i="4"/>
  <c r="R329" i="4"/>
  <c r="R309" i="4"/>
  <c r="R290" i="4"/>
  <c r="R279" i="4"/>
  <c r="R280" i="4"/>
  <c r="R277" i="4"/>
  <c r="R260" i="4"/>
  <c r="R254" i="4"/>
  <c r="R249" i="4"/>
  <c r="R236" i="4"/>
  <c r="R222" i="4"/>
  <c r="R206" i="4"/>
  <c r="R191" i="4"/>
  <c r="R176" i="4"/>
  <c r="R163" i="4"/>
  <c r="R159" i="4"/>
  <c r="R144" i="4"/>
  <c r="R131" i="4"/>
  <c r="R127" i="4"/>
  <c r="R113" i="4"/>
  <c r="R107" i="4"/>
  <c r="R100" i="4"/>
  <c r="R88" i="4"/>
  <c r="R80" i="4"/>
  <c r="R70" i="4"/>
  <c r="R63" i="4"/>
  <c r="R65" i="4"/>
  <c r="R58" i="4"/>
  <c r="R56" i="4"/>
  <c r="R54" i="4"/>
  <c r="R55" i="4"/>
  <c r="R49" i="4"/>
  <c r="R43" i="4"/>
  <c r="R45" i="4"/>
  <c r="R38" i="4"/>
  <c r="R33" i="4"/>
  <c r="R34" i="4"/>
  <c r="R28" i="4"/>
  <c r="R27" i="4"/>
  <c r="R31" i="4"/>
  <c r="R20" i="4"/>
  <c r="R283" i="4"/>
  <c r="R83" i="4"/>
  <c r="R169" i="4"/>
  <c r="R1722" i="4"/>
  <c r="R1512" i="4"/>
  <c r="R1256" i="4"/>
  <c r="R985" i="4"/>
  <c r="R712" i="4"/>
  <c r="R439" i="4"/>
  <c r="R213" i="4"/>
  <c r="R1738" i="4"/>
  <c r="R1531" i="4"/>
  <c r="R1006" i="4"/>
  <c r="R733" i="4"/>
  <c r="R459" i="4"/>
  <c r="R228" i="4"/>
  <c r="R1749" i="4"/>
  <c r="R1696" i="4"/>
  <c r="R1669" i="4"/>
  <c r="R1609" i="4"/>
  <c r="R1577" i="4"/>
  <c r="R1544" i="4"/>
  <c r="R1477" i="4"/>
  <c r="R1439" i="4"/>
  <c r="R1361" i="4"/>
  <c r="R1327" i="4"/>
  <c r="R1291" i="4"/>
  <c r="R1219" i="4"/>
  <c r="R1177" i="4"/>
  <c r="R1098" i="4"/>
  <c r="R1057" i="4"/>
  <c r="R1020" i="4"/>
  <c r="R943" i="4"/>
  <c r="R902" i="4"/>
  <c r="R826" i="4"/>
  <c r="R784" i="4"/>
  <c r="R747" i="4"/>
  <c r="R674" i="4"/>
  <c r="R634" i="4"/>
  <c r="R553" i="4"/>
  <c r="R511" i="4"/>
  <c r="R474" i="4"/>
  <c r="R404" i="4"/>
  <c r="R369" i="4"/>
  <c r="R297" i="4"/>
  <c r="R267" i="4"/>
  <c r="R239" i="4"/>
  <c r="R183" i="4"/>
  <c r="R151" i="4"/>
  <c r="R94" i="4"/>
  <c r="R73" i="4"/>
  <c r="R1716" i="4"/>
  <c r="R1506" i="4"/>
  <c r="R1249" i="4"/>
  <c r="R977" i="4"/>
  <c r="R704" i="4"/>
  <c r="R431" i="4"/>
  <c r="R207" i="4"/>
  <c r="R1691" i="4"/>
  <c r="R1663" i="4"/>
  <c r="R1470" i="4"/>
  <c r="R1434" i="4"/>
  <c r="R1211" i="4"/>
  <c r="R1171" i="4"/>
  <c r="R936" i="4"/>
  <c r="R895" i="4"/>
  <c r="R666" i="4"/>
  <c r="R625" i="4"/>
  <c r="R398" i="4"/>
  <c r="R363" i="4"/>
  <c r="R177" i="4"/>
  <c r="R145" i="4"/>
  <c r="R1710" i="4"/>
  <c r="R1499" i="4"/>
  <c r="R966" i="4"/>
  <c r="R696" i="4"/>
  <c r="R423" i="4"/>
  <c r="R201" i="4"/>
  <c r="R1744" i="4"/>
  <c r="R1537" i="4"/>
  <c r="R1284" i="4"/>
  <c r="R1013" i="4"/>
  <c r="R741" i="4"/>
  <c r="R467" i="4"/>
  <c r="R232" i="4"/>
  <c r="R1685" i="4"/>
  <c r="R1463" i="4"/>
  <c r="R1202" i="4"/>
  <c r="R927" i="4"/>
  <c r="R389" i="4"/>
  <c r="R1593" i="4"/>
  <c r="R1347" i="4"/>
  <c r="R1082" i="4"/>
  <c r="R810" i="4"/>
  <c r="R535" i="4"/>
  <c r="R1561" i="4"/>
  <c r="R1311" i="4"/>
  <c r="R1042" i="4"/>
  <c r="R770" i="4"/>
  <c r="R495" i="4"/>
  <c r="R255" i="4"/>
  <c r="R67" i="4"/>
  <c r="R1730" i="4"/>
  <c r="R1703" i="4"/>
  <c r="R1676" i="4"/>
  <c r="R1645" i="4"/>
  <c r="R1521" i="4"/>
  <c r="R1486" i="4"/>
  <c r="R1450" i="4"/>
  <c r="R1413" i="4"/>
  <c r="R1262" i="4"/>
  <c r="R1186" i="4"/>
  <c r="R1146" i="4"/>
  <c r="R993" i="4"/>
  <c r="R951" i="4"/>
  <c r="R909" i="4"/>
  <c r="R869" i="4"/>
  <c r="R722" i="4"/>
  <c r="R684" i="4"/>
  <c r="R641" i="4"/>
  <c r="R600" i="4"/>
  <c r="R445" i="4"/>
  <c r="R410" i="4"/>
  <c r="R375" i="4"/>
  <c r="R340" i="4"/>
  <c r="R218" i="4"/>
  <c r="R188" i="4"/>
  <c r="R156" i="4"/>
  <c r="R124" i="4"/>
  <c r="R1655" i="4"/>
  <c r="R1633" i="4"/>
  <c r="R1613" i="4"/>
  <c r="R1602" i="4"/>
  <c r="R1581" i="4"/>
  <c r="R1569" i="4"/>
  <c r="R1550" i="4"/>
  <c r="R1427" i="4"/>
  <c r="R1395" i="4"/>
  <c r="R1371" i="4"/>
  <c r="R1356" i="4"/>
  <c r="R1334" i="4"/>
  <c r="R1322" i="4"/>
  <c r="R1298" i="4"/>
  <c r="R1161" i="4"/>
  <c r="R1131" i="4"/>
  <c r="R1104" i="4"/>
  <c r="R1091" i="4"/>
  <c r="R1062" i="4"/>
  <c r="R1051" i="4"/>
  <c r="R1027" i="4"/>
  <c r="R885" i="4"/>
  <c r="R854" i="4"/>
  <c r="R832" i="4"/>
  <c r="R819" i="4"/>
  <c r="R791" i="4"/>
  <c r="R779" i="4"/>
  <c r="R755" i="4"/>
  <c r="R617" i="4"/>
  <c r="R580" i="4"/>
  <c r="R561" i="4"/>
  <c r="R545" i="4"/>
  <c r="R518" i="4"/>
  <c r="R503" i="4"/>
  <c r="R481" i="4"/>
  <c r="R354" i="4"/>
  <c r="R325" i="4"/>
  <c r="R304" i="4"/>
  <c r="R291" i="4"/>
  <c r="R273" i="4"/>
  <c r="R261" i="4"/>
  <c r="R245" i="4"/>
  <c r="R137" i="4"/>
  <c r="R114" i="4"/>
  <c r="R98" i="4"/>
  <c r="R89" i="4"/>
  <c r="R75" i="4"/>
  <c r="R71" i="4"/>
  <c r="R60" i="4"/>
  <c r="R17" i="4"/>
  <c r="R18" i="4"/>
  <c r="R13" i="4"/>
  <c r="R14" i="4"/>
  <c r="R11" i="4"/>
  <c r="R10" i="4"/>
  <c r="R9" i="4"/>
  <c r="R8" i="4"/>
  <c r="R7" i="4"/>
  <c r="R6" i="4"/>
  <c r="R5" i="4"/>
  <c r="R4" i="4"/>
  <c r="R3" i="4"/>
  <c r="R2" i="4"/>
  <c r="R1742" i="4"/>
  <c r="R1733" i="4"/>
  <c r="R1714" i="4"/>
  <c r="R1713" i="4"/>
  <c r="R1706" i="4"/>
  <c r="R1689" i="4"/>
  <c r="R1688" i="4"/>
  <c r="R1679" i="4"/>
  <c r="R1661" i="4"/>
  <c r="R1658" i="4"/>
  <c r="R1649" i="4"/>
  <c r="R1632" i="4"/>
  <c r="R1629" i="4"/>
  <c r="R1620" i="4"/>
  <c r="R1617" i="4"/>
  <c r="R1600" i="4"/>
  <c r="R1598" i="4"/>
  <c r="R1587" i="4"/>
  <c r="R1584" i="4"/>
  <c r="R1568" i="4"/>
  <c r="R1566" i="4"/>
  <c r="R1557" i="4"/>
  <c r="R1554" i="4"/>
  <c r="R1541" i="4"/>
  <c r="R1530" i="4"/>
  <c r="R1526" i="4"/>
  <c r="R1503" i="4"/>
  <c r="R1491" i="4"/>
  <c r="R1467" i="4"/>
  <c r="R1466" i="4"/>
  <c r="R1454" i="4"/>
  <c r="R1431" i="4"/>
  <c r="R1430" i="4"/>
  <c r="R1417" i="4"/>
  <c r="R1392" i="4"/>
  <c r="R1390" i="4"/>
  <c r="R1375" i="4"/>
  <c r="R1354" i="4"/>
  <c r="R1351" i="4"/>
  <c r="R1339" i="4"/>
  <c r="R1338" i="4"/>
  <c r="R1320" i="4"/>
  <c r="R1315" i="4"/>
  <c r="R1306" i="4"/>
  <c r="R1303" i="4"/>
  <c r="R1282" i="4"/>
  <c r="R1269" i="4"/>
  <c r="R1247" i="4"/>
  <c r="R1244" i="4"/>
  <c r="R1232" i="4"/>
  <c r="R1230" i="4"/>
  <c r="R1209" i="4"/>
  <c r="R1195" i="4"/>
  <c r="R1192" i="4"/>
  <c r="R1169" i="4"/>
  <c r="R1165" i="4"/>
  <c r="R1154" i="4"/>
  <c r="R1151" i="4"/>
  <c r="R1129" i="4"/>
  <c r="R1126" i="4"/>
  <c r="R1115" i="4"/>
  <c r="R1109" i="4"/>
  <c r="R1089" i="4"/>
  <c r="R1072" i="4"/>
  <c r="R1073" i="4"/>
  <c r="R1068" i="4"/>
  <c r="R1049" i="4"/>
  <c r="R1046" i="4"/>
  <c r="R1032" i="4"/>
  <c r="R1011" i="4"/>
  <c r="R998" i="4"/>
  <c r="R975" i="4"/>
  <c r="R971" i="4"/>
  <c r="R958" i="4"/>
  <c r="R956" i="4"/>
  <c r="R934" i="4"/>
  <c r="R916" i="4"/>
  <c r="R915" i="4"/>
  <c r="R893" i="4"/>
  <c r="R889" i="4"/>
  <c r="R878" i="4"/>
  <c r="R873" i="4"/>
  <c r="R853" i="4"/>
  <c r="R850" i="4"/>
  <c r="R836" i="4"/>
  <c r="R817" i="4"/>
  <c r="R815" i="4"/>
  <c r="R802" i="4"/>
  <c r="R796" i="4"/>
  <c r="R777" i="4"/>
  <c r="R774" i="4"/>
  <c r="R763" i="4"/>
  <c r="R759" i="4"/>
  <c r="R740" i="4"/>
  <c r="R726" i="4"/>
  <c r="R702" i="4"/>
  <c r="R699" i="4"/>
  <c r="R690" i="4"/>
  <c r="R683" i="4"/>
  <c r="R663" i="4"/>
  <c r="R659" i="4"/>
  <c r="R646" i="4"/>
  <c r="R623" i="4"/>
  <c r="R621" i="4"/>
  <c r="R610" i="4"/>
  <c r="R605" i="4"/>
  <c r="R579" i="4"/>
  <c r="R577" i="4"/>
  <c r="R564" i="4"/>
  <c r="R543" i="4"/>
  <c r="R540" i="4"/>
  <c r="R525" i="4"/>
  <c r="R501" i="4"/>
  <c r="R499" i="4"/>
  <c r="R491" i="4"/>
  <c r="R488" i="4"/>
  <c r="R465" i="4"/>
  <c r="R451" i="4"/>
  <c r="R429" i="4"/>
  <c r="R426" i="4"/>
  <c r="R418" i="4"/>
  <c r="R416" i="4"/>
  <c r="R396" i="4"/>
  <c r="R384" i="4"/>
  <c r="R381" i="4"/>
  <c r="R361" i="4"/>
  <c r="R357" i="4"/>
  <c r="R348" i="4"/>
  <c r="R346" i="4"/>
  <c r="R324" i="4"/>
  <c r="R320" i="4"/>
  <c r="R311" i="4"/>
  <c r="R308" i="4"/>
  <c r="R289" i="4"/>
  <c r="R287" i="4"/>
  <c r="R276" i="4"/>
  <c r="R259" i="4"/>
  <c r="R258" i="4"/>
  <c r="R248" i="4"/>
  <c r="R231" i="4"/>
  <c r="R221" i="4"/>
  <c r="R205" i="4"/>
  <c r="R204" i="4"/>
  <c r="R195" i="4"/>
  <c r="R190" i="4"/>
  <c r="R175" i="4"/>
  <c r="R172" i="4"/>
  <c r="R158" i="4"/>
  <c r="R143" i="4"/>
  <c r="R140" i="4"/>
  <c r="R130" i="4"/>
  <c r="R126" i="4"/>
  <c r="R112" i="4"/>
  <c r="R111" i="4"/>
  <c r="R103" i="4"/>
  <c r="R99" i="4"/>
  <c r="R87" i="4"/>
  <c r="R86" i="4"/>
  <c r="R79" i="4"/>
  <c r="R76" i="4"/>
  <c r="R69" i="4"/>
  <c r="R68" i="4"/>
  <c r="R62" i="4"/>
  <c r="R57" i="4"/>
  <c r="R52" i="4"/>
  <c r="R48" i="4"/>
  <c r="R47" i="4"/>
  <c r="R42" i="4"/>
  <c r="R41" i="4"/>
  <c r="R37" i="4"/>
  <c r="R36" i="4"/>
  <c r="R30" i="4"/>
  <c r="R1036" i="4"/>
  <c r="R1870" i="4"/>
  <c r="R1867" i="4"/>
  <c r="R1865" i="4"/>
  <c r="R1863" i="4"/>
  <c r="R1861" i="4"/>
  <c r="R1859" i="4"/>
  <c r="R1856" i="4"/>
  <c r="R1854" i="4"/>
  <c r="R1849" i="4"/>
  <c r="R1840" i="4"/>
  <c r="R1834" i="4"/>
  <c r="R1829" i="4"/>
  <c r="R1812" i="4"/>
  <c r="R1806" i="4"/>
  <c r="R1799" i="4"/>
  <c r="R1792" i="4"/>
  <c r="R1802" i="4"/>
  <c r="R1796" i="4"/>
  <c r="R1787" i="4"/>
  <c r="R1591" i="4"/>
  <c r="R1775" i="4"/>
  <c r="R1760" i="4"/>
  <c r="R1756" i="4"/>
  <c r="R1745" i="4"/>
  <c r="R1735" i="4"/>
  <c r="R1717" i="4"/>
  <c r="R1702" i="4"/>
  <c r="R1677" i="4"/>
  <c r="R1646" i="4"/>
  <c r="R1614" i="4"/>
  <c r="R1487" i="4"/>
  <c r="R1419" i="4"/>
  <c r="R1378" i="4"/>
  <c r="R1424" i="4"/>
  <c r="R1391" i="4"/>
  <c r="R1372" i="4"/>
  <c r="R1352" i="4"/>
  <c r="R1335" i="4"/>
  <c r="R1317" i="4"/>
  <c r="R1316" i="4"/>
  <c r="R1297" i="4"/>
  <c r="R1264" i="4"/>
  <c r="R1238" i="4"/>
  <c r="R1206" i="4"/>
  <c r="R1188" i="4"/>
  <c r="R1166" i="4"/>
  <c r="R1026" i="4"/>
  <c r="R994" i="4"/>
  <c r="R952" i="4"/>
  <c r="R1117" i="4"/>
  <c r="R1069" i="4"/>
  <c r="R875" i="4"/>
  <c r="R838" i="4"/>
  <c r="R721" i="4"/>
  <c r="R685" i="4"/>
  <c r="R642" i="4"/>
  <c r="R560" i="4"/>
  <c r="R519" i="4"/>
  <c r="R482" i="4"/>
  <c r="R446" i="4"/>
  <c r="R422" i="4"/>
  <c r="R392" i="4"/>
  <c r="R376" i="4"/>
  <c r="R358" i="4"/>
  <c r="R798" i="4"/>
  <c r="R567" i="4"/>
  <c r="R310" i="4"/>
  <c r="R278" i="4"/>
  <c r="R233" i="4"/>
  <c r="R208" i="4"/>
  <c r="R178" i="4"/>
  <c r="R1664" i="4"/>
  <c r="R1634" i="4"/>
  <c r="R1603" i="4"/>
  <c r="R1285" i="4"/>
  <c r="R1250" i="4"/>
  <c r="R1092" i="4"/>
  <c r="R1052" i="4"/>
  <c r="R1014" i="4"/>
  <c r="R978" i="4"/>
  <c r="R896" i="4"/>
  <c r="R855" i="4"/>
  <c r="R820" i="4"/>
  <c r="R705" i="4"/>
  <c r="R667" i="4"/>
  <c r="R626" i="4"/>
  <c r="R581" i="4"/>
  <c r="R546" i="4"/>
  <c r="R504" i="4"/>
  <c r="R432" i="4"/>
  <c r="R292" i="4"/>
  <c r="R160" i="4"/>
  <c r="R192" i="4"/>
  <c r="R128" i="4"/>
  <c r="R74" i="4"/>
  <c r="R61" i="4"/>
  <c r="R1810" i="4"/>
  <c r="R1803" i="4"/>
  <c r="R1797" i="4"/>
  <c r="R1788" i="4"/>
  <c r="R1778" i="4"/>
  <c r="R115" i="4"/>
  <c r="R90" i="4"/>
  <c r="R72" i="4"/>
  <c r="R59" i="4"/>
  <c r="R53" i="4"/>
  <c r="R46" i="4"/>
  <c r="R1871" i="4"/>
  <c r="R1869" i="4"/>
  <c r="R1868" i="4"/>
  <c r="R1866" i="4"/>
  <c r="R1864" i="4"/>
  <c r="R1862" i="4"/>
  <c r="R1860" i="4"/>
  <c r="R1858" i="4"/>
  <c r="R1857" i="4"/>
  <c r="R1855" i="4"/>
  <c r="R1853" i="4"/>
  <c r="R1851" i="4"/>
  <c r="R1847" i="4"/>
  <c r="R1842" i="4"/>
  <c r="R1839" i="4"/>
  <c r="R1833" i="4"/>
  <c r="R1828" i="4"/>
  <c r="R1823" i="4"/>
  <c r="R1822" i="4"/>
  <c r="R1818" i="4"/>
  <c r="R1816" i="4"/>
  <c r="R1813" i="4"/>
  <c r="R1807" i="4"/>
  <c r="R1783" i="4"/>
  <c r="R1777" i="4"/>
  <c r="R1770" i="4"/>
  <c r="R1704" i="4"/>
  <c r="R1582" i="4"/>
  <c r="R1562" i="4"/>
  <c r="R1551" i="4"/>
  <c r="R1522" i="4"/>
  <c r="R1451" i="4"/>
  <c r="R1414" i="4"/>
  <c r="R1342" i="4"/>
  <c r="R1299" i="4"/>
  <c r="R1280" i="4"/>
  <c r="R1226" i="4"/>
  <c r="R1156" i="4"/>
  <c r="R1147" i="4"/>
  <c r="R1111" i="4"/>
  <c r="R1034" i="4"/>
  <c r="R921" i="4"/>
  <c r="R910" i="4"/>
  <c r="R765" i="4"/>
  <c r="R761" i="4"/>
  <c r="R729" i="4"/>
  <c r="R727" i="4"/>
  <c r="R601" i="4"/>
  <c r="R454" i="4"/>
  <c r="R411" i="4"/>
  <c r="R341" i="4"/>
  <c r="R313" i="4"/>
  <c r="R262" i="4"/>
  <c r="R250" i="4"/>
  <c r="R223" i="4"/>
  <c r="R219" i="4"/>
  <c r="R164" i="4"/>
  <c r="R146" i="4"/>
  <c r="R132" i="4"/>
  <c r="R101" i="4"/>
  <c r="R82" i="4"/>
  <c r="R77" i="4"/>
  <c r="R66" i="4"/>
  <c r="R51" i="4"/>
  <c r="R50" i="4"/>
  <c r="R40" i="4"/>
  <c r="R39" i="4"/>
  <c r="R35" i="4"/>
  <c r="R32" i="4"/>
  <c r="R29" i="4"/>
  <c r="R26" i="4"/>
  <c r="R24" i="4"/>
  <c r="R23" i="4"/>
  <c r="R21" i="4"/>
  <c r="R19" i="4"/>
  <c r="R16" i="4"/>
  <c r="R15" i="4"/>
  <c r="R12" i="4"/>
  <c r="R1607" i="4"/>
  <c r="R1575" i="4"/>
  <c r="R1475" i="4"/>
  <c r="R1217" i="4"/>
  <c r="R1136" i="4"/>
  <c r="R983" i="4"/>
  <c r="R941" i="4"/>
  <c r="R710" i="4"/>
  <c r="R672" i="4"/>
  <c r="R631" i="4"/>
  <c r="R587" i="4"/>
  <c r="R437" i="4"/>
  <c r="R1681" i="4"/>
  <c r="R1660" i="4"/>
  <c r="R1648" i="4"/>
  <c r="R1631" i="4"/>
  <c r="R1616" i="4"/>
  <c r="R1599" i="4"/>
  <c r="R1520" i="4"/>
  <c r="R1490" i="4"/>
  <c r="R1453" i="4"/>
  <c r="R1416" i="4"/>
  <c r="R1374" i="4"/>
  <c r="R1268" i="4"/>
  <c r="R1229" i="4"/>
  <c r="R1191" i="4"/>
  <c r="R1071" i="4"/>
  <c r="R1048" i="4"/>
  <c r="R1031" i="4"/>
  <c r="R1010" i="4"/>
  <c r="R997" i="4"/>
  <c r="R974" i="4"/>
  <c r="R801" i="4"/>
  <c r="R776" i="4"/>
  <c r="R758" i="4"/>
  <c r="R739" i="4"/>
  <c r="R725" i="4"/>
  <c r="R701" i="4"/>
  <c r="R530" i="4"/>
  <c r="R500" i="4"/>
  <c r="R487" i="4"/>
  <c r="R464" i="4"/>
  <c r="R450" i="4"/>
  <c r="R428" i="4"/>
  <c r="R1553" i="4"/>
  <c r="R1377" i="4"/>
  <c r="R1353" i="4"/>
  <c r="R1337" i="4"/>
  <c r="R1302" i="4"/>
  <c r="R1150" i="4"/>
  <c r="R1114" i="4"/>
  <c r="R1108" i="4"/>
  <c r="R1088" i="4"/>
  <c r="R1067" i="4"/>
  <c r="R918" i="4"/>
  <c r="R914" i="4"/>
  <c r="R892" i="4"/>
  <c r="R872" i="4"/>
  <c r="R841" i="4"/>
  <c r="R835" i="4"/>
  <c r="R816" i="4"/>
  <c r="R795" i="4"/>
  <c r="R645" i="4"/>
  <c r="R604" i="4"/>
  <c r="R570" i="4"/>
  <c r="R563" i="4"/>
  <c r="R542" i="4"/>
  <c r="R524" i="4"/>
  <c r="R415" i="4"/>
  <c r="R383" i="4"/>
  <c r="R360" i="4"/>
  <c r="R345" i="4"/>
  <c r="R322" i="4"/>
  <c r="R303" i="4"/>
  <c r="R1583" i="4"/>
  <c r="R689" i="4"/>
  <c r="R380" i="4"/>
  <c r="R1567" i="4"/>
  <c r="R1535" i="4"/>
  <c r="R1504" i="4"/>
  <c r="R1468" i="4"/>
  <c r="R1432" i="4"/>
  <c r="R1393" i="4"/>
  <c r="R1319" i="4"/>
  <c r="R1281" i="4"/>
  <c r="R1246" i="4"/>
  <c r="R1208" i="4"/>
  <c r="R1168" i="4"/>
  <c r="R1128" i="4"/>
  <c r="R955" i="4"/>
  <c r="R933" i="4"/>
  <c r="R662" i="4"/>
  <c r="R622" i="4"/>
  <c r="R578" i="4"/>
  <c r="R852" i="4"/>
  <c r="R395" i="4"/>
  <c r="AH1851" i="4"/>
  <c r="AG1851" i="4"/>
  <c r="AF1851" i="4"/>
  <c r="AE1851" i="4"/>
  <c r="AH1807" i="4"/>
  <c r="AG1807" i="4"/>
  <c r="AF1807" i="4"/>
  <c r="AE1807" i="4"/>
  <c r="AH1801" i="4"/>
  <c r="AG1801" i="4"/>
  <c r="AF1801" i="4"/>
  <c r="AE1801" i="4"/>
  <c r="AH1795" i="4"/>
  <c r="AG1795" i="4"/>
  <c r="AF1795" i="4"/>
  <c r="AE1795" i="4"/>
  <c r="AH1794" i="4"/>
  <c r="AG1794" i="4"/>
  <c r="AF1794" i="4"/>
  <c r="AE1794" i="4"/>
  <c r="AH1790" i="4"/>
  <c r="AG1790" i="4"/>
  <c r="AF1790" i="4"/>
  <c r="AE1790" i="4"/>
  <c r="AH1786" i="4"/>
  <c r="AG1786" i="4"/>
  <c r="AF1786" i="4"/>
  <c r="AE1786" i="4"/>
  <c r="AH1776" i="4"/>
  <c r="AG1776" i="4"/>
  <c r="AF1776" i="4"/>
  <c r="AE1776" i="4"/>
  <c r="AH1774" i="4"/>
  <c r="AG1774" i="4"/>
  <c r="AF1774" i="4"/>
  <c r="AE1774" i="4"/>
  <c r="AH1773" i="4"/>
  <c r="AG1773" i="4"/>
  <c r="AF1773" i="4"/>
  <c r="AE1773" i="4"/>
  <c r="AH1767" i="4"/>
  <c r="AG1767" i="4"/>
  <c r="AF1767" i="4"/>
  <c r="AE1767" i="4"/>
  <c r="AH1755" i="4"/>
  <c r="AG1755" i="4"/>
  <c r="AF1755" i="4"/>
  <c r="AE1755" i="4"/>
  <c r="AH1754" i="4"/>
  <c r="AG1754" i="4"/>
  <c r="AF1754" i="4"/>
  <c r="AE1754" i="4"/>
  <c r="AH1744" i="4"/>
  <c r="AG1744" i="4"/>
  <c r="AF1744" i="4"/>
  <c r="AE1744" i="4"/>
  <c r="AH1742" i="4"/>
  <c r="AG1742" i="4"/>
  <c r="AF1742" i="4"/>
  <c r="AE1742" i="4"/>
  <c r="AH1741" i="4"/>
  <c r="AG1741" i="4"/>
  <c r="AF1741" i="4"/>
  <c r="AE1741" i="4"/>
  <c r="AH1729" i="4"/>
  <c r="AG1729" i="4"/>
  <c r="AF1729" i="4"/>
  <c r="AE1729" i="4"/>
  <c r="AH1705" i="4"/>
  <c r="AG1705" i="4"/>
  <c r="AF1705" i="4"/>
  <c r="AE1705" i="4"/>
  <c r="AH1722" i="4"/>
  <c r="AG1722" i="4"/>
  <c r="AF1722" i="4"/>
  <c r="AE1722" i="4"/>
  <c r="AH1713" i="4"/>
  <c r="AG1713" i="4"/>
  <c r="AF1713" i="4"/>
  <c r="AE1713" i="4"/>
  <c r="AH1710" i="4"/>
  <c r="AG1710" i="4"/>
  <c r="AF1710" i="4"/>
  <c r="AE1710" i="4"/>
  <c r="AH1708" i="4"/>
  <c r="AG1708" i="4"/>
  <c r="AF1708" i="4"/>
  <c r="AE1708" i="4"/>
  <c r="AH1701" i="4"/>
  <c r="AG1701" i="4"/>
  <c r="AF1701" i="4"/>
  <c r="AE1701" i="4"/>
  <c r="AH1688" i="4"/>
  <c r="AG1688" i="4"/>
  <c r="AF1688" i="4"/>
  <c r="AE1688" i="4"/>
  <c r="AH1685" i="4"/>
  <c r="AG1685" i="4"/>
  <c r="AF1685" i="4"/>
  <c r="AE1685" i="4"/>
  <c r="AH1683" i="4"/>
  <c r="AG1683" i="4"/>
  <c r="AF1683" i="4"/>
  <c r="AE1683" i="4"/>
  <c r="AH1682" i="4"/>
  <c r="AG1682" i="4"/>
  <c r="AF1682" i="4"/>
  <c r="AE1682" i="4"/>
  <c r="AH1674" i="4"/>
  <c r="AG1674" i="4"/>
  <c r="AF1674" i="4"/>
  <c r="AE1674" i="4"/>
  <c r="AH1658" i="4"/>
  <c r="AG1658" i="4"/>
  <c r="AF1658" i="4"/>
  <c r="AE1658" i="4"/>
  <c r="AH1647" i="4"/>
  <c r="AG1647" i="4"/>
  <c r="AF1647" i="4"/>
  <c r="AE1647" i="4"/>
  <c r="AH1642" i="4"/>
  <c r="AG1642" i="4"/>
  <c r="AF1642" i="4"/>
  <c r="AE1642" i="4"/>
  <c r="AH1629" i="4"/>
  <c r="AG1629" i="4"/>
  <c r="AF1629" i="4"/>
  <c r="AE1629" i="4"/>
  <c r="AH1625" i="4"/>
  <c r="AG1625" i="4"/>
  <c r="AF1625" i="4"/>
  <c r="AE1625" i="4"/>
  <c r="AH1620" i="4"/>
  <c r="AG1620" i="4"/>
  <c r="AF1620" i="4"/>
  <c r="AE1620" i="4"/>
  <c r="AH1612" i="4"/>
  <c r="AG1612" i="4"/>
  <c r="AF1612" i="4"/>
  <c r="AE1612" i="4"/>
  <c r="AH1598" i="4"/>
  <c r="AG1598" i="4"/>
  <c r="AF1598" i="4"/>
  <c r="AE1598" i="4"/>
  <c r="AH1594" i="4"/>
  <c r="AG1594" i="4"/>
  <c r="AF1594" i="4"/>
  <c r="AE1594" i="4"/>
  <c r="AH1593" i="4"/>
  <c r="AG1593" i="4"/>
  <c r="AF1593" i="4"/>
  <c r="AE1593" i="4"/>
  <c r="AH1591" i="4"/>
  <c r="AG1591" i="4"/>
  <c r="AF1591" i="4"/>
  <c r="AE1591" i="4"/>
  <c r="AH1587" i="4"/>
  <c r="AG1587" i="4"/>
  <c r="AF1587" i="4"/>
  <c r="AE1587" i="4"/>
  <c r="AH1556" i="4"/>
  <c r="AG1556" i="4"/>
  <c r="AF1556" i="4"/>
  <c r="AE1556" i="4"/>
  <c r="AH1490" i="4"/>
  <c r="AG1490" i="4"/>
  <c r="AF1490" i="4"/>
  <c r="AE1490" i="4"/>
  <c r="AH1566" i="4"/>
  <c r="AG1566" i="4"/>
  <c r="AF1566" i="4"/>
  <c r="AE1566" i="4"/>
  <c r="AH1561" i="4"/>
  <c r="AG1561" i="4"/>
  <c r="AF1561" i="4"/>
  <c r="AE1561" i="4"/>
  <c r="AH1562" i="4"/>
  <c r="AG1562" i="4"/>
  <c r="AF1562" i="4"/>
  <c r="AE1562" i="4"/>
  <c r="AH1557" i="4"/>
  <c r="AG1557" i="4"/>
  <c r="AF1557" i="4"/>
  <c r="AE1557" i="4"/>
  <c r="AH1453" i="4"/>
  <c r="AG1453" i="4"/>
  <c r="AF1453" i="4"/>
  <c r="AE1453" i="4"/>
  <c r="AH1525" i="4"/>
  <c r="AG1525" i="4"/>
  <c r="AF1525" i="4"/>
  <c r="AE1525" i="4"/>
  <c r="AH1541" i="4"/>
  <c r="AG1541" i="4"/>
  <c r="AF1541" i="4"/>
  <c r="AE1541" i="4"/>
  <c r="AH1537" i="4"/>
  <c r="AG1537" i="4"/>
  <c r="AF1537" i="4"/>
  <c r="AE1537" i="4"/>
  <c r="AH1416" i="4"/>
  <c r="AG1416" i="4"/>
  <c r="AF1416" i="4"/>
  <c r="AE1416" i="4"/>
  <c r="AH1374" i="4"/>
  <c r="AG1374" i="4"/>
  <c r="AF1374" i="4"/>
  <c r="AE1374" i="4"/>
  <c r="AH1516" i="4"/>
  <c r="AG1516" i="4"/>
  <c r="AF1516" i="4"/>
  <c r="AE1516" i="4"/>
  <c r="AH1507" i="4"/>
  <c r="AG1507" i="4"/>
  <c r="AF1507" i="4"/>
  <c r="AE1507" i="4"/>
  <c r="AH1512" i="4"/>
  <c r="AG1512" i="4"/>
  <c r="AF1512" i="4"/>
  <c r="AE1512" i="4"/>
  <c r="AH1268" i="4"/>
  <c r="AG1268" i="4"/>
  <c r="AF1268" i="4"/>
  <c r="AE1268" i="4"/>
  <c r="AH1499" i="4"/>
  <c r="AG1499" i="4"/>
  <c r="AF1499" i="4"/>
  <c r="AE1499" i="4"/>
  <c r="AH1496" i="4"/>
  <c r="AG1496" i="4"/>
  <c r="AF1496" i="4"/>
  <c r="AE1496" i="4"/>
  <c r="AH1497" i="4"/>
  <c r="AG1497" i="4"/>
  <c r="AF1497" i="4"/>
  <c r="AE1497" i="4"/>
  <c r="AH1482" i="4"/>
  <c r="AG1482" i="4"/>
  <c r="AF1482" i="4"/>
  <c r="AE1482" i="4"/>
  <c r="AH1191" i="4"/>
  <c r="AG1191" i="4"/>
  <c r="AF1191" i="4"/>
  <c r="AE1191" i="4"/>
  <c r="AH1463" i="4"/>
  <c r="AG1463" i="4"/>
  <c r="AF1463" i="4"/>
  <c r="AE1463" i="4"/>
  <c r="AH1461" i="4"/>
  <c r="AG1461" i="4"/>
  <c r="AF1461" i="4"/>
  <c r="AE1461" i="4"/>
  <c r="AH1458" i="4"/>
  <c r="AG1458" i="4"/>
  <c r="AF1458" i="4"/>
  <c r="AE1458" i="4"/>
  <c r="AH1457" i="4"/>
  <c r="AG1457" i="4"/>
  <c r="AF1457" i="4"/>
  <c r="AE1457" i="4"/>
  <c r="AH1445" i="4"/>
  <c r="AG1445" i="4"/>
  <c r="AF1445" i="4"/>
  <c r="AE1445" i="4"/>
  <c r="AH1446" i="4"/>
  <c r="AG1446" i="4"/>
  <c r="AF1446" i="4"/>
  <c r="AE1446" i="4"/>
  <c r="AH1443" i="4"/>
  <c r="AG1443" i="4"/>
  <c r="AF1443" i="4"/>
  <c r="AE1443" i="4"/>
  <c r="AH1425" i="4"/>
  <c r="AG1425" i="4"/>
  <c r="AF1425" i="4"/>
  <c r="AE1425" i="4"/>
  <c r="AH1421" i="4"/>
  <c r="AG1421" i="4"/>
  <c r="AF1421" i="4"/>
  <c r="AE1421" i="4"/>
  <c r="AH1407" i="4"/>
  <c r="AG1407" i="4"/>
  <c r="AF1407" i="4"/>
  <c r="AE1407" i="4"/>
  <c r="AH1405" i="4"/>
  <c r="AG1405" i="4"/>
  <c r="AF1405" i="4"/>
  <c r="AE1405" i="4"/>
  <c r="AH1403" i="4"/>
  <c r="AG1403" i="4"/>
  <c r="AF1403" i="4"/>
  <c r="AE1403" i="4"/>
  <c r="AH1386" i="4"/>
  <c r="AG1386" i="4"/>
  <c r="AF1386" i="4"/>
  <c r="AE1386" i="4"/>
  <c r="AH1385" i="4"/>
  <c r="AG1385" i="4"/>
  <c r="AF1385" i="4"/>
  <c r="AE1385" i="4"/>
  <c r="AH1383" i="4"/>
  <c r="AG1383" i="4"/>
  <c r="AF1383" i="4"/>
  <c r="AE1383" i="4"/>
  <c r="AH1380" i="4"/>
  <c r="AG1380" i="4"/>
  <c r="AF1380" i="4"/>
  <c r="AE1380" i="4"/>
  <c r="AH1366" i="4"/>
  <c r="AG1366" i="4"/>
  <c r="AF1366" i="4"/>
  <c r="AE1366" i="4"/>
  <c r="AH1333" i="4"/>
  <c r="AG1333" i="4"/>
  <c r="AF1333" i="4"/>
  <c r="AE1333" i="4"/>
  <c r="AH1365" i="4"/>
  <c r="AG1365" i="4"/>
  <c r="AF1365" i="4"/>
  <c r="AE1365" i="4"/>
  <c r="AH1364" i="4"/>
  <c r="AG1364" i="4"/>
  <c r="AF1364" i="4"/>
  <c r="AE1364" i="4"/>
  <c r="AH1336" i="4"/>
  <c r="AG1336" i="4"/>
  <c r="AF1336" i="4"/>
  <c r="AE1336" i="4"/>
  <c r="AH1358" i="4"/>
  <c r="AG1358" i="4"/>
  <c r="AF1358" i="4"/>
  <c r="AE1358" i="4"/>
  <c r="AH1348" i="4"/>
  <c r="AG1348" i="4"/>
  <c r="AF1348" i="4"/>
  <c r="AE1348" i="4"/>
  <c r="AH1347" i="4"/>
  <c r="AG1347" i="4"/>
  <c r="AF1347" i="4"/>
  <c r="AE1347" i="4"/>
  <c r="AH1346" i="4"/>
  <c r="AG1346" i="4"/>
  <c r="AF1346" i="4"/>
  <c r="AE1346" i="4"/>
  <c r="AH1345" i="4"/>
  <c r="AG1345" i="4"/>
  <c r="AF1345" i="4"/>
  <c r="AE1345" i="4"/>
  <c r="AH1343" i="4"/>
  <c r="AG1343" i="4"/>
  <c r="AF1343" i="4"/>
  <c r="AE1343" i="4"/>
  <c r="AH1339" i="4"/>
  <c r="AG1339" i="4"/>
  <c r="AF1339" i="4"/>
  <c r="AE1339" i="4"/>
  <c r="AH1332" i="4"/>
  <c r="AG1332" i="4"/>
  <c r="AF1332" i="4"/>
  <c r="AE1332" i="4"/>
  <c r="AH1323" i="4"/>
  <c r="AG1323" i="4"/>
  <c r="AF1323" i="4"/>
  <c r="AE1323" i="4"/>
  <c r="AH1330" i="4"/>
  <c r="AG1330" i="4"/>
  <c r="AF1330" i="4"/>
  <c r="AE1330" i="4"/>
  <c r="AH1318" i="4"/>
  <c r="AG1318" i="4"/>
  <c r="AF1318" i="4"/>
  <c r="AE1318" i="4"/>
  <c r="AH1315" i="4"/>
  <c r="AG1315" i="4"/>
  <c r="AF1315" i="4"/>
  <c r="AE1315" i="4"/>
  <c r="AH1312" i="4"/>
  <c r="AG1312" i="4"/>
  <c r="AF1312" i="4"/>
  <c r="AE1312" i="4"/>
  <c r="AH1311" i="4"/>
  <c r="AG1311" i="4"/>
  <c r="AF1311" i="4"/>
  <c r="AE1311" i="4"/>
  <c r="AH1310" i="4"/>
  <c r="AG1310" i="4"/>
  <c r="AF1310" i="4"/>
  <c r="AE1310" i="4"/>
  <c r="AH1308" i="4"/>
  <c r="AG1308" i="4"/>
  <c r="AF1308" i="4"/>
  <c r="AE1308" i="4"/>
  <c r="AH1305" i="4"/>
  <c r="AG1305" i="4"/>
  <c r="AF1305" i="4"/>
  <c r="AE1305" i="4"/>
  <c r="AH1304" i="4"/>
  <c r="AG1304" i="4"/>
  <c r="AF1304" i="4"/>
  <c r="AE1304" i="4"/>
  <c r="AH1306" i="4"/>
  <c r="AG1306" i="4"/>
  <c r="AF1306" i="4"/>
  <c r="AE1306" i="4"/>
  <c r="AH1294" i="4"/>
  <c r="AG1294" i="4"/>
  <c r="AF1294" i="4"/>
  <c r="AE1294" i="4"/>
  <c r="AH1287" i="4"/>
  <c r="AG1287" i="4"/>
  <c r="AF1287" i="4"/>
  <c r="AE1287" i="4"/>
  <c r="AH1288" i="4"/>
  <c r="AG1288" i="4"/>
  <c r="AF1288" i="4"/>
  <c r="AE1288" i="4"/>
  <c r="AH1284" i="4"/>
  <c r="AG1284" i="4"/>
  <c r="AF1284" i="4"/>
  <c r="AE1284" i="4"/>
  <c r="AH1282" i="4"/>
  <c r="AG1282" i="4"/>
  <c r="AF1282" i="4"/>
  <c r="AE1282" i="4"/>
  <c r="AH1276" i="4"/>
  <c r="AG1276" i="4"/>
  <c r="AF1276" i="4"/>
  <c r="AE1276" i="4"/>
  <c r="AH1275" i="4"/>
  <c r="AG1275" i="4"/>
  <c r="AF1275" i="4"/>
  <c r="AE1275" i="4"/>
  <c r="AH1273" i="4"/>
  <c r="AG1273" i="4"/>
  <c r="AF1273" i="4"/>
  <c r="AE1273" i="4"/>
  <c r="AH1272" i="4"/>
  <c r="AG1272" i="4"/>
  <c r="AF1272" i="4"/>
  <c r="AE1272" i="4"/>
  <c r="AH1270" i="4"/>
  <c r="AG1270" i="4"/>
  <c r="AF1270" i="4"/>
  <c r="AE1270" i="4"/>
  <c r="AH1261" i="4"/>
  <c r="AG1261" i="4"/>
  <c r="AF1261" i="4"/>
  <c r="AE1261" i="4"/>
  <c r="AH1235" i="4"/>
  <c r="AG1235" i="4"/>
  <c r="AF1235" i="4"/>
  <c r="AE1235" i="4"/>
  <c r="AH1259" i="4"/>
  <c r="AG1259" i="4"/>
  <c r="AF1259" i="4"/>
  <c r="AE1259" i="4"/>
  <c r="AH1227" i="4"/>
  <c r="AG1227" i="4"/>
  <c r="AF1227" i="4"/>
  <c r="AE1227" i="4"/>
  <c r="AH1256" i="4"/>
  <c r="AG1256" i="4"/>
  <c r="AF1256" i="4"/>
  <c r="AE1256" i="4"/>
  <c r="AH1252" i="4"/>
  <c r="AG1252" i="4"/>
  <c r="AF1252" i="4"/>
  <c r="AE1252" i="4"/>
  <c r="AH1245" i="4"/>
  <c r="AG1245" i="4"/>
  <c r="AF1245" i="4"/>
  <c r="AE1245" i="4"/>
  <c r="AH1244" i="4"/>
  <c r="AG1244" i="4"/>
  <c r="AF1244" i="4"/>
  <c r="AE1244" i="4"/>
  <c r="AH1239" i="4"/>
  <c r="AG1239" i="4"/>
  <c r="AF1239" i="4"/>
  <c r="AE1239" i="4"/>
  <c r="AH1236" i="4"/>
  <c r="AG1236" i="4"/>
  <c r="AF1236" i="4"/>
  <c r="AE1236" i="4"/>
  <c r="AH1232" i="4"/>
  <c r="AG1232" i="4"/>
  <c r="AF1232" i="4"/>
  <c r="AE1232" i="4"/>
  <c r="AH1228" i="4"/>
  <c r="AG1228" i="4"/>
  <c r="AF1228" i="4"/>
  <c r="AE1228" i="4"/>
  <c r="AH1223" i="4"/>
  <c r="AG1223" i="4"/>
  <c r="AF1223" i="4"/>
  <c r="AE1223" i="4"/>
  <c r="AH1222" i="4"/>
  <c r="AG1222" i="4"/>
  <c r="AF1222" i="4"/>
  <c r="AE1222" i="4"/>
  <c r="AH1216" i="4"/>
  <c r="AG1216" i="4"/>
  <c r="AF1216" i="4"/>
  <c r="AE1216" i="4"/>
  <c r="AH1207" i="4"/>
  <c r="AG1207" i="4"/>
  <c r="AF1207" i="4"/>
  <c r="AE1207" i="4"/>
  <c r="AH1202" i="4"/>
  <c r="AG1202" i="4"/>
  <c r="AF1202" i="4"/>
  <c r="AE1202" i="4"/>
  <c r="AH1199" i="4"/>
  <c r="AG1199" i="4"/>
  <c r="AF1199" i="4"/>
  <c r="AE1199" i="4"/>
  <c r="AH1193" i="4"/>
  <c r="AG1193" i="4"/>
  <c r="AF1193" i="4"/>
  <c r="AE1193" i="4"/>
  <c r="AH1198" i="4"/>
  <c r="AG1198" i="4"/>
  <c r="AF1198" i="4"/>
  <c r="AE1198" i="4"/>
  <c r="AH1195" i="4"/>
  <c r="AG1195" i="4"/>
  <c r="AF1195" i="4"/>
  <c r="AE1195" i="4"/>
  <c r="AH1190" i="4"/>
  <c r="AG1190" i="4"/>
  <c r="AF1190" i="4"/>
  <c r="AE1190" i="4"/>
  <c r="AH1183" i="4"/>
  <c r="AG1183" i="4"/>
  <c r="AF1183" i="4"/>
  <c r="AE1183" i="4"/>
  <c r="AH1182" i="4"/>
  <c r="AG1182" i="4"/>
  <c r="AF1182" i="4"/>
  <c r="AE1182" i="4"/>
  <c r="AH1181" i="4"/>
  <c r="AG1181" i="4"/>
  <c r="AF1181" i="4"/>
  <c r="AE1181" i="4"/>
  <c r="AH1175" i="4"/>
  <c r="AG1175" i="4"/>
  <c r="AF1175" i="4"/>
  <c r="AE1175" i="4"/>
  <c r="AH1173" i="4"/>
  <c r="AG1173" i="4"/>
  <c r="AF1173" i="4"/>
  <c r="AE1173" i="4"/>
  <c r="AH1167" i="4"/>
  <c r="AG1167" i="4"/>
  <c r="AF1167" i="4"/>
  <c r="AE1167" i="4"/>
  <c r="AH1165" i="4"/>
  <c r="AG1165" i="4"/>
  <c r="AF1165" i="4"/>
  <c r="AE1165" i="4"/>
  <c r="AH1157" i="4"/>
  <c r="AG1157" i="4"/>
  <c r="AF1157" i="4"/>
  <c r="AE1157" i="4"/>
  <c r="AH1156" i="4"/>
  <c r="AG1156" i="4"/>
  <c r="AF1156" i="4"/>
  <c r="AE1156" i="4"/>
  <c r="AH1152" i="4"/>
  <c r="AG1152" i="4"/>
  <c r="AF1152" i="4"/>
  <c r="AE1152" i="4"/>
  <c r="AH1154" i="4"/>
  <c r="AG1154" i="4"/>
  <c r="AF1154" i="4"/>
  <c r="AE1154" i="4"/>
  <c r="AH1149" i="4"/>
  <c r="AG1149" i="4"/>
  <c r="AF1149" i="4"/>
  <c r="AE1149" i="4"/>
  <c r="AH1142" i="4"/>
  <c r="AG1142" i="4"/>
  <c r="AF1142" i="4"/>
  <c r="AE1142" i="4"/>
  <c r="AH1118" i="4"/>
  <c r="AG1118" i="4"/>
  <c r="AF1118" i="4"/>
  <c r="AE1118" i="4"/>
  <c r="AH1141" i="4"/>
  <c r="AG1141" i="4"/>
  <c r="AF1141" i="4"/>
  <c r="AE1141" i="4"/>
  <c r="AH1139" i="4"/>
  <c r="AG1139" i="4"/>
  <c r="AF1139" i="4"/>
  <c r="AE1139" i="4"/>
  <c r="AH1133" i="4"/>
  <c r="AG1133" i="4"/>
  <c r="AF1133" i="4"/>
  <c r="AE1133" i="4"/>
  <c r="AH1127" i="4"/>
  <c r="AG1127" i="4"/>
  <c r="AF1127" i="4"/>
  <c r="AE1127" i="4"/>
  <c r="AH1126" i="4"/>
  <c r="AG1126" i="4"/>
  <c r="AF1126" i="4"/>
  <c r="AE1126" i="4"/>
  <c r="AH1122" i="4"/>
  <c r="AG1122" i="4"/>
  <c r="AF1122" i="4"/>
  <c r="AE1122" i="4"/>
  <c r="AH1119" i="4"/>
  <c r="AG1119" i="4"/>
  <c r="AF1119" i="4"/>
  <c r="AE1119" i="4"/>
  <c r="AH1117" i="4"/>
  <c r="AG1117" i="4"/>
  <c r="AF1117" i="4"/>
  <c r="AE1117" i="4"/>
  <c r="AH1112" i="4"/>
  <c r="AG1112" i="4"/>
  <c r="AF1112" i="4"/>
  <c r="AE1112" i="4"/>
  <c r="AH1116" i="4"/>
  <c r="AG1116" i="4"/>
  <c r="AF1116" i="4"/>
  <c r="AE1116" i="4"/>
  <c r="AH1115" i="4"/>
  <c r="AG1115" i="4"/>
  <c r="AF1115" i="4"/>
  <c r="AE1115" i="4"/>
  <c r="AH1106" i="4"/>
  <c r="AG1106" i="4"/>
  <c r="AF1106" i="4"/>
  <c r="AE1106" i="4"/>
  <c r="AH1076" i="4"/>
  <c r="AG1076" i="4"/>
  <c r="AF1076" i="4"/>
  <c r="AE1076" i="4"/>
  <c r="AH1101" i="4"/>
  <c r="AG1101" i="4"/>
  <c r="AF1101" i="4"/>
  <c r="AE1101" i="4"/>
  <c r="AH1100" i="4"/>
  <c r="AG1100" i="4"/>
  <c r="AF1100" i="4"/>
  <c r="AE1100" i="4"/>
  <c r="AH1094" i="4"/>
  <c r="AG1094" i="4"/>
  <c r="AF1094" i="4"/>
  <c r="AE1094" i="4"/>
  <c r="AH1095" i="4"/>
  <c r="AG1095" i="4"/>
  <c r="AF1095" i="4"/>
  <c r="AE1095" i="4"/>
  <c r="AH1083" i="4"/>
  <c r="AG1083" i="4"/>
  <c r="AF1083" i="4"/>
  <c r="AE1083" i="4"/>
  <c r="AH1082" i="4"/>
  <c r="AG1082" i="4"/>
  <c r="AF1082" i="4"/>
  <c r="AE1082" i="4"/>
  <c r="AH1081" i="4"/>
  <c r="AG1081" i="4"/>
  <c r="AF1081" i="4"/>
  <c r="AE1081" i="4"/>
  <c r="AH1077" i="4"/>
  <c r="AG1077" i="4"/>
  <c r="AF1077" i="4"/>
  <c r="AE1077" i="4"/>
  <c r="AH1080" i="4"/>
  <c r="AG1080" i="4"/>
  <c r="AF1080" i="4"/>
  <c r="AE1080" i="4"/>
  <c r="AH1073" i="4"/>
  <c r="AG1073" i="4"/>
  <c r="AF1073" i="4"/>
  <c r="AE1073" i="4"/>
  <c r="AH1072" i="4"/>
  <c r="AG1072" i="4"/>
  <c r="AF1072" i="4"/>
  <c r="AE1072" i="4"/>
  <c r="AH1064" i="4"/>
  <c r="AG1064" i="4"/>
  <c r="AF1064" i="4"/>
  <c r="AE1064" i="4"/>
  <c r="AH1061" i="4"/>
  <c r="AG1061" i="4"/>
  <c r="AF1061" i="4"/>
  <c r="AE1061" i="4"/>
  <c r="AH1039" i="4"/>
  <c r="AG1039" i="4"/>
  <c r="AF1039" i="4"/>
  <c r="AE1039" i="4"/>
  <c r="AH1059" i="4"/>
  <c r="AG1059" i="4"/>
  <c r="AF1059" i="4"/>
  <c r="AE1059" i="4"/>
  <c r="AH1047" i="4"/>
  <c r="AG1047" i="4"/>
  <c r="AF1047" i="4"/>
  <c r="AE1047" i="4"/>
  <c r="AH1046" i="4"/>
  <c r="AG1046" i="4"/>
  <c r="AF1046" i="4"/>
  <c r="AE1046" i="4"/>
  <c r="AH1042" i="4"/>
  <c r="AG1042" i="4"/>
  <c r="AF1042" i="4"/>
  <c r="AE1042" i="4"/>
  <c r="AH1040" i="4"/>
  <c r="AG1040" i="4"/>
  <c r="AF1040" i="4"/>
  <c r="AE1040" i="4"/>
  <c r="AH1036" i="4"/>
  <c r="AG1036" i="4"/>
  <c r="AF1036" i="4"/>
  <c r="AE1036" i="4"/>
  <c r="AH1025" i="4"/>
  <c r="AG1025" i="4"/>
  <c r="AF1025" i="4"/>
  <c r="AE1025" i="4"/>
  <c r="AH1024" i="4"/>
  <c r="AG1024" i="4"/>
  <c r="AF1024" i="4"/>
  <c r="AE1024" i="4"/>
  <c r="AH1023" i="4"/>
  <c r="AG1023" i="4"/>
  <c r="AF1023" i="4"/>
  <c r="AE1023" i="4"/>
  <c r="AH1022" i="4"/>
  <c r="AG1022" i="4"/>
  <c r="AF1022" i="4"/>
  <c r="AE1022" i="4"/>
  <c r="AH1018" i="4"/>
  <c r="AG1018" i="4"/>
  <c r="AF1018" i="4"/>
  <c r="AE1018" i="4"/>
  <c r="AH1013" i="4"/>
  <c r="AG1013" i="4"/>
  <c r="AF1013" i="4"/>
  <c r="AE1013" i="4"/>
  <c r="AH1011" i="4"/>
  <c r="AG1011" i="4"/>
  <c r="AF1011" i="4"/>
  <c r="AE1011" i="4"/>
  <c r="AH1009" i="4"/>
  <c r="AG1009" i="4"/>
  <c r="AF1009" i="4"/>
  <c r="AE1009" i="4"/>
  <c r="AH1002" i="4"/>
  <c r="AG1002" i="4"/>
  <c r="AF1002" i="4"/>
  <c r="AH1003" i="4"/>
  <c r="AG1003" i="4"/>
  <c r="AF1003" i="4"/>
  <c r="AE1003" i="4"/>
  <c r="AH1000" i="4"/>
  <c r="AG1000" i="4"/>
  <c r="AF1000" i="4"/>
  <c r="AH995" i="4"/>
  <c r="AG995" i="4"/>
  <c r="AF995" i="4"/>
  <c r="AE995" i="4"/>
  <c r="AH990" i="4"/>
  <c r="AG990" i="4"/>
  <c r="AF990" i="4"/>
  <c r="AE990" i="4"/>
  <c r="AH989" i="4"/>
  <c r="AG989" i="4"/>
  <c r="AF989" i="4"/>
  <c r="AE989" i="4"/>
  <c r="AH988" i="4"/>
  <c r="AG988" i="4"/>
  <c r="AF988" i="4"/>
  <c r="AE988" i="4"/>
  <c r="AH987" i="4"/>
  <c r="AG987" i="4"/>
  <c r="AF987" i="4"/>
  <c r="AE987" i="4"/>
  <c r="AH985" i="4"/>
  <c r="AG985" i="4"/>
  <c r="AF985" i="4"/>
  <c r="AE985" i="4"/>
  <c r="AH981" i="4"/>
  <c r="AG981" i="4"/>
  <c r="AF981" i="4"/>
  <c r="AE981" i="4"/>
  <c r="AH973" i="4"/>
  <c r="AG973" i="4"/>
  <c r="AF973" i="4"/>
  <c r="AE973" i="4"/>
  <c r="AH972" i="4"/>
  <c r="AG972" i="4"/>
  <c r="AF972" i="4"/>
  <c r="AH971" i="4"/>
  <c r="AG971" i="4"/>
  <c r="AF971" i="4"/>
  <c r="AE971" i="4"/>
  <c r="AH968" i="4"/>
  <c r="AG968" i="4"/>
  <c r="AF968" i="4"/>
  <c r="AE968" i="4"/>
  <c r="AH966" i="4"/>
  <c r="AG966" i="4"/>
  <c r="AF966" i="4"/>
  <c r="AE966" i="4"/>
  <c r="AH962" i="4"/>
  <c r="AG962" i="4"/>
  <c r="AF962" i="4"/>
  <c r="AE962" i="4"/>
  <c r="AH963" i="4"/>
  <c r="AG963" i="4"/>
  <c r="AF963" i="4"/>
  <c r="AE963" i="4"/>
  <c r="AH961" i="4"/>
  <c r="AG961" i="4"/>
  <c r="AF961" i="4"/>
  <c r="AH958" i="4"/>
  <c r="AG958" i="4"/>
  <c r="AF958" i="4"/>
  <c r="AE958" i="4"/>
  <c r="AH960" i="4"/>
  <c r="AG960" i="4"/>
  <c r="AF960" i="4"/>
  <c r="AE960" i="4"/>
  <c r="AH957" i="4"/>
  <c r="AG957" i="4"/>
  <c r="AF957" i="4"/>
  <c r="AH948" i="4"/>
  <c r="AG948" i="4"/>
  <c r="AF948" i="4"/>
  <c r="AE948" i="4"/>
  <c r="AH949" i="4"/>
  <c r="AG949" i="4"/>
  <c r="AF949" i="4"/>
  <c r="AE949" i="4"/>
  <c r="AH946" i="4"/>
  <c r="AG946" i="4"/>
  <c r="AF946" i="4"/>
  <c r="AE946" i="4"/>
  <c r="AH945" i="4"/>
  <c r="AG945" i="4"/>
  <c r="AF945" i="4"/>
  <c r="AE945" i="4"/>
  <c r="AH939" i="4"/>
  <c r="AG939" i="4"/>
  <c r="AF939" i="4"/>
  <c r="AE939" i="4"/>
  <c r="AH932" i="4"/>
  <c r="AG932" i="4"/>
  <c r="AF932" i="4"/>
  <c r="AE932" i="4"/>
  <c r="AH931" i="4"/>
  <c r="AG931" i="4"/>
  <c r="AF931" i="4"/>
  <c r="AH929" i="4"/>
  <c r="AG929" i="4"/>
  <c r="AF929" i="4"/>
  <c r="AE929" i="4"/>
  <c r="AH927" i="4"/>
  <c r="AG927" i="4"/>
  <c r="AF927" i="4"/>
  <c r="AE927" i="4"/>
  <c r="AH924" i="4"/>
  <c r="AG924" i="4"/>
  <c r="AF924" i="4"/>
  <c r="AE924" i="4"/>
  <c r="AH925" i="4"/>
  <c r="AG925" i="4"/>
  <c r="AF925" i="4"/>
  <c r="AE925" i="4"/>
  <c r="AH922" i="4"/>
  <c r="AG922" i="4"/>
  <c r="AF922" i="4"/>
  <c r="AE922" i="4"/>
  <c r="AH921" i="4"/>
  <c r="AG921" i="4"/>
  <c r="AF921" i="4"/>
  <c r="AE921" i="4"/>
  <c r="AH920" i="4"/>
  <c r="AG920" i="4"/>
  <c r="AF920" i="4"/>
  <c r="AE920" i="4"/>
  <c r="AH917" i="4"/>
  <c r="AG917" i="4"/>
  <c r="AF917" i="4"/>
  <c r="AH907" i="4"/>
  <c r="AG907" i="4"/>
  <c r="AF907" i="4"/>
  <c r="AE907" i="4"/>
  <c r="AH905" i="4"/>
  <c r="AG905" i="4"/>
  <c r="AF905" i="4"/>
  <c r="AE905" i="4"/>
  <c r="AH906" i="4"/>
  <c r="AG906" i="4"/>
  <c r="AF906" i="4"/>
  <c r="AE906" i="4"/>
  <c r="AH899" i="4"/>
  <c r="AG899" i="4"/>
  <c r="AF899" i="4"/>
  <c r="AE899" i="4"/>
  <c r="AH891" i="4"/>
  <c r="AG891" i="4"/>
  <c r="AF891" i="4"/>
  <c r="AE891" i="4"/>
  <c r="AH890" i="4"/>
  <c r="AG890" i="4"/>
  <c r="AF890" i="4"/>
  <c r="AH889" i="4"/>
  <c r="AG889" i="4"/>
  <c r="AF889" i="4"/>
  <c r="AE889" i="4"/>
  <c r="AH887" i="4"/>
  <c r="AG887" i="4"/>
  <c r="AF887" i="4"/>
  <c r="AE887" i="4"/>
  <c r="AH880" i="4"/>
  <c r="AG880" i="4"/>
  <c r="AF880" i="4"/>
  <c r="AE880" i="4"/>
  <c r="AH881" i="4"/>
  <c r="AG881" i="4"/>
  <c r="AF881" i="4"/>
  <c r="AE881" i="4"/>
  <c r="AH879" i="4"/>
  <c r="AG879" i="4"/>
  <c r="AF879" i="4"/>
  <c r="AH878" i="4"/>
  <c r="AG878" i="4"/>
  <c r="AF878" i="4"/>
  <c r="AE878" i="4"/>
  <c r="AH876" i="4"/>
  <c r="AG876" i="4"/>
  <c r="AF876" i="4"/>
  <c r="AH866" i="4"/>
  <c r="AG866" i="4"/>
  <c r="AF866" i="4"/>
  <c r="AE866" i="4"/>
  <c r="AH865" i="4"/>
  <c r="AG865" i="4"/>
  <c r="AF865" i="4"/>
  <c r="AE865" i="4"/>
  <c r="AH863" i="4"/>
  <c r="AG863" i="4"/>
  <c r="AF863" i="4"/>
  <c r="AE863" i="4"/>
  <c r="AH833" i="4"/>
  <c r="AG833" i="4"/>
  <c r="AF833" i="4"/>
  <c r="AE833" i="4"/>
  <c r="AH857" i="4"/>
  <c r="AG857" i="4"/>
  <c r="AF857" i="4"/>
  <c r="AE857" i="4"/>
  <c r="AH858" i="4"/>
  <c r="AG858" i="4"/>
  <c r="AF858" i="4"/>
  <c r="AE858" i="4"/>
  <c r="AH851" i="4"/>
  <c r="AG851" i="4"/>
  <c r="AF851" i="4"/>
  <c r="AH850" i="4"/>
  <c r="AG850" i="4"/>
  <c r="AF850" i="4"/>
  <c r="AE850" i="4"/>
  <c r="AH847" i="4"/>
  <c r="AG847" i="4"/>
  <c r="AF847" i="4"/>
  <c r="AE847" i="4"/>
  <c r="AH843" i="4"/>
  <c r="AG843" i="4"/>
  <c r="AF843" i="4"/>
  <c r="AE843" i="4"/>
  <c r="AH840" i="4"/>
  <c r="AG840" i="4"/>
  <c r="AF840" i="4"/>
  <c r="AE840" i="4"/>
  <c r="AH831" i="4"/>
  <c r="AG831" i="4"/>
  <c r="AF831" i="4"/>
  <c r="AE831" i="4"/>
  <c r="AH830" i="4"/>
  <c r="AG830" i="4"/>
  <c r="AF830" i="4"/>
  <c r="AE830" i="4"/>
  <c r="AH804" i="4"/>
  <c r="AG804" i="4"/>
  <c r="AF804" i="4"/>
  <c r="AE804" i="4"/>
  <c r="AH828" i="4"/>
  <c r="AG828" i="4"/>
  <c r="AF828" i="4"/>
  <c r="AE828" i="4"/>
  <c r="AH823" i="4"/>
  <c r="AG823" i="4"/>
  <c r="AF823" i="4"/>
  <c r="AH815" i="4"/>
  <c r="AG815" i="4"/>
  <c r="AF815" i="4"/>
  <c r="AE815" i="4"/>
  <c r="AH812" i="4"/>
  <c r="AG812" i="4"/>
  <c r="AF812" i="4"/>
  <c r="AE812" i="4"/>
  <c r="AH810" i="4"/>
  <c r="AG810" i="4"/>
  <c r="AF810" i="4"/>
  <c r="AE810" i="4"/>
  <c r="AH805" i="4"/>
  <c r="AG805" i="4"/>
  <c r="AF805" i="4"/>
  <c r="AE805" i="4"/>
  <c r="AH808" i="4"/>
  <c r="AG808" i="4"/>
  <c r="AF808" i="4"/>
  <c r="AE808" i="4"/>
  <c r="AH806" i="4"/>
  <c r="AG806" i="4"/>
  <c r="AF806" i="4"/>
  <c r="AE806" i="4"/>
  <c r="AH800" i="4"/>
  <c r="AG800" i="4"/>
  <c r="AF800" i="4"/>
  <c r="AE800" i="4"/>
  <c r="AH563" i="4"/>
  <c r="AG563" i="4"/>
  <c r="AF563" i="4"/>
  <c r="AE563" i="4"/>
  <c r="AH802" i="4"/>
  <c r="AG802" i="4"/>
  <c r="AF802" i="4"/>
  <c r="AE802" i="4"/>
  <c r="AH787" i="4"/>
  <c r="AG787" i="4"/>
  <c r="AF787" i="4"/>
  <c r="AE787" i="4"/>
  <c r="AH766" i="4"/>
  <c r="AG766" i="4"/>
  <c r="AF766" i="4"/>
  <c r="AE766" i="4"/>
  <c r="AH786" i="4"/>
  <c r="AG786" i="4"/>
  <c r="AF786" i="4"/>
  <c r="AE786" i="4"/>
  <c r="AH775" i="4"/>
  <c r="AG775" i="4"/>
  <c r="AF775" i="4"/>
  <c r="AE775" i="4"/>
  <c r="AH774" i="4"/>
  <c r="AG774" i="4"/>
  <c r="AF774" i="4"/>
  <c r="AE774" i="4"/>
  <c r="AH772" i="4"/>
  <c r="AG772" i="4"/>
  <c r="AF772" i="4"/>
  <c r="AE772" i="4"/>
  <c r="AH770" i="4"/>
  <c r="AG770" i="4"/>
  <c r="AF770" i="4"/>
  <c r="AE770" i="4"/>
  <c r="AH767" i="4"/>
  <c r="AG767" i="4"/>
  <c r="AF767" i="4"/>
  <c r="AE767" i="4"/>
  <c r="AH765" i="4"/>
  <c r="AG765" i="4"/>
  <c r="AF765" i="4"/>
  <c r="AE765" i="4"/>
  <c r="AH763" i="4"/>
  <c r="AG763" i="4"/>
  <c r="AF763" i="4"/>
  <c r="AE763" i="4"/>
  <c r="AH753" i="4"/>
  <c r="AG753" i="4"/>
  <c r="AF753" i="4"/>
  <c r="AE753" i="4"/>
  <c r="AH752" i="4"/>
  <c r="AG752" i="4"/>
  <c r="AF752" i="4"/>
  <c r="AE752" i="4"/>
  <c r="AH745" i="4"/>
  <c r="AG745" i="4"/>
  <c r="AF745" i="4"/>
  <c r="AE745" i="4"/>
  <c r="AH743" i="4"/>
  <c r="AG743" i="4"/>
  <c r="AF743" i="4"/>
  <c r="AE743" i="4"/>
  <c r="AH741" i="4"/>
  <c r="AG741" i="4"/>
  <c r="AF741" i="4"/>
  <c r="AE741" i="4"/>
  <c r="AH740" i="4"/>
  <c r="AG740" i="4"/>
  <c r="AF740" i="4"/>
  <c r="AE740" i="4"/>
  <c r="AH738" i="4"/>
  <c r="AG738" i="4"/>
  <c r="AF738" i="4"/>
  <c r="AE738" i="4"/>
  <c r="AH737" i="4"/>
  <c r="AG737" i="4"/>
  <c r="AF737" i="4"/>
  <c r="AE737" i="4"/>
  <c r="AH735" i="4"/>
  <c r="AG735" i="4"/>
  <c r="AF735" i="4"/>
  <c r="AE735" i="4"/>
  <c r="AH732" i="4"/>
  <c r="AG732" i="4"/>
  <c r="AF732" i="4"/>
  <c r="AE732" i="4"/>
  <c r="AH730" i="4"/>
  <c r="AG730" i="4"/>
  <c r="AF730" i="4"/>
  <c r="AE730" i="4"/>
  <c r="AH729" i="4"/>
  <c r="AG729" i="4"/>
  <c r="AF729" i="4"/>
  <c r="AE729" i="4"/>
  <c r="AH720" i="4"/>
  <c r="AG720" i="4"/>
  <c r="AF720" i="4"/>
  <c r="AE720" i="4"/>
  <c r="AH717" i="4"/>
  <c r="AG717" i="4"/>
  <c r="AF717" i="4"/>
  <c r="AE717" i="4"/>
  <c r="AH718" i="4"/>
  <c r="AG718" i="4"/>
  <c r="AF718" i="4"/>
  <c r="AE718" i="4"/>
  <c r="AH716" i="4"/>
  <c r="AG716" i="4"/>
  <c r="AF716" i="4"/>
  <c r="AE716" i="4"/>
  <c r="AH686" i="4"/>
  <c r="AG686" i="4"/>
  <c r="AF686" i="4"/>
  <c r="AE686" i="4"/>
  <c r="AH712" i="4"/>
  <c r="AG712" i="4"/>
  <c r="AF712" i="4"/>
  <c r="AE712" i="4"/>
  <c r="AH709" i="4"/>
  <c r="AG709" i="4"/>
  <c r="AF709" i="4"/>
  <c r="AE709" i="4"/>
  <c r="AH700" i="4"/>
  <c r="AG700" i="4"/>
  <c r="AF700" i="4"/>
  <c r="AE700" i="4"/>
  <c r="AH699" i="4"/>
  <c r="AG699" i="4"/>
  <c r="AF699" i="4"/>
  <c r="AE699" i="4"/>
  <c r="AH696" i="4"/>
  <c r="AG696" i="4"/>
  <c r="AF696" i="4"/>
  <c r="AE696" i="4"/>
  <c r="AH694" i="4"/>
  <c r="AG694" i="4"/>
  <c r="AF694" i="4"/>
  <c r="AE694" i="4"/>
  <c r="AH691" i="4"/>
  <c r="AG691" i="4"/>
  <c r="AF691" i="4"/>
  <c r="AE691" i="4"/>
  <c r="AH693" i="4"/>
  <c r="AG693" i="4"/>
  <c r="AF693" i="4"/>
  <c r="AE693" i="4"/>
  <c r="AH687" i="4"/>
  <c r="AG687" i="4"/>
  <c r="AF687" i="4"/>
  <c r="AE687" i="4"/>
  <c r="AH682" i="4"/>
  <c r="AG682" i="4"/>
  <c r="AF682" i="4"/>
  <c r="AE682" i="4"/>
  <c r="AH679" i="4"/>
  <c r="AG679" i="4"/>
  <c r="AF679" i="4"/>
  <c r="AE679" i="4"/>
  <c r="AH678" i="4"/>
  <c r="AG678" i="4"/>
  <c r="AF678" i="4"/>
  <c r="AE678" i="4"/>
  <c r="AH676" i="4"/>
  <c r="AG676" i="4"/>
  <c r="AF676" i="4"/>
  <c r="AE676" i="4"/>
  <c r="AH671" i="4"/>
  <c r="AG671" i="4"/>
  <c r="AF671" i="4"/>
  <c r="AE671" i="4"/>
  <c r="AH669" i="4"/>
  <c r="AG669" i="4"/>
  <c r="AF669" i="4"/>
  <c r="AE669" i="4"/>
  <c r="AH665" i="4"/>
  <c r="AG665" i="4"/>
  <c r="AF665" i="4"/>
  <c r="AE665" i="4"/>
  <c r="AH660" i="4"/>
  <c r="AG660" i="4"/>
  <c r="AF660" i="4"/>
  <c r="AE660" i="4"/>
  <c r="AH659" i="4"/>
  <c r="AG659" i="4"/>
  <c r="AF659" i="4"/>
  <c r="AE659" i="4"/>
  <c r="AH653" i="4"/>
  <c r="AG653" i="4"/>
  <c r="AF653" i="4"/>
  <c r="AE653" i="4"/>
  <c r="AH648" i="4"/>
  <c r="AG648" i="4"/>
  <c r="AF648" i="4"/>
  <c r="AE648" i="4"/>
  <c r="AH652" i="4"/>
  <c r="AG652" i="4"/>
  <c r="AF652" i="4"/>
  <c r="AE652" i="4"/>
  <c r="AH643" i="4"/>
  <c r="AG643" i="4"/>
  <c r="AF643" i="4"/>
  <c r="AE643" i="4"/>
  <c r="AH1583" i="4"/>
  <c r="AG1583" i="4"/>
  <c r="AF1583" i="4"/>
  <c r="AE1583" i="4"/>
  <c r="AH639" i="4"/>
  <c r="AG639" i="4"/>
  <c r="AF639" i="4"/>
  <c r="AE639" i="4"/>
  <c r="AH637" i="4"/>
  <c r="AG637" i="4"/>
  <c r="AF637" i="4"/>
  <c r="AE637" i="4"/>
  <c r="AH632" i="4"/>
  <c r="AG632" i="4"/>
  <c r="AF632" i="4"/>
  <c r="AE632" i="4"/>
  <c r="AH628" i="4"/>
  <c r="AG628" i="4"/>
  <c r="AF628" i="4"/>
  <c r="AE628" i="4"/>
  <c r="AH689" i="4"/>
  <c r="AG689" i="4"/>
  <c r="AF689" i="4"/>
  <c r="AE689" i="4"/>
  <c r="AH621" i="4"/>
  <c r="AG621" i="4"/>
  <c r="AF621" i="4"/>
  <c r="AE621" i="4"/>
  <c r="AH613" i="4"/>
  <c r="AG613" i="4"/>
  <c r="AF613" i="4"/>
  <c r="AE613" i="4"/>
  <c r="AH612" i="4"/>
  <c r="AG612" i="4"/>
  <c r="AF612" i="4"/>
  <c r="AE612" i="4"/>
  <c r="AH607" i="4"/>
  <c r="AG607" i="4"/>
  <c r="AF607" i="4"/>
  <c r="AE607" i="4"/>
  <c r="AH608" i="4"/>
  <c r="AG608" i="4"/>
  <c r="AF608" i="4"/>
  <c r="AE608" i="4"/>
  <c r="AH610" i="4"/>
  <c r="AG610" i="4"/>
  <c r="AF610" i="4"/>
  <c r="AE610" i="4"/>
  <c r="AH602" i="4"/>
  <c r="AG602" i="4"/>
  <c r="AF602" i="4"/>
  <c r="AE602" i="4"/>
  <c r="AH380" i="4"/>
  <c r="AG380" i="4"/>
  <c r="AF380" i="4"/>
  <c r="AE380" i="4"/>
  <c r="AH597" i="4"/>
  <c r="AG597" i="4"/>
  <c r="AF597" i="4"/>
  <c r="AE597" i="4"/>
  <c r="AH594" i="4"/>
  <c r="AG594" i="4"/>
  <c r="AF594" i="4"/>
  <c r="AE594" i="4"/>
  <c r="AH592" i="4"/>
  <c r="AG592" i="4"/>
  <c r="AF592" i="4"/>
  <c r="AE592" i="4"/>
  <c r="AH588" i="4"/>
  <c r="AG588" i="4"/>
  <c r="AF588" i="4"/>
  <c r="AE588" i="4"/>
  <c r="AH583" i="4"/>
  <c r="AG583" i="4"/>
  <c r="AF583" i="4"/>
  <c r="AE583" i="4"/>
  <c r="AH584" i="4"/>
  <c r="AG584" i="4"/>
  <c r="AF584" i="4"/>
  <c r="AE584" i="4"/>
  <c r="AH1567" i="4"/>
  <c r="AG1567" i="4"/>
  <c r="AF1567" i="4"/>
  <c r="AE1567" i="4"/>
  <c r="AH577" i="4"/>
  <c r="AG577" i="4"/>
  <c r="AF577" i="4"/>
  <c r="AE577" i="4"/>
  <c r="AH575" i="4"/>
  <c r="AG575" i="4"/>
  <c r="AF575" i="4"/>
  <c r="AE575" i="4"/>
  <c r="AH571" i="4"/>
  <c r="AG571" i="4"/>
  <c r="AF571" i="4"/>
  <c r="AE571" i="4"/>
  <c r="AH572" i="4"/>
  <c r="AG572" i="4"/>
  <c r="AF572" i="4"/>
  <c r="AE572" i="4"/>
  <c r="AH568" i="4"/>
  <c r="AG568" i="4"/>
  <c r="AF568" i="4"/>
  <c r="AE568" i="4"/>
  <c r="AH558" i="4"/>
  <c r="AG558" i="4"/>
  <c r="AF558" i="4"/>
  <c r="AE558" i="4"/>
  <c r="AH557" i="4"/>
  <c r="AG557" i="4"/>
  <c r="AF557" i="4"/>
  <c r="AE557" i="4"/>
  <c r="AH520" i="4"/>
  <c r="AG520" i="4"/>
  <c r="AF520" i="4"/>
  <c r="AE520" i="4"/>
  <c r="AH551" i="4"/>
  <c r="AG551" i="4"/>
  <c r="AF551" i="4"/>
  <c r="AE551" i="4"/>
  <c r="AH548" i="4"/>
  <c r="AG548" i="4"/>
  <c r="AF548" i="4"/>
  <c r="AE548" i="4"/>
  <c r="AH1468" i="4"/>
  <c r="AG1468" i="4"/>
  <c r="AF1468" i="4"/>
  <c r="AE1468" i="4"/>
  <c r="AH540" i="4"/>
  <c r="AG540" i="4"/>
  <c r="AF540" i="4"/>
  <c r="AE540" i="4"/>
  <c r="AH537" i="4"/>
  <c r="AG537" i="4"/>
  <c r="AF537" i="4"/>
  <c r="AE537" i="4"/>
  <c r="AH535" i="4"/>
  <c r="AG535" i="4"/>
  <c r="AF535" i="4"/>
  <c r="AE535" i="4"/>
  <c r="AH532" i="4"/>
  <c r="AG532" i="4"/>
  <c r="AF532" i="4"/>
  <c r="AE532" i="4"/>
  <c r="AH533" i="4"/>
  <c r="AG533" i="4"/>
  <c r="AF533" i="4"/>
  <c r="AE533" i="4"/>
  <c r="AH531" i="4"/>
  <c r="AG531" i="4"/>
  <c r="AF531" i="4"/>
  <c r="AE531" i="4"/>
  <c r="AH521" i="4"/>
  <c r="AG521" i="4"/>
  <c r="AF521" i="4"/>
  <c r="AE521" i="4"/>
  <c r="AH523" i="4"/>
  <c r="AG523" i="4"/>
  <c r="AF523" i="4"/>
  <c r="AE523" i="4"/>
  <c r="AH517" i="4"/>
  <c r="AG517" i="4"/>
  <c r="AF517" i="4"/>
  <c r="AE517" i="4"/>
  <c r="AH492" i="4"/>
  <c r="AG492" i="4"/>
  <c r="AF492" i="4"/>
  <c r="AE492" i="4"/>
  <c r="AH515" i="4"/>
  <c r="AG515" i="4"/>
  <c r="AF515" i="4"/>
  <c r="AE515" i="4"/>
  <c r="AH512" i="4"/>
  <c r="AG512" i="4"/>
  <c r="AF512" i="4"/>
  <c r="AE512" i="4"/>
  <c r="AH509" i="4"/>
  <c r="AG509" i="4"/>
  <c r="AF509" i="4"/>
  <c r="AE509" i="4"/>
  <c r="AH506" i="4"/>
  <c r="AG506" i="4"/>
  <c r="AF506" i="4"/>
  <c r="AE506" i="4"/>
  <c r="AH507" i="4"/>
  <c r="AG507" i="4"/>
  <c r="AF507" i="4"/>
  <c r="AE507" i="4"/>
  <c r="AH497" i="4"/>
  <c r="AG497" i="4"/>
  <c r="AF497" i="4"/>
  <c r="AE497" i="4"/>
  <c r="AH495" i="4"/>
  <c r="AG495" i="4"/>
  <c r="AF495" i="4"/>
  <c r="AE495" i="4"/>
  <c r="AH493" i="4"/>
  <c r="AG493" i="4"/>
  <c r="AF493" i="4"/>
  <c r="AE493" i="4"/>
  <c r="AH491" i="4"/>
  <c r="AG491" i="4"/>
  <c r="AF491" i="4"/>
  <c r="AE491" i="4"/>
  <c r="AH484" i="4"/>
  <c r="AG484" i="4"/>
  <c r="AF484" i="4"/>
  <c r="AE484" i="4"/>
  <c r="AH480" i="4"/>
  <c r="AG480" i="4"/>
  <c r="AF480" i="4"/>
  <c r="AE480" i="4"/>
  <c r="AH478" i="4"/>
  <c r="AG478" i="4"/>
  <c r="AF478" i="4"/>
  <c r="AE478" i="4"/>
  <c r="AH447" i="4"/>
  <c r="AG447" i="4"/>
  <c r="AF447" i="4"/>
  <c r="AE447" i="4"/>
  <c r="AH472" i="4"/>
  <c r="AG472" i="4"/>
  <c r="AF472" i="4"/>
  <c r="AE472" i="4"/>
  <c r="AH469" i="4"/>
  <c r="AG469" i="4"/>
  <c r="AF469" i="4"/>
  <c r="AE469" i="4"/>
  <c r="AH467" i="4"/>
  <c r="AG467" i="4"/>
  <c r="AF467" i="4"/>
  <c r="AE467" i="4"/>
  <c r="AH1246" i="4"/>
  <c r="AG1246" i="4"/>
  <c r="AF1246" i="4"/>
  <c r="AE1246" i="4"/>
  <c r="AH466" i="4"/>
  <c r="AG466" i="4"/>
  <c r="AF466" i="4"/>
  <c r="AE466" i="4"/>
  <c r="AH465" i="4"/>
  <c r="AG465" i="4"/>
  <c r="AF465" i="4"/>
  <c r="AE465" i="4"/>
  <c r="AH463" i="4"/>
  <c r="AG463" i="4"/>
  <c r="AF463" i="4"/>
  <c r="AE463" i="4"/>
  <c r="AH456" i="4"/>
  <c r="AG456" i="4"/>
  <c r="AF456" i="4"/>
  <c r="AE456" i="4"/>
  <c r="AH454" i="4"/>
  <c r="AG454" i="4"/>
  <c r="AF454" i="4"/>
  <c r="AE454" i="4"/>
  <c r="AH452" i="4"/>
  <c r="AG452" i="4"/>
  <c r="AF452" i="4"/>
  <c r="AE452" i="4"/>
  <c r="AH453" i="4"/>
  <c r="AG453" i="4"/>
  <c r="AF453" i="4"/>
  <c r="AE453" i="4"/>
  <c r="AH448" i="4"/>
  <c r="AG448" i="4"/>
  <c r="AF448" i="4"/>
  <c r="AE448" i="4"/>
  <c r="AH1208" i="4"/>
  <c r="AG1208" i="4"/>
  <c r="AF1208" i="4"/>
  <c r="AE1208" i="4"/>
  <c r="AH444" i="4"/>
  <c r="AG444" i="4"/>
  <c r="AF444" i="4"/>
  <c r="AE444" i="4"/>
  <c r="AH443" i="4"/>
  <c r="AG443" i="4"/>
  <c r="AF443" i="4"/>
  <c r="AE443" i="4"/>
  <c r="AH439" i="4"/>
  <c r="AG439" i="4"/>
  <c r="AF439" i="4"/>
  <c r="AE439" i="4"/>
  <c r="AH436" i="4"/>
  <c r="AG436" i="4"/>
  <c r="AF436" i="4"/>
  <c r="AE436" i="4"/>
  <c r="AH434" i="4"/>
  <c r="AG434" i="4"/>
  <c r="AF434" i="4"/>
  <c r="AE434" i="4"/>
  <c r="AH1168" i="4"/>
  <c r="AG1168" i="4"/>
  <c r="AF1168" i="4"/>
  <c r="AE1168" i="4"/>
  <c r="AH427" i="4"/>
  <c r="AG427" i="4"/>
  <c r="AF427" i="4"/>
  <c r="AE427" i="4"/>
  <c r="AH426" i="4"/>
  <c r="AG426" i="4"/>
  <c r="AF426" i="4"/>
  <c r="AE426" i="4"/>
  <c r="AH423" i="4"/>
  <c r="AG423" i="4"/>
  <c r="AF423" i="4"/>
  <c r="AE423" i="4"/>
  <c r="AH420" i="4"/>
  <c r="AG420" i="4"/>
  <c r="AF420" i="4"/>
  <c r="AE420" i="4"/>
  <c r="AH417" i="4"/>
  <c r="AG417" i="4"/>
  <c r="AF417" i="4"/>
  <c r="AE417" i="4"/>
  <c r="AH418" i="4"/>
  <c r="AG418" i="4"/>
  <c r="AF418" i="4"/>
  <c r="AE418" i="4"/>
  <c r="AH413" i="4"/>
  <c r="AG413" i="4"/>
  <c r="AF413" i="4"/>
  <c r="AE413" i="4"/>
  <c r="AH1128" i="4"/>
  <c r="AG1128" i="4"/>
  <c r="AF1128" i="4"/>
  <c r="AE1128" i="4"/>
  <c r="AH409" i="4"/>
  <c r="AG409" i="4"/>
  <c r="AF409" i="4"/>
  <c r="AE409" i="4"/>
  <c r="AH408" i="4"/>
  <c r="AG408" i="4"/>
  <c r="AF408" i="4"/>
  <c r="AE408" i="4"/>
  <c r="AH407" i="4"/>
  <c r="AG407" i="4"/>
  <c r="AF407" i="4"/>
  <c r="AE407" i="4"/>
  <c r="AH400" i="4"/>
  <c r="AG400" i="4"/>
  <c r="AF400" i="4"/>
  <c r="AE400" i="4"/>
  <c r="AH393" i="4"/>
  <c r="AG393" i="4"/>
  <c r="AF393" i="4"/>
  <c r="AE393" i="4"/>
  <c r="AH389" i="4"/>
  <c r="AG389" i="4"/>
  <c r="AF389" i="4"/>
  <c r="AE389" i="4"/>
  <c r="AH387" i="4"/>
  <c r="AG387" i="4"/>
  <c r="AF387" i="4"/>
  <c r="AE387" i="4"/>
  <c r="AH382" i="4"/>
  <c r="AG382" i="4"/>
  <c r="AF382" i="4"/>
  <c r="AE382" i="4"/>
  <c r="AH933" i="4"/>
  <c r="AG933" i="4"/>
  <c r="AF933" i="4"/>
  <c r="AE933" i="4"/>
  <c r="AH384" i="4"/>
  <c r="AG384" i="4"/>
  <c r="AF384" i="4"/>
  <c r="AE384" i="4"/>
  <c r="AH378" i="4"/>
  <c r="AG378" i="4"/>
  <c r="AF378" i="4"/>
  <c r="AE378" i="4"/>
  <c r="AH662" i="4"/>
  <c r="AG662" i="4"/>
  <c r="AF662" i="4"/>
  <c r="AE662" i="4"/>
  <c r="AH373" i="4"/>
  <c r="AG373" i="4"/>
  <c r="AF373" i="4"/>
  <c r="AE373" i="4"/>
  <c r="AH365" i="4"/>
  <c r="AG365" i="4"/>
  <c r="AF365" i="4"/>
  <c r="AE365" i="4"/>
  <c r="AH366" i="4"/>
  <c r="AG366" i="4"/>
  <c r="AF366" i="4"/>
  <c r="AE366" i="4"/>
  <c r="AH622" i="4"/>
  <c r="AG622" i="4"/>
  <c r="AF622" i="4"/>
  <c r="AE622" i="4"/>
  <c r="AH359" i="4"/>
  <c r="AG359" i="4"/>
  <c r="AF359" i="4"/>
  <c r="AE359" i="4"/>
  <c r="AH357" i="4"/>
  <c r="AG357" i="4"/>
  <c r="AF357" i="4"/>
  <c r="AE357" i="4"/>
  <c r="AH350" i="4"/>
  <c r="AG350" i="4"/>
  <c r="AF350" i="4"/>
  <c r="AE350" i="4"/>
  <c r="AH349" i="4"/>
  <c r="AG349" i="4"/>
  <c r="AF349" i="4"/>
  <c r="AE349" i="4"/>
  <c r="AH347" i="4"/>
  <c r="AG347" i="4"/>
  <c r="AF347" i="4"/>
  <c r="AE347" i="4"/>
  <c r="AH348" i="4"/>
  <c r="AG348" i="4"/>
  <c r="AF348" i="4"/>
  <c r="AE348" i="4"/>
  <c r="AH343" i="4"/>
  <c r="AG343" i="4"/>
  <c r="AF343" i="4"/>
  <c r="AE343" i="4"/>
  <c r="AH578" i="4"/>
  <c r="AG578" i="4"/>
  <c r="AF578" i="4"/>
  <c r="AE578" i="4"/>
  <c r="AH338" i="4"/>
  <c r="AG338" i="4"/>
  <c r="AF338" i="4"/>
  <c r="AE338" i="4"/>
  <c r="AH336" i="4"/>
  <c r="AG336" i="4"/>
  <c r="AF336" i="4"/>
  <c r="AE336" i="4"/>
  <c r="AH305" i="4"/>
  <c r="AG305" i="4"/>
  <c r="AF305" i="4"/>
  <c r="AE305" i="4"/>
  <c r="AH327" i="4"/>
  <c r="AG327" i="4"/>
  <c r="AF327" i="4"/>
  <c r="AE327" i="4"/>
  <c r="AH321" i="4"/>
  <c r="AG321" i="4"/>
  <c r="AF321" i="4"/>
  <c r="AE321" i="4"/>
  <c r="AH318" i="4"/>
  <c r="AG318" i="4"/>
  <c r="AF318" i="4"/>
  <c r="AE318" i="4"/>
  <c r="AH314" i="4"/>
  <c r="AG314" i="4"/>
  <c r="AF314" i="4"/>
  <c r="AE314" i="4"/>
  <c r="AH315" i="4"/>
  <c r="AG315" i="4"/>
  <c r="AF315" i="4"/>
  <c r="AE315" i="4"/>
  <c r="AH313" i="4"/>
  <c r="AG313" i="4"/>
  <c r="AF313" i="4"/>
  <c r="AE313" i="4"/>
  <c r="AH311" i="4"/>
  <c r="AG311" i="4"/>
  <c r="AF311" i="4"/>
  <c r="AE311" i="4"/>
  <c r="AH306" i="4"/>
  <c r="AG306" i="4"/>
  <c r="AF306" i="4"/>
  <c r="AE306" i="4"/>
  <c r="AH307" i="4"/>
  <c r="AG307" i="4"/>
  <c r="AF307" i="4"/>
  <c r="AE307" i="4"/>
  <c r="AH302" i="4"/>
  <c r="AG302" i="4"/>
  <c r="AF302" i="4"/>
  <c r="AE302" i="4"/>
  <c r="AH301" i="4"/>
  <c r="AG301" i="4"/>
  <c r="AF301" i="4"/>
  <c r="AE301" i="4"/>
  <c r="AH298" i="4"/>
  <c r="AG298" i="4"/>
  <c r="AF298" i="4"/>
  <c r="AE298" i="4"/>
  <c r="AH287" i="4"/>
  <c r="AG287" i="4"/>
  <c r="AF287" i="4"/>
  <c r="AE287" i="4"/>
  <c r="AH285" i="4"/>
  <c r="AG285" i="4"/>
  <c r="AF285" i="4"/>
  <c r="AE285" i="4"/>
  <c r="AH283" i="4"/>
  <c r="AG283" i="4"/>
  <c r="AF283" i="4"/>
  <c r="AE283" i="4"/>
  <c r="AH281" i="4"/>
  <c r="AG281" i="4"/>
  <c r="AF281" i="4"/>
  <c r="AE281" i="4"/>
  <c r="AH280" i="4"/>
  <c r="AG280" i="4"/>
  <c r="AF280" i="4"/>
  <c r="AE280" i="4"/>
  <c r="AH251" i="4"/>
  <c r="AG251" i="4"/>
  <c r="AF251" i="4"/>
  <c r="AE251" i="4"/>
  <c r="AH270" i="4"/>
  <c r="AG270" i="4"/>
  <c r="AF270" i="4"/>
  <c r="AE270" i="4"/>
  <c r="AH264" i="4"/>
  <c r="AG264" i="4"/>
  <c r="AF264" i="4"/>
  <c r="AE264" i="4"/>
  <c r="AH258" i="4"/>
  <c r="AG258" i="4"/>
  <c r="AF258" i="4"/>
  <c r="AE258" i="4"/>
  <c r="AH255" i="4"/>
  <c r="AG255" i="4"/>
  <c r="AF255" i="4"/>
  <c r="AE255" i="4"/>
  <c r="AH252" i="4"/>
  <c r="AG252" i="4"/>
  <c r="AF252" i="4"/>
  <c r="AE252" i="4"/>
  <c r="AH244" i="4"/>
  <c r="AG244" i="4"/>
  <c r="AF244" i="4"/>
  <c r="AE244" i="4"/>
  <c r="AH243" i="4"/>
  <c r="AG243" i="4"/>
  <c r="AF243" i="4"/>
  <c r="AE243" i="4"/>
  <c r="AH220" i="4"/>
  <c r="AG220" i="4"/>
  <c r="AF220" i="4"/>
  <c r="AE220" i="4"/>
  <c r="AH232" i="4"/>
  <c r="AG232" i="4"/>
  <c r="AF232" i="4"/>
  <c r="AE232" i="4"/>
  <c r="AH231" i="4"/>
  <c r="AG231" i="4"/>
  <c r="AF231" i="4"/>
  <c r="AE231" i="4"/>
  <c r="AH226" i="4"/>
  <c r="AG226" i="4"/>
  <c r="AF226" i="4"/>
  <c r="AE226" i="4"/>
  <c r="AH223" i="4"/>
  <c r="AG223" i="4"/>
  <c r="AF223" i="4"/>
  <c r="AE223" i="4"/>
  <c r="AH196" i="4"/>
  <c r="AG196" i="4"/>
  <c r="AF196" i="4"/>
  <c r="AE196" i="4"/>
  <c r="AH216" i="4"/>
  <c r="AG216" i="4"/>
  <c r="AF216" i="4"/>
  <c r="AE216" i="4"/>
  <c r="AH189" i="4"/>
  <c r="AG189" i="4"/>
  <c r="AF189" i="4"/>
  <c r="AE189" i="4"/>
  <c r="AH213" i="4"/>
  <c r="AG213" i="4"/>
  <c r="AF213" i="4"/>
  <c r="AE213" i="4"/>
  <c r="AH201" i="4"/>
  <c r="AG201" i="4"/>
  <c r="AF201" i="4"/>
  <c r="AE201" i="4"/>
  <c r="AH199" i="4"/>
  <c r="AG199" i="4"/>
  <c r="AF199" i="4"/>
  <c r="AE199" i="4"/>
  <c r="AH197" i="4"/>
  <c r="AG197" i="4"/>
  <c r="AF197" i="4"/>
  <c r="AE197" i="4"/>
  <c r="AH198" i="4"/>
  <c r="AG198" i="4"/>
  <c r="AF198" i="4"/>
  <c r="AE198" i="4"/>
  <c r="AH195" i="4"/>
  <c r="AG195" i="4"/>
  <c r="AF195" i="4"/>
  <c r="AE195" i="4"/>
  <c r="AH193" i="4"/>
  <c r="AG193" i="4"/>
  <c r="AF193" i="4"/>
  <c r="AE193" i="4"/>
  <c r="AH186" i="4"/>
  <c r="AG186" i="4"/>
  <c r="AF186" i="4"/>
  <c r="AE186" i="4"/>
  <c r="AH157" i="4"/>
  <c r="AG157" i="4"/>
  <c r="AF157" i="4"/>
  <c r="AE157" i="4"/>
  <c r="AH180" i="4"/>
  <c r="AG180" i="4"/>
  <c r="AF180" i="4"/>
  <c r="AE180" i="4"/>
  <c r="AH172" i="4"/>
  <c r="AG172" i="4"/>
  <c r="AF172" i="4"/>
  <c r="AE172" i="4"/>
  <c r="AH169" i="4"/>
  <c r="AG169" i="4"/>
  <c r="AF169" i="4"/>
  <c r="AE169" i="4"/>
  <c r="AH166" i="4"/>
  <c r="AG166" i="4"/>
  <c r="AF166" i="4"/>
  <c r="AE166" i="4"/>
  <c r="AH167" i="4"/>
  <c r="AG167" i="4"/>
  <c r="AF167" i="4"/>
  <c r="AE167" i="4"/>
  <c r="AH164" i="4"/>
  <c r="AG164" i="4"/>
  <c r="AF164" i="4"/>
  <c r="AE164" i="4"/>
  <c r="AH161" i="4"/>
  <c r="AG161" i="4"/>
  <c r="AF161" i="4"/>
  <c r="AE161" i="4"/>
  <c r="AH155" i="4"/>
  <c r="AG155" i="4"/>
  <c r="AF155" i="4"/>
  <c r="AE155" i="4"/>
  <c r="AH125" i="4"/>
  <c r="AG125" i="4"/>
  <c r="AF125" i="4"/>
  <c r="AE125" i="4"/>
  <c r="AH140" i="4"/>
  <c r="AG140" i="4"/>
  <c r="AF140" i="4"/>
  <c r="AE140" i="4"/>
  <c r="AH135" i="4"/>
  <c r="AG135" i="4"/>
  <c r="AF135" i="4"/>
  <c r="AE135" i="4"/>
  <c r="AH132" i="4"/>
  <c r="AG132" i="4"/>
  <c r="AF132" i="4"/>
  <c r="AE132" i="4"/>
  <c r="AH130" i="4"/>
  <c r="AG130" i="4"/>
  <c r="AF130" i="4"/>
  <c r="AE130" i="4"/>
  <c r="AH154" i="4"/>
  <c r="AG154" i="4"/>
  <c r="AF154" i="4"/>
  <c r="AE154" i="4"/>
  <c r="AH122" i="4"/>
  <c r="AG122" i="4"/>
  <c r="AF122" i="4"/>
  <c r="AE122" i="4"/>
  <c r="AH117" i="4"/>
  <c r="AG117" i="4"/>
  <c r="AF117" i="4"/>
  <c r="AE117" i="4"/>
  <c r="AH109" i="4"/>
  <c r="AG109" i="4"/>
  <c r="AF109" i="4"/>
  <c r="AE109" i="4"/>
  <c r="AH103" i="4"/>
  <c r="AG103" i="4"/>
  <c r="AF103" i="4"/>
  <c r="AE103" i="4"/>
  <c r="AH83" i="4"/>
  <c r="AG83" i="4"/>
  <c r="AF83" i="4"/>
  <c r="AE83" i="4"/>
  <c r="AH82" i="4"/>
  <c r="AG82" i="4"/>
  <c r="AF82" i="4"/>
  <c r="AE82" i="4"/>
  <c r="AH79" i="4"/>
  <c r="AG79" i="4"/>
  <c r="AF79" i="4"/>
  <c r="AE79" i="4"/>
  <c r="AH68" i="4"/>
  <c r="AG68" i="4"/>
  <c r="AF68" i="4"/>
  <c r="AE68" i="4"/>
  <c r="AH67" i="4"/>
  <c r="AG67" i="4"/>
  <c r="AF67" i="4"/>
  <c r="AE67" i="4"/>
  <c r="AH66" i="4"/>
  <c r="AG66" i="4"/>
  <c r="AF66" i="4"/>
  <c r="AE66" i="4"/>
  <c r="AH65" i="4"/>
  <c r="AG65" i="4"/>
  <c r="AF65" i="4"/>
  <c r="AE65" i="4"/>
  <c r="AH57" i="4"/>
  <c r="AG57" i="4"/>
  <c r="AF57" i="4"/>
  <c r="AE57" i="4"/>
  <c r="AH53" i="4"/>
  <c r="AG53" i="4"/>
  <c r="AF53" i="4"/>
  <c r="AE53" i="4"/>
  <c r="AH55" i="4"/>
  <c r="AG55" i="4"/>
  <c r="AF55" i="4"/>
  <c r="AE55" i="4"/>
  <c r="AH47" i="4"/>
  <c r="AG47" i="4"/>
  <c r="AF47" i="4"/>
  <c r="AE47" i="4"/>
  <c r="AH46" i="4"/>
  <c r="AG46" i="4"/>
  <c r="AF46" i="4"/>
  <c r="AE46" i="4"/>
  <c r="AH42" i="4"/>
  <c r="AG42" i="4"/>
  <c r="AF42" i="4"/>
  <c r="AE42" i="4"/>
  <c r="AH45" i="4"/>
  <c r="AG45" i="4"/>
  <c r="AF45" i="4"/>
  <c r="AE45" i="4"/>
  <c r="AH36" i="4"/>
  <c r="AG36" i="4"/>
  <c r="AF36" i="4"/>
  <c r="AE36" i="4"/>
  <c r="AH35" i="4"/>
  <c r="AG35" i="4"/>
  <c r="AF35" i="4"/>
  <c r="AE35" i="4"/>
  <c r="AH34" i="4"/>
  <c r="AG34" i="4"/>
  <c r="AF34" i="4"/>
  <c r="AE34" i="4"/>
  <c r="AH31" i="4"/>
  <c r="AG31" i="4"/>
  <c r="AF31" i="4"/>
  <c r="AE31" i="4"/>
  <c r="AH22" i="4"/>
  <c r="AG22" i="4"/>
  <c r="AF22" i="4"/>
  <c r="AE22" i="4"/>
  <c r="Q1624" i="4"/>
  <c r="R1624" i="4" s="1"/>
  <c r="R575" i="4"/>
  <c r="R318" i="4"/>
  <c r="R1594" i="4"/>
  <c r="R1348" i="4"/>
  <c r="R1083" i="4"/>
  <c r="Q1368" i="4"/>
  <c r="R1368" i="4" s="1"/>
  <c r="Q1548" i="4"/>
  <c r="R1548" i="4" s="1"/>
  <c r="Q1518" i="4"/>
  <c r="R1518" i="4" s="1"/>
  <c r="Q1484" i="4"/>
  <c r="R1484" i="4" s="1"/>
  <c r="Q1448" i="4"/>
  <c r="R1448" i="4" s="1"/>
  <c r="Q1409" i="4"/>
  <c r="R1409" i="4" s="1"/>
  <c r="R1571" i="4"/>
  <c r="R1539" i="4"/>
  <c r="R1398" i="4"/>
  <c r="R1508" i="4"/>
  <c r="R1472" i="4"/>
  <c r="R1435" i="4"/>
  <c r="R1397" i="4"/>
  <c r="R1519" i="4"/>
  <c r="R1485" i="4"/>
  <c r="R1449" i="4"/>
  <c r="R1412" i="4"/>
  <c r="R1389" i="4"/>
  <c r="R1560" i="4"/>
  <c r="R1529" i="4"/>
  <c r="R1498" i="4"/>
  <c r="R1462" i="4"/>
  <c r="R1426" i="4"/>
  <c r="R1384" i="4"/>
  <c r="Q1559" i="4"/>
  <c r="R1559" i="4" s="1"/>
  <c r="Q1528" i="4"/>
  <c r="R1528" i="4" s="1"/>
  <c r="Q1495" i="4"/>
  <c r="R1495" i="4" s="1"/>
  <c r="Q1460" i="4"/>
  <c r="R1460" i="4" s="1"/>
  <c r="Q1423" i="4"/>
  <c r="R1423" i="4" s="1"/>
  <c r="Q1382" i="4"/>
  <c r="R1382" i="4" s="1"/>
  <c r="R1549" i="4"/>
  <c r="R1370" i="4"/>
  <c r="R1547" i="4"/>
  <c r="R1517" i="4"/>
  <c r="R1483" i="4"/>
  <c r="R1447" i="4"/>
  <c r="R1408" i="4"/>
  <c r="R1367" i="4"/>
  <c r="Q1741" i="4"/>
  <c r="R1741" i="4" s="1"/>
  <c r="R1318" i="4"/>
  <c r="Q1312" i="4"/>
  <c r="R1312" i="4" s="1"/>
  <c r="Q1305" i="4"/>
  <c r="R1305" i="4" s="1"/>
  <c r="Q1047" i="4"/>
  <c r="R1047" i="4" s="1"/>
  <c r="R973" i="4"/>
  <c r="R932" i="4"/>
  <c r="R929" i="4"/>
  <c r="R968" i="4"/>
  <c r="R891" i="4"/>
  <c r="R887" i="4"/>
  <c r="R738" i="4"/>
  <c r="R775" i="4"/>
  <c r="R772" i="4"/>
  <c r="R735" i="4"/>
  <c r="R661" i="4"/>
  <c r="Q655" i="4"/>
  <c r="R655" i="4" s="1"/>
  <c r="R541" i="4"/>
  <c r="R538" i="4"/>
  <c r="R529" i="4"/>
  <c r="R1630" i="4"/>
  <c r="R1659" i="4"/>
  <c r="Q461" i="4"/>
  <c r="R461" i="4" s="1"/>
  <c r="R394" i="4"/>
  <c r="R323" i="4"/>
  <c r="R288" i="4"/>
  <c r="R173" i="4"/>
  <c r="R141" i="4"/>
  <c r="R1746" i="4"/>
  <c r="Q1693" i="4"/>
  <c r="R1693" i="4" s="1"/>
  <c r="R1436" i="4"/>
  <c r="Q1358" i="4"/>
  <c r="R1358" i="4" s="1"/>
  <c r="Q1288" i="4"/>
  <c r="R1288" i="4" s="1"/>
  <c r="R1214" i="4"/>
  <c r="Q1173" i="4"/>
  <c r="R1173" i="4" s="1"/>
  <c r="Q1095" i="4"/>
  <c r="R1095" i="4" s="1"/>
  <c r="Q858" i="4"/>
  <c r="R858" i="4" s="1"/>
  <c r="Q822" i="4"/>
  <c r="R822" i="4" s="1"/>
  <c r="Q743" i="4"/>
  <c r="R743" i="4" s="1"/>
  <c r="Q707" i="4"/>
  <c r="R707" i="4" s="1"/>
  <c r="Q669" i="4"/>
  <c r="R669" i="4" s="1"/>
  <c r="R629" i="4"/>
  <c r="Q584" i="4"/>
  <c r="R584" i="4" s="1"/>
  <c r="Q507" i="4"/>
  <c r="R507" i="4" s="1"/>
  <c r="Q434" i="4"/>
  <c r="R434" i="4" s="1"/>
  <c r="Q366" i="4"/>
  <c r="R366" i="4" s="1"/>
  <c r="Q264" i="4"/>
  <c r="R264" i="4" s="1"/>
  <c r="Q235" i="4"/>
  <c r="R235" i="4" s="1"/>
  <c r="Q210" i="4"/>
  <c r="R210" i="4" s="1"/>
  <c r="Q180" i="4"/>
  <c r="R180" i="4" s="1"/>
  <c r="R117" i="4"/>
  <c r="R1762" i="4"/>
  <c r="R1748" i="4"/>
  <c r="R1721" i="4"/>
  <c r="R1695" i="4"/>
  <c r="R1668" i="4"/>
  <c r="R1638" i="4"/>
  <c r="R1608" i="4"/>
  <c r="R1576" i="4"/>
  <c r="R1543" i="4"/>
  <c r="R1511" i="4"/>
  <c r="R1476" i="4"/>
  <c r="R1438" i="4"/>
  <c r="R1401" i="4"/>
  <c r="R1360" i="4"/>
  <c r="R1326" i="4"/>
  <c r="R1290" i="4"/>
  <c r="R1255" i="4"/>
  <c r="R1218" i="4"/>
  <c r="R1176" i="4"/>
  <c r="R1137" i="4"/>
  <c r="R1097" i="4"/>
  <c r="R1056" i="4"/>
  <c r="R1019" i="4"/>
  <c r="R984" i="4"/>
  <c r="R942" i="4"/>
  <c r="R901" i="4"/>
  <c r="R861" i="4"/>
  <c r="R825" i="4"/>
  <c r="R783" i="4"/>
  <c r="R746" i="4"/>
  <c r="R711" i="4"/>
  <c r="R673" i="4"/>
  <c r="R633" i="4"/>
  <c r="R589" i="4"/>
  <c r="R552" i="4"/>
  <c r="R510" i="4"/>
  <c r="R473" i="4"/>
  <c r="R438" i="4"/>
  <c r="R403" i="4"/>
  <c r="R368" i="4"/>
  <c r="R331" i="4"/>
  <c r="R296" i="4"/>
  <c r="R266" i="4"/>
  <c r="R238" i="4"/>
  <c r="R212" i="4"/>
  <c r="R182" i="4"/>
  <c r="R150" i="4"/>
  <c r="R119" i="4"/>
  <c r="R93" i="4"/>
  <c r="R1719" i="4"/>
  <c r="R1666" i="4"/>
  <c r="R1636" i="4"/>
  <c r="R1605" i="4"/>
  <c r="R1572" i="4"/>
  <c r="R1540" i="4"/>
  <c r="R1509" i="4"/>
  <c r="R1473" i="4"/>
  <c r="R1399" i="4"/>
  <c r="R1324" i="4"/>
  <c r="R1253" i="4"/>
  <c r="R1134" i="4"/>
  <c r="R1054" i="4"/>
  <c r="R1016" i="4"/>
  <c r="R980" i="4"/>
  <c r="R938" i="4"/>
  <c r="R898" i="4"/>
  <c r="R781" i="4"/>
  <c r="R549" i="4"/>
  <c r="R470" i="4"/>
  <c r="R401" i="4"/>
  <c r="R328" i="4"/>
  <c r="R294" i="4"/>
  <c r="R148" i="4"/>
  <c r="R91" i="4"/>
  <c r="R84" i="4"/>
  <c r="R1680" i="4"/>
  <c r="R1651" i="4"/>
  <c r="R1619" i="4"/>
  <c r="R1586" i="4"/>
  <c r="R1242" i="4"/>
  <c r="R1204" i="4"/>
  <c r="R1163" i="4"/>
  <c r="R1124" i="4"/>
  <c r="R1085" i="4"/>
  <c r="R1044" i="4"/>
  <c r="R1231" i="4"/>
  <c r="R1194" i="4"/>
  <c r="R1153" i="4"/>
  <c r="R1113" i="4"/>
  <c r="R1070" i="4"/>
  <c r="R1035" i="4"/>
  <c r="R649" i="4"/>
  <c r="R609" i="4"/>
  <c r="R569" i="4"/>
  <c r="R528" i="4"/>
  <c r="R194" i="4"/>
  <c r="R162" i="4"/>
  <c r="R129" i="4"/>
  <c r="R102" i="4"/>
  <c r="R78" i="4"/>
  <c r="R807" i="4"/>
  <c r="R768" i="4"/>
  <c r="R731" i="4"/>
  <c r="R695" i="4"/>
  <c r="R654" i="4"/>
  <c r="R614" i="4"/>
  <c r="R573" i="4"/>
  <c r="R534" i="4"/>
  <c r="R494" i="4"/>
  <c r="R773" i="4"/>
  <c r="R736" i="4"/>
  <c r="R698" i="4"/>
  <c r="R658" i="4"/>
  <c r="R620" i="4"/>
  <c r="R576" i="4"/>
  <c r="R539" i="4"/>
  <c r="R498" i="4"/>
  <c r="R824" i="4"/>
  <c r="R782" i="4"/>
  <c r="R744" i="4"/>
  <c r="R708" i="4"/>
  <c r="R670" i="4"/>
  <c r="R630" i="4"/>
  <c r="R586" i="4"/>
  <c r="R550" i="4"/>
  <c r="R508" i="4"/>
  <c r="R471" i="4"/>
  <c r="R462" i="4"/>
  <c r="R457" i="4"/>
  <c r="R1087" i="4"/>
  <c r="R1625" i="4"/>
  <c r="R1386" i="4"/>
  <c r="R1122" i="4"/>
  <c r="R847" i="4"/>
  <c r="R109" i="4"/>
  <c r="R812" i="4"/>
  <c r="R537" i="4"/>
  <c r="R285" i="4"/>
  <c r="R1740" i="4"/>
  <c r="R1712" i="4"/>
  <c r="R1687" i="4"/>
  <c r="R1628" i="4"/>
  <c r="R1597" i="4"/>
  <c r="R1565" i="4"/>
  <c r="R1534" i="4"/>
  <c r="R1502" i="4"/>
  <c r="R1465" i="4"/>
  <c r="R1429" i="4"/>
  <c r="R1388" i="4"/>
  <c r="R1350" i="4"/>
  <c r="R1314" i="4"/>
  <c r="R1278" i="4"/>
  <c r="R1243" i="4"/>
  <c r="R1205" i="4"/>
  <c r="R1164" i="4"/>
  <c r="R1125" i="4"/>
  <c r="R1086" i="4"/>
  <c r="R1045" i="4"/>
  <c r="R1008" i="4"/>
  <c r="R970" i="4"/>
  <c r="R930" i="4"/>
  <c r="R888" i="4"/>
  <c r="R849" i="4"/>
  <c r="R814" i="4"/>
  <c r="R425" i="4"/>
  <c r="R391" i="4"/>
  <c r="R356" i="4"/>
  <c r="R319" i="4"/>
  <c r="R286" i="4"/>
  <c r="R257" i="4"/>
  <c r="R230" i="4"/>
  <c r="R203" i="4"/>
  <c r="R171" i="4"/>
  <c r="R139" i="4"/>
  <c r="R110" i="4"/>
  <c r="R85" i="4"/>
  <c r="R1737" i="4"/>
  <c r="R1709" i="4"/>
  <c r="R1684" i="4"/>
  <c r="R1654" i="4"/>
  <c r="R1623" i="4"/>
  <c r="R1589" i="4"/>
  <c r="R1558" i="4"/>
  <c r="R1527" i="4"/>
  <c r="R1494" i="4"/>
  <c r="R1459" i="4"/>
  <c r="R1422" i="4"/>
  <c r="R1381" i="4"/>
  <c r="R1344" i="4"/>
  <c r="R1309" i="4"/>
  <c r="R1274" i="4"/>
  <c r="R1237" i="4"/>
  <c r="R1200" i="4"/>
  <c r="R1158" i="4"/>
  <c r="R1121" i="4"/>
  <c r="R1079" i="4"/>
  <c r="R1041" i="4"/>
  <c r="R1004" i="4"/>
  <c r="R965" i="4"/>
  <c r="R926" i="4"/>
  <c r="R882" i="4"/>
  <c r="R845" i="4"/>
  <c r="R421" i="4"/>
  <c r="R388" i="4"/>
  <c r="R351" i="4"/>
  <c r="R316" i="4"/>
  <c r="R282" i="4"/>
  <c r="R253" i="4"/>
  <c r="R227" i="4"/>
  <c r="R200" i="4"/>
  <c r="R168" i="4"/>
  <c r="R136" i="4"/>
  <c r="R106" i="4"/>
  <c r="R81" i="4"/>
  <c r="R1761" i="4"/>
  <c r="R1747" i="4"/>
  <c r="R1720" i="4"/>
  <c r="R1694" i="4"/>
  <c r="R1667" i="4"/>
  <c r="R1637" i="4"/>
  <c r="R1606" i="4"/>
  <c r="R1574" i="4"/>
  <c r="R1542" i="4"/>
  <c r="R1510" i="4"/>
  <c r="R1474" i="4"/>
  <c r="R1437" i="4"/>
  <c r="R1400" i="4"/>
  <c r="R1359" i="4"/>
  <c r="R1325" i="4"/>
  <c r="R1289" i="4"/>
  <c r="R1254" i="4"/>
  <c r="R1215" i="4"/>
  <c r="R1174" i="4"/>
  <c r="R1135" i="4"/>
  <c r="R1096" i="4"/>
  <c r="R1055" i="4"/>
  <c r="R1017" i="4"/>
  <c r="R982" i="4"/>
  <c r="R940" i="4"/>
  <c r="R900" i="4"/>
  <c r="R860" i="4"/>
  <c r="R435" i="4"/>
  <c r="R402" i="4"/>
  <c r="R367" i="4"/>
  <c r="R330" i="4"/>
  <c r="R295" i="4"/>
  <c r="R265" i="4"/>
  <c r="R237" i="4"/>
  <c r="R211" i="4"/>
  <c r="R181" i="4"/>
  <c r="R149" i="4"/>
  <c r="R118" i="4"/>
  <c r="R92" i="4"/>
  <c r="Q1785" i="4"/>
  <c r="Q1782" i="4"/>
  <c r="Q1790" i="4"/>
  <c r="Q1773" i="4"/>
  <c r="Q1774" i="4"/>
  <c r="Q1794" i="4"/>
  <c r="Q1772" i="4"/>
  <c r="Q1768" i="4"/>
  <c r="Q1736" i="4"/>
  <c r="Q1765" i="4"/>
  <c r="Q1755" i="4"/>
  <c r="Q1708" i="4"/>
  <c r="Q1729" i="4"/>
  <c r="Q1683" i="4"/>
  <c r="Q1728" i="4"/>
  <c r="Q1700" i="4"/>
  <c r="Q1766" i="4"/>
  <c r="Q1752" i="4"/>
  <c r="Q1725" i="4"/>
  <c r="Q1769" i="4"/>
  <c r="Q1732" i="4"/>
  <c r="Q1647" i="4"/>
  <c r="Q1675" i="4"/>
  <c r="Q1622" i="4"/>
  <c r="Q1523" i="4"/>
  <c r="Q1516" i="4"/>
  <c r="Q1458" i="4"/>
  <c r="Q1764" i="4"/>
  <c r="Q1751" i="4"/>
  <c r="Q1724" i="4"/>
  <c r="Q1698" i="4"/>
  <c r="Q1671" i="4"/>
  <c r="Q1640" i="4"/>
  <c r="Q1611" i="4"/>
  <c r="Q1579" i="4"/>
  <c r="Q1489" i="4"/>
  <c r="Q1482" i="4"/>
  <c r="Q1421" i="4"/>
  <c r="Q1481" i="4"/>
  <c r="Q1442" i="4"/>
  <c r="Q1515" i="4"/>
  <c r="Q1452" i="4"/>
  <c r="Q1415" i="4"/>
  <c r="Q1446" i="4"/>
  <c r="Q1380" i="4"/>
  <c r="Q1445" i="4"/>
  <c r="Q1403" i="4"/>
  <c r="Q1407" i="4"/>
  <c r="Q1343" i="4"/>
  <c r="Q1366" i="4"/>
  <c r="Q1304" i="4"/>
  <c r="Q1406" i="4"/>
  <c r="Q1363" i="4"/>
  <c r="Q1329" i="4"/>
  <c r="Q1444" i="4"/>
  <c r="Q1373" i="4"/>
  <c r="Q1332" i="4"/>
  <c r="Q1272" i="4"/>
  <c r="Q1308" i="4"/>
  <c r="Q1273" i="4"/>
  <c r="Q1236" i="4"/>
  <c r="Q1261" i="4"/>
  <c r="Q1199" i="4"/>
  <c r="Q1295" i="4"/>
  <c r="Q1258" i="4"/>
  <c r="Q1221" i="4"/>
  <c r="Q1223" i="4"/>
  <c r="Q1157" i="4"/>
  <c r="Q1224" i="4"/>
  <c r="Q1180" i="4"/>
  <c r="Q1184" i="4"/>
  <c r="Q1120" i="4"/>
  <c r="Q1183" i="4"/>
  <c r="Q1139" i="4"/>
  <c r="Q1331" i="4"/>
  <c r="Q1267" i="4"/>
  <c r="Q1144" i="4"/>
  <c r="Q1078" i="4"/>
  <c r="Q1185" i="4"/>
  <c r="Q1107" i="4"/>
  <c r="Q1066" i="4"/>
  <c r="Q1182" i="4"/>
  <c r="Q1119" i="4"/>
  <c r="Q1077" i="4"/>
  <c r="Q1040" i="4"/>
  <c r="Q1103" i="4"/>
  <c r="Q1030" i="4"/>
  <c r="Q1061" i="4"/>
  <c r="Q1003" i="4"/>
  <c r="Q1142" i="4"/>
  <c r="Q1100" i="4"/>
  <c r="Q964" i="4"/>
  <c r="Q1025" i="4"/>
  <c r="Q963" i="4"/>
  <c r="Q1024" i="4"/>
  <c r="Q990" i="4"/>
  <c r="Q925" i="4"/>
  <c r="Q989" i="4"/>
  <c r="Q945" i="4"/>
  <c r="Q949" i="4"/>
  <c r="Q881" i="4"/>
  <c r="Q950" i="4"/>
  <c r="Q904" i="4"/>
  <c r="Q1143" i="4"/>
  <c r="Q1065" i="4"/>
  <c r="Q1029" i="4"/>
  <c r="Q996" i="4"/>
  <c r="Q954" i="4"/>
  <c r="Q912" i="4"/>
  <c r="Q870" i="4"/>
  <c r="Q908" i="4"/>
  <c r="Q844" i="4"/>
  <c r="Q866" i="4"/>
  <c r="Q806" i="4"/>
  <c r="Q948" i="4"/>
  <c r="Q905" i="4"/>
  <c r="Q863" i="4"/>
  <c r="Q991" i="4"/>
  <c r="Q913" i="4"/>
  <c r="Q871" i="4"/>
  <c r="Q834" i="4"/>
  <c r="Q794" i="4"/>
  <c r="Q831" i="4"/>
  <c r="Q766" i="4"/>
  <c r="Q757" i="4"/>
  <c r="Q830" i="4"/>
  <c r="Q767" i="4"/>
  <c r="Q730" i="4"/>
  <c r="Q788" i="4"/>
  <c r="Q749" i="4"/>
  <c r="Q753" i="4"/>
  <c r="Q694" i="4"/>
  <c r="Q789" i="4"/>
  <c r="Q751" i="4"/>
  <c r="Q715" i="4"/>
  <c r="Q718" i="4"/>
  <c r="Q653" i="4"/>
  <c r="Q682" i="4"/>
  <c r="Q612" i="4"/>
  <c r="Q681" i="4"/>
  <c r="Q638" i="4"/>
  <c r="Q717" i="4"/>
  <c r="Q676" i="4"/>
  <c r="Q793" i="4"/>
  <c r="Q756" i="4"/>
  <c r="Q724" i="4"/>
  <c r="Q688" i="4"/>
  <c r="Q644" i="4"/>
  <c r="Q603" i="4"/>
  <c r="Q678" i="4"/>
  <c r="Q613" i="4"/>
  <c r="Q572" i="4"/>
  <c r="Q680" i="4"/>
  <c r="Q636" i="4"/>
  <c r="Q591" i="4"/>
  <c r="Q597" i="4"/>
  <c r="Q533" i="4"/>
  <c r="Q596" i="4"/>
  <c r="Q555" i="4"/>
  <c r="Q523" i="4"/>
  <c r="Q514" i="4"/>
  <c r="Q512" i="4"/>
  <c r="Q558" i="4"/>
  <c r="Q493" i="4"/>
  <c r="Q559" i="4"/>
  <c r="Q513" i="4"/>
  <c r="Q485" i="4"/>
  <c r="Q516" i="4"/>
  <c r="Q476" i="4"/>
  <c r="Q480" i="4"/>
  <c r="Q420" i="4"/>
  <c r="Q517" i="4"/>
  <c r="Q456" i="4"/>
  <c r="Q444" i="4"/>
  <c r="Q387" i="4"/>
  <c r="Q409" i="4"/>
  <c r="Q349" i="4"/>
  <c r="Q441" i="4"/>
  <c r="Q406" i="4"/>
  <c r="Q372" i="4"/>
  <c r="Q449" i="4"/>
  <c r="Q414" i="4"/>
  <c r="Q379" i="4"/>
  <c r="Q595" i="4"/>
  <c r="Q522" i="4"/>
  <c r="Q486" i="4"/>
  <c r="Q344" i="4"/>
  <c r="Q350" i="4"/>
  <c r="Q315" i="4"/>
  <c r="Q332" i="4"/>
  <c r="Q374" i="4"/>
  <c r="Q334" i="4"/>
  <c r="Q307" i="4"/>
  <c r="Q338" i="4"/>
  <c r="Q281" i="4"/>
  <c r="Q337" i="4"/>
  <c r="Q275" i="4"/>
  <c r="Q302" i="4"/>
  <c r="Q252" i="4"/>
  <c r="Q371" i="4"/>
  <c r="Q333" i="4"/>
  <c r="Q299" i="4"/>
  <c r="Q247" i="4"/>
  <c r="Q199" i="4"/>
  <c r="Q226" i="4"/>
  <c r="Q244" i="4"/>
  <c r="Q197" i="4"/>
  <c r="Q272" i="4"/>
  <c r="Q242" i="4"/>
  <c r="Q198" i="4"/>
  <c r="Q167" i="4"/>
  <c r="Q193" i="4"/>
  <c r="Q161" i="4"/>
  <c r="Q166" i="4"/>
  <c r="Q135" i="4"/>
  <c r="Q153" i="4"/>
  <c r="Q187" i="4"/>
  <c r="Q134" i="4"/>
  <c r="Q105" i="4"/>
  <c r="Q271" i="4"/>
  <c r="Q225" i="4"/>
  <c r="Q120" i="4"/>
  <c r="Q152" i="4"/>
  <c r="Q184" i="4"/>
  <c r="Q214" i="4"/>
  <c r="Q217" i="4"/>
  <c r="Q96" i="4"/>
  <c r="Q121" i="4"/>
  <c r="Q122" i="4"/>
  <c r="Q154" i="4"/>
  <c r="Q155" i="4"/>
  <c r="Q185" i="4"/>
  <c r="Q215" i="4"/>
  <c r="Q186" i="4"/>
  <c r="Q216" i="4"/>
  <c r="Q240" i="4"/>
  <c r="Q241" i="4"/>
  <c r="Q269" i="4"/>
  <c r="Q243" i="4"/>
  <c r="Q268" i="4"/>
  <c r="Q270" i="4"/>
  <c r="Q298" i="4"/>
  <c r="Q300" i="4"/>
  <c r="Q301" i="4"/>
  <c r="Q370" i="4"/>
  <c r="Q405" i="4"/>
  <c r="Q440" i="4"/>
  <c r="Q335" i="4"/>
  <c r="Q479" i="4"/>
  <c r="Q336" i="4"/>
  <c r="Q373" i="4"/>
  <c r="Q407" i="4"/>
  <c r="Q443" i="4"/>
  <c r="Q408" i="4"/>
  <c r="Q442" i="4"/>
  <c r="Q475" i="4"/>
  <c r="Q477" i="4"/>
  <c r="Q478" i="4"/>
  <c r="Q515" i="4"/>
  <c r="Q554" i="4"/>
  <c r="Q556" i="4"/>
  <c r="Q557" i="4"/>
  <c r="Q590" i="4"/>
  <c r="Q635" i="4"/>
  <c r="Q675" i="4"/>
  <c r="Q713" i="4"/>
  <c r="Q592" i="4"/>
  <c r="Q637" i="4"/>
  <c r="Q593" i="4"/>
  <c r="Q594" i="4"/>
  <c r="Q639" i="4"/>
  <c r="Q677" i="4"/>
  <c r="Q679" i="4"/>
  <c r="Q714" i="4"/>
  <c r="Q716" i="4"/>
  <c r="Q748" i="4"/>
  <c r="Q750" i="4"/>
  <c r="Q752" i="4"/>
  <c r="Q785" i="4"/>
  <c r="Q827" i="4"/>
  <c r="Q786" i="4"/>
  <c r="Q828" i="4"/>
  <c r="Q787" i="4"/>
  <c r="Q829" i="4"/>
  <c r="Q862" i="4"/>
  <c r="Q903" i="4"/>
  <c r="Q944" i="4"/>
  <c r="Q986" i="4"/>
  <c r="Q864" i="4"/>
  <c r="Q865" i="4"/>
  <c r="Q906" i="4"/>
  <c r="Q907" i="4"/>
  <c r="Q946" i="4"/>
  <c r="Q947" i="4"/>
  <c r="Q987" i="4"/>
  <c r="Q1022" i="4"/>
  <c r="Q1059" i="4"/>
  <c r="Q988" i="4"/>
  <c r="Q1021" i="4"/>
  <c r="Q1023" i="4"/>
  <c r="Q1058" i="4"/>
  <c r="Q1060" i="4"/>
  <c r="Q1099" i="4"/>
  <c r="Q1138" i="4"/>
  <c r="Q1178" i="4"/>
  <c r="Q1220" i="4"/>
  <c r="Q1257" i="4"/>
  <c r="Q1260" i="4"/>
  <c r="Q1101" i="4"/>
  <c r="Q1102" i="4"/>
  <c r="Q1140" i="4"/>
  <c r="Q1141" i="4"/>
  <c r="Q1179" i="4"/>
  <c r="Q1181" i="4"/>
  <c r="Q1222" i="4"/>
  <c r="Q1259" i="4"/>
  <c r="Q1292" i="4"/>
  <c r="Q1328" i="4"/>
  <c r="Q1362" i="4"/>
  <c r="Q1293" i="4"/>
  <c r="Q1294" i="4"/>
  <c r="Q1330" i="4"/>
  <c r="Q1364" i="4"/>
  <c r="Q1365" i="4"/>
  <c r="Q1402" i="4"/>
  <c r="Q1404" i="4"/>
  <c r="Q1405" i="4"/>
  <c r="Q1440" i="4"/>
  <c r="Q1478" i="4"/>
  <c r="Q1441" i="4"/>
  <c r="Q1479" i="4"/>
  <c r="Q1514" i="4"/>
  <c r="Q1546" i="4"/>
  <c r="Q1443" i="4"/>
  <c r="Q1480" i="4"/>
  <c r="Q1513" i="4"/>
  <c r="Q1545" i="4"/>
  <c r="Q1578" i="4"/>
  <c r="Q1610" i="4"/>
  <c r="Q1612" i="4"/>
  <c r="Q1642" i="4"/>
  <c r="Q1639" i="4"/>
  <c r="Q1670" i="4"/>
  <c r="Q1697" i="4"/>
  <c r="Q1723" i="4"/>
  <c r="Q1641" i="4"/>
  <c r="Q1672" i="4"/>
  <c r="Q1699" i="4"/>
  <c r="Q1673" i="4"/>
  <c r="Q1674" i="4"/>
  <c r="Q1701" i="4"/>
  <c r="Q1726" i="4"/>
  <c r="Q1753" i="4"/>
  <c r="Q1727" i="4"/>
  <c r="Q1750" i="4"/>
  <c r="Q1763" i="4"/>
  <c r="Q1754" i="4"/>
  <c r="Q1767" i="4"/>
  <c r="Q1779" i="4"/>
  <c r="Q1780" i="4"/>
  <c r="Q1789" i="4"/>
  <c r="Q95" i="4"/>
  <c r="R36" i="14"/>
  <c r="R35" i="14"/>
  <c r="R34" i="14"/>
  <c r="R33" i="14"/>
  <c r="Q32" i="14"/>
  <c r="R31" i="14"/>
  <c r="Q30" i="14"/>
  <c r="R29" i="14"/>
  <c r="Q28" i="14"/>
  <c r="Q27" i="14"/>
  <c r="Q26" i="14"/>
  <c r="R25" i="14"/>
  <c r="R24" i="14"/>
  <c r="R23" i="14"/>
  <c r="R22" i="14"/>
  <c r="R21" i="14"/>
  <c r="R20" i="14"/>
  <c r="R19" i="14"/>
  <c r="R18" i="14"/>
  <c r="Q17" i="14"/>
  <c r="R16" i="14"/>
  <c r="Q15" i="14"/>
  <c r="R14" i="14"/>
  <c r="Q13" i="14"/>
  <c r="Q12" i="14"/>
  <c r="R11" i="14"/>
  <c r="R10" i="14"/>
  <c r="R9" i="14"/>
  <c r="R8" i="14"/>
  <c r="R7" i="14"/>
  <c r="R6" i="14"/>
  <c r="R5" i="14"/>
  <c r="Q4" i="14"/>
  <c r="R3" i="14"/>
  <c r="R2" i="14"/>
  <c r="Q1" i="14"/>
</calcChain>
</file>

<file path=xl/sharedStrings.xml><?xml version="1.0" encoding="utf-8"?>
<sst xmlns="http://schemas.openxmlformats.org/spreadsheetml/2006/main" count="19851" uniqueCount="1420">
  <si>
    <t>DATE</t>
  </si>
  <si>
    <t>2</t>
  </si>
  <si>
    <t>12 levels</t>
  </si>
  <si>
    <t>1</t>
  </si>
  <si>
    <t>9 levels</t>
  </si>
  <si>
    <t>0</t>
  </si>
  <si>
    <t>50,000</t>
  </si>
  <si>
    <t>40</t>
  </si>
  <si>
    <t>25,000</t>
  </si>
  <si>
    <t>60</t>
  </si>
  <si>
    <t>40,000</t>
  </si>
  <si>
    <t>11 levels</t>
  </si>
  <si>
    <t>1/flight</t>
  </si>
  <si>
    <t>1A</t>
  </si>
  <si>
    <t>1B</t>
  </si>
  <si>
    <t>Mystery Millions - No-Limit Hold'em Flight B</t>
  </si>
  <si>
    <t>3</t>
  </si>
  <si>
    <t>4</t>
  </si>
  <si>
    <t>1C</t>
  </si>
  <si>
    <t>Mystery Millions - No-Limit Hold'em - Flight C</t>
  </si>
  <si>
    <t>5</t>
  </si>
  <si>
    <t>6</t>
  </si>
  <si>
    <t>30/40</t>
  </si>
  <si>
    <t>Days</t>
  </si>
  <si>
    <t>Must be 50 years of age or older</t>
  </si>
  <si>
    <t>Mystery Millions - No-Limit Hold'em Flight A</t>
  </si>
  <si>
    <t xml:space="preserve">Seven Card Stud </t>
  </si>
  <si>
    <t xml:space="preserve">Industry Employees No-Limit Hold'em </t>
  </si>
  <si>
    <t xml:space="preserve">Eight Handed No-Limit Hold’em </t>
  </si>
  <si>
    <t>Pot-Limit Omaha</t>
  </si>
  <si>
    <t>Omaha Hi-Lo 8 or Better</t>
  </si>
  <si>
    <t>Handed</t>
  </si>
  <si>
    <t>Blind Levels</t>
  </si>
  <si>
    <t>Event</t>
  </si>
  <si>
    <t>Event #</t>
  </si>
  <si>
    <t>Event Type</t>
  </si>
  <si>
    <t>Game</t>
  </si>
  <si>
    <t>GTE</t>
  </si>
  <si>
    <t>Late Registration</t>
  </si>
  <si>
    <t>Location</t>
  </si>
  <si>
    <t>Notes</t>
  </si>
  <si>
    <t>Rake</t>
  </si>
  <si>
    <t>Series</t>
  </si>
  <si>
    <t>Special</t>
  </si>
  <si>
    <t>Start Time</t>
  </si>
  <si>
    <t>Starting Stack</t>
  </si>
  <si>
    <t>Structure Url</t>
  </si>
  <si>
    <t>Friday</t>
  </si>
  <si>
    <t>SERIES</t>
  </si>
  <si>
    <t>NLH</t>
  </si>
  <si>
    <t>MAY</t>
  </si>
  <si>
    <t>DAILY</t>
  </si>
  <si>
    <t>Saturday</t>
  </si>
  <si>
    <t>Sunday</t>
  </si>
  <si>
    <t>SENIORS</t>
  </si>
  <si>
    <t>MYSTERY BOUNTY</t>
  </si>
  <si>
    <t>Monday</t>
  </si>
  <si>
    <t>PLO</t>
  </si>
  <si>
    <t>Tuesday</t>
  </si>
  <si>
    <t>Wednesday</t>
  </si>
  <si>
    <t>Thursday</t>
  </si>
  <si>
    <t>SATELLITE</t>
  </si>
  <si>
    <t>Horseshoe/Paris</t>
  </si>
  <si>
    <t>WSOP</t>
  </si>
  <si>
    <t>CASINO EMPLOYEES</t>
  </si>
  <si>
    <t>JUNE</t>
  </si>
  <si>
    <t>JULY</t>
  </si>
  <si>
    <t>Column #</t>
  </si>
  <si>
    <t>Date (Months)</t>
  </si>
  <si>
    <t>Date (Weekdays)_</t>
  </si>
  <si>
    <t>Date2</t>
  </si>
  <si>
    <t>Month_</t>
  </si>
  <si>
    <t>May</t>
  </si>
  <si>
    <t>June</t>
  </si>
  <si>
    <t>July</t>
  </si>
  <si>
    <t>7 CARD STUD</t>
  </si>
  <si>
    <t>S-Points</t>
  </si>
  <si>
    <t>Payouts begin on Day 1 - Bounties begin on Day 2. Top bounty guaranteed 1,000,000 - 1st Place guaranteed 1,000,000</t>
  </si>
  <si>
    <t>Leaderboard eligible</t>
  </si>
  <si>
    <t>Seniors Deep Stack</t>
  </si>
  <si>
    <t>Mystery Millions Landmark Mega Satellite</t>
  </si>
  <si>
    <t>Daily Landmark Mega Satellite</t>
  </si>
  <si>
    <t>Multiples of $2,000 paid in casino value chips</t>
  </si>
  <si>
    <t>Multiples of $5,000 paid in casino value chips</t>
  </si>
  <si>
    <t>Multiples of $1,000 paid in casino value chips</t>
  </si>
  <si>
    <t>$5K NLH 8-Handed</t>
  </si>
  <si>
    <t>$5K PLO</t>
  </si>
  <si>
    <t>Mega Landmark Satellite into $5K NLH 8-Handed Event</t>
  </si>
  <si>
    <t>Mega Landmark Satellite into $5K PLO Event</t>
  </si>
  <si>
    <t>$25,000 Heads-Up No-Limit Hold'em Mega</t>
  </si>
  <si>
    <t>bracket for $25,000 entries</t>
  </si>
  <si>
    <t>https://www.wsop.com/pdfs/structuresheets/structure_5771_24618.pdf</t>
  </si>
  <si>
    <t>https://www.wsop.com/pdfs/structuresheets/structure_5771_24619.pdf</t>
  </si>
  <si>
    <t>https://www.wsop.com/pdfs/structuresheets/structure_5771_24620.pdf</t>
  </si>
  <si>
    <t>https://www.wsop.com/pdfs/structuresheets/structure_5771_24621.pdf</t>
  </si>
  <si>
    <t>https://www.wsop.com/pdfs/structuresheets/structure_5771_24622.pdf</t>
  </si>
  <si>
    <t>https://www.wsop.com/pdfs/structuresheets/structure_5771_24655.pdf</t>
  </si>
  <si>
    <t>40/60</t>
  </si>
  <si>
    <t>Y</t>
  </si>
  <si>
    <t>Rake %</t>
  </si>
  <si>
    <t>HEADS UP</t>
  </si>
  <si>
    <t>OE</t>
  </si>
  <si>
    <t>Multiples of $1,000 entries into Mystery Millions - seat once accumulates 100K in chips</t>
  </si>
  <si>
    <t>Restart - Industry Employees No-Limit Hold'em Day 2</t>
  </si>
  <si>
    <t>Restart - Eight Handed No-Limit Hold’em Day 2</t>
  </si>
  <si>
    <t>Restart - Omaha Hi-Lo 8 or Better Day 2</t>
  </si>
  <si>
    <t>https://wsop.gg-global-cdn.com/wsop/50a4afd2-50a5-48fb-aa0a-0885cf2ec428.pdf</t>
  </si>
  <si>
    <t>NLH Daily Deep Stack</t>
  </si>
  <si>
    <t>https://wsop.gg-global-cdn.com/wsop/8cb37fdd-033f-4b27-9855-21be38b4b300.pdf</t>
  </si>
  <si>
    <t>Buy-in</t>
  </si>
  <si>
    <t>N/A</t>
  </si>
  <si>
    <t>40/60/90</t>
  </si>
  <si>
    <t>60/90</t>
  </si>
  <si>
    <t>20/40</t>
  </si>
  <si>
    <t>Re-Entry</t>
  </si>
  <si>
    <t>12:00</t>
  </si>
  <si>
    <t>14:00</t>
  </si>
  <si>
    <t>10:00</t>
  </si>
  <si>
    <t>18:00</t>
  </si>
  <si>
    <t>13:00</t>
  </si>
  <si>
    <t>11:00</t>
  </si>
  <si>
    <t>https://wsop.gg-global-cdn.com/wsop/7174f77e-70f1-4526-a298-fe3461807075.pdf</t>
  </si>
  <si>
    <t>HORSE</t>
  </si>
  <si>
    <t>TORSE</t>
  </si>
  <si>
    <t>PLO/NLH</t>
  </si>
  <si>
    <t>WOMENS</t>
  </si>
  <si>
    <t>$ 250 Pot Limit Omaha</t>
  </si>
  <si>
    <t>$ 250 Limit H.O.R.S.E.</t>
  </si>
  <si>
    <t>20/30</t>
  </si>
  <si>
    <t>TURBO</t>
  </si>
  <si>
    <t>$ 70 Mini Mystery Millions Landmark Satellite</t>
  </si>
  <si>
    <t>$ 2,750 Heads-Up Mega Satellite</t>
  </si>
  <si>
    <t>$ 2,750 High Roller Landmark Satellite</t>
  </si>
  <si>
    <t>$ 2,750 High Roller 6-Handed Landmark Satellite</t>
  </si>
  <si>
    <t>$ 625 High Roller Step Satellite</t>
  </si>
  <si>
    <t>$ 130 Mystery Millions Landmark Satellite</t>
  </si>
  <si>
    <t>$ 120 Pot Limit Omaha High Roller Step 1 Landmark Satellite</t>
  </si>
  <si>
    <t>$ 850 Pot Limit Omaha High Roller Step 2 Landmark Satellite</t>
  </si>
  <si>
    <t>$ 7,500 Pot Limit Omaha High Roller Landmark Satellite</t>
  </si>
  <si>
    <t>Reach 100,000 chips and receive Direct Entry into the Mini Mystery Millions</t>
  </si>
  <si>
    <t>Reach 100,000 chips and receive Direct Entry into the 3pm $850 Step 2 Satellite</t>
  </si>
  <si>
    <t>Reach 200,000 chips and receive Direct Entry into the $25,000 High Roller 6-Handedr</t>
  </si>
  <si>
    <t>Reach 200,000 chips and receive Direct Entry into the $25,000 NL High Roller</t>
  </si>
  <si>
    <t>Reach 200,000 chips and receive Direct Entry into the $25,000 PLO High Roller</t>
  </si>
  <si>
    <t>Reach 200,000 chips and receive Direct Entry into thet $25,000 NL/PLO High Roller</t>
  </si>
  <si>
    <t>Reach 100,000 chips and receive Direct Entry into the $2,750 PLO High Roller Satelliter</t>
  </si>
  <si>
    <t>Reach 250,000 chips and receive Direct Entry into thet $50,000 High Roller</t>
  </si>
  <si>
    <t>Reach 100,000 chips and receive Direct Entry into the Gladiators of Poker</t>
  </si>
  <si>
    <t>Reach 100,000 chips and receive Direct Entry into the 6pm $5,300 6pm Mega</t>
  </si>
  <si>
    <t>Receive Direct Entry into the 6pm $5,300 Mega Satellite</t>
  </si>
  <si>
    <t>Receive Direct Entry into the 6pm $5,300 PPC Mega Satellite</t>
  </si>
  <si>
    <t>Reach 450,000 chips and receive Direct Entry into the $100,000 High Roller</t>
  </si>
  <si>
    <t>Reach 100,000 chips and receive entry into the 6pm$7,500 High Roller Satellite</t>
  </si>
  <si>
    <t>Reach 100,000 chips and receive entry into the 6pm $7,500 High Roller Satellite</t>
  </si>
  <si>
    <t>HEADS-UP</t>
  </si>
  <si>
    <t>TAG TEAM</t>
  </si>
  <si>
    <t>$1,500 Seven Card Stud - Day 1</t>
  </si>
  <si>
    <t>$600 Pot-Limit Omaha Deepstack (8-Handed) - Day 1</t>
  </si>
  <si>
    <t>$10,000 No-Limit 2-7 Lowball Draw Championship - Day 1</t>
  </si>
  <si>
    <t xml:space="preserve"> $5,000 Pot-Limit Omaha (8-Handed) - Day 1</t>
  </si>
  <si>
    <t xml:space="preserve"> $1,500 Badugi (6-Handed) - Day 1</t>
  </si>
  <si>
    <t>$1,500 No-Limit 2-7 Lowball Draw (7-Handed) - Day 1</t>
  </si>
  <si>
    <t>$10,000 Seven Card Stud Championship - Day 1</t>
  </si>
  <si>
    <t xml:space="preserve"> $10,000 Dealers Choice Championship (7-Handed) - Day 1</t>
  </si>
  <si>
    <t xml:space="preserve"> $1,500 Razz - Day 1</t>
  </si>
  <si>
    <t xml:space="preserve"> $10,000 Big O Championship (8-Handed) - Day 1</t>
  </si>
  <si>
    <t xml:space="preserve"> $10,000 Razz Championship - Day 1</t>
  </si>
  <si>
    <t xml:space="preserve"> $3,000 Nine Game Mix (7-Handed) - Day 1</t>
  </si>
  <si>
    <t xml:space="preserve"> $1,500 Five Card Pot-Limit Omaha (8-Handed) - Day 1</t>
  </si>
  <si>
    <t xml:space="preserve"> $50,000 Pot-Limit Omaha High Roller (8-Handed) - Day 1</t>
  </si>
  <si>
    <t xml:space="preserve"> $1,500 Limit 2-7 Lowball Triple Draw - Day 1</t>
  </si>
  <si>
    <t xml:space="preserve"> $50,000 Poker Players Championship (7-Handed) - Day 1</t>
  </si>
  <si>
    <t xml:space="preserve"> $10,000 Limit 2-7 Lowball Triple Draw Championship - Day 1</t>
  </si>
  <si>
    <t xml:space="preserve"> $10,000 Pot-Limit Omaha Championship (8-Handed) - Day 1</t>
  </si>
  <si>
    <t xml:space="preserve"> $2,500 Mixed Big Bet 7-Handed (7-Handed) - Day 1</t>
  </si>
  <si>
    <t xml:space="preserve"> $1,500 8-Game Mixed (6-Handed) - Day 1</t>
  </si>
  <si>
    <t xml:space="preserve"> $100,000 Pot-Limit Omaha High Roller (8-Handed) - Day 1</t>
  </si>
  <si>
    <t xml:space="preserve"> $2,500 Mixed Triple Draw Lowball - Day 1</t>
  </si>
  <si>
    <t xml:space="preserve"> $10,000 8-Game Mixed Championship (6-Handed) - Day 1</t>
  </si>
  <si>
    <t xml:space="preserve"> $1,500 Pot-Limit Omaha Double Board Bomb Pot (8-Handed) - Day 1</t>
  </si>
  <si>
    <t xml:space="preserve"> $1,500 Pick Your PLO (8-Handed) - Day 1</t>
  </si>
  <si>
    <t xml:space="preserve"> $3,000 Pot-Limit Omaha 6-Handed - Day 1</t>
  </si>
  <si>
    <t>$1,500 Dealers Choice (7-Handed) - Day 1</t>
  </si>
  <si>
    <t xml:space="preserve"> $1,000 Pot-Limit Omaha - (8-Handed) - Day 1B</t>
  </si>
  <si>
    <t xml:space="preserve"> $1,000 Pot-Limit Omaha - (8-Handed) - Day 1A</t>
  </si>
  <si>
    <t xml:space="preserve"> $1,000 Pot-Limit Omaha - (8-Handed) - Day 1C</t>
  </si>
  <si>
    <t xml:space="preserve"> $1,000 Pot-Limit Omaha Mystery Bounty - Day 1A</t>
  </si>
  <si>
    <t xml:space="preserve"> $1,000 Pot-Limit Omaha Mystery Bounty - Day 1B</t>
  </si>
  <si>
    <t xml:space="preserve"> $1,500 Pot-Limit Omaha - Day 1A</t>
  </si>
  <si>
    <t xml:space="preserve"> $1,500 Pot-Limit Omaha - Day 1B</t>
  </si>
  <si>
    <t>$1,500 Big O - (8-Handed) - Day 1A</t>
  </si>
  <si>
    <t>$1,500 Big O - (8-Handed)  - Day 1B</t>
  </si>
  <si>
    <t xml:space="preserve"> $25,000 Pot-Limit Omaha High Roller - (8-Handed) - Day 1A</t>
  </si>
  <si>
    <t xml:space="preserve"> $25,000 Pot-Limit Omaha High Roller - (8-Handed) - Day 1B</t>
  </si>
  <si>
    <t>WSOPC Event #1: $400 No-Limit Hold'em Mini Main - Flight A</t>
  </si>
  <si>
    <t>30/45</t>
  </si>
  <si>
    <t>WSOPC Event #2: $600 Omaha Hi-Low 8 or Better</t>
  </si>
  <si>
    <t>WSOPC Event #1: $400 No-Limit Hold'em Mini Main - Flight B</t>
  </si>
  <si>
    <t>WSOPC Event #3: $600 Pot-Limit Omaha</t>
  </si>
  <si>
    <t>WSOPC Event #1: $400 No-Limit Hold'em Mini Main - Flight C</t>
  </si>
  <si>
    <t>WSOPC Event #4: $600 TORSE</t>
  </si>
  <si>
    <t>WSOPC Event #5: $600 No-Limit Hold'em Monster Stack - Flight A</t>
  </si>
  <si>
    <t>WSOPC Event #6: $800 Pot-Limit Omaha</t>
  </si>
  <si>
    <t>WSOPC Event #5: $600 No-Limit Hold'em Monster Stack - Flight B</t>
  </si>
  <si>
    <t>WSOPC Event #7: $300 No-Limit Hold'em Ladies Event</t>
  </si>
  <si>
    <t>WSOPC Event #5: $600 No-Limit Hold'em Monster Stack - Flight C</t>
  </si>
  <si>
    <t>WSOPC Event #8: $1,125 No-Limit Hold'em</t>
  </si>
  <si>
    <t>WSOPC Event #9: $400 No-Limit Hold'em Seniors</t>
  </si>
  <si>
    <t>WSOPC Event #10: $2,200 No-Limit Hold'em High Roller</t>
  </si>
  <si>
    <t>WSOPC Event #11: $1,700 No-Limit Hold'em Main Event - Flight A</t>
  </si>
  <si>
    <t>WSOPC Event #12: $600 No-Limit Hold'em Bounty</t>
  </si>
  <si>
    <t>WSOPC Event #11: $1,700 No-Limit Hold'em Main Event - Flight B</t>
  </si>
  <si>
    <t>WSOPC Event #13: $400 No-Limit Hold'em</t>
  </si>
  <si>
    <t>WSOPC Event #14: $400 No-Limit Hold'em 40/40/40</t>
  </si>
  <si>
    <t>WSOPC Event #15: $3,300 No-Limit Hold'em High Roller</t>
  </si>
  <si>
    <t>WSOPC Event #16: $400 No-Limit Hold'em Double Stack</t>
  </si>
  <si>
    <t>WSOPC Event #17: $5,000 No-Limit Hold'em High Roller</t>
  </si>
  <si>
    <t>WSOPC Event #18: $400 No-Limit Hold'em</t>
  </si>
  <si>
    <t>WSOP Circuit</t>
  </si>
  <si>
    <t>BOUNTY</t>
  </si>
  <si>
    <t>Wynn</t>
  </si>
  <si>
    <t>Summer Classic</t>
  </si>
  <si>
    <t>TOE</t>
  </si>
  <si>
    <t>5-CARD PLO</t>
  </si>
  <si>
    <t>MIXED TRIPLE DRAW</t>
  </si>
  <si>
    <t>10 SEATS</t>
  </si>
  <si>
    <t>2-7 MIXED</t>
  </si>
  <si>
    <t>6-CARD PLO</t>
  </si>
  <si>
    <t>5 SEATS</t>
  </si>
  <si>
    <t>Orleans</t>
  </si>
  <si>
    <t>Summer Open</t>
  </si>
  <si>
    <t>OSO NLH Main Event - 1A</t>
  </si>
  <si>
    <t>OSO NLH Main Event - 1C</t>
  </si>
  <si>
    <t>OSO NLH Main Event - 1E</t>
  </si>
  <si>
    <t>OSO NLH Main Event - 1G</t>
  </si>
  <si>
    <t>OSO NLH Main Event - 1B</t>
  </si>
  <si>
    <t>OSO NLH Main Event - 1D</t>
  </si>
  <si>
    <t>OSO NLH Main Event - 1F</t>
  </si>
  <si>
    <t>OSO NLH Main Event - 1H</t>
  </si>
  <si>
    <t>Triple Triple Draw</t>
  </si>
  <si>
    <t>NLH Mega Stack</t>
  </si>
  <si>
    <t>NLH Monster Stack</t>
  </si>
  <si>
    <t xml:space="preserve"> NLH Super Stack </t>
  </si>
  <si>
    <t xml:space="preserve"> Friday Special Monster Stack </t>
  </si>
  <si>
    <t xml:space="preserve"> Nightly Monster Stack </t>
  </si>
  <si>
    <t xml:space="preserve"> NLH Sunday Special </t>
  </si>
  <si>
    <t xml:space="preserve"> HORSE </t>
  </si>
  <si>
    <t xml:space="preserve"> 8 Game Championship </t>
  </si>
  <si>
    <t xml:space="preserve"> PLO Championship </t>
  </si>
  <si>
    <t xml:space="preserve"> NLH Monster Stack </t>
  </si>
  <si>
    <t xml:space="preserve"> Mixed O-8 Championship </t>
  </si>
  <si>
    <t xml:space="preserve"> Omaha-8/Stud-8 </t>
  </si>
  <si>
    <t xml:space="preserve"> TORSE Championship </t>
  </si>
  <si>
    <t xml:space="preserve"> PLO 8-or-Better Championship </t>
  </si>
  <si>
    <t xml:space="preserve"> 7 Game Draw Mix Championship </t>
  </si>
  <si>
    <t xml:space="preserve"> Stud Championship </t>
  </si>
  <si>
    <t xml:space="preserve"> Razz Championship </t>
  </si>
  <si>
    <t xml:space="preserve"> 11 Game Mixed Main Event </t>
  </si>
  <si>
    <t xml:space="preserve"> NLH Sunday Special Turbo </t>
  </si>
  <si>
    <t xml:space="preserve"> 9 Game Championship </t>
  </si>
  <si>
    <t>Triple Stud Championship</t>
  </si>
  <si>
    <t>TOE Championship</t>
  </si>
  <si>
    <t>BEAST Championship</t>
  </si>
  <si>
    <t>Dramaha Mix</t>
  </si>
  <si>
    <t>PL Big-O</t>
  </si>
  <si>
    <t>Omaha-8/Stud 8 Championship</t>
  </si>
  <si>
    <t>Mixed Limits 2-7 Championship</t>
  </si>
  <si>
    <t>Omaha 8-or-Better</t>
  </si>
  <si>
    <t>Triple Stud</t>
  </si>
  <si>
    <t>Ladies Championship</t>
  </si>
  <si>
    <t>5 Game Draw Mix</t>
  </si>
  <si>
    <t xml:space="preserve"> PLO 4/5/6 Championship </t>
  </si>
  <si>
    <t>A-5, 2-7, Badugi Championsip</t>
  </si>
  <si>
    <t>Main Event Satellite - 1 in 6</t>
  </si>
  <si>
    <t>BEAST</t>
  </si>
  <si>
    <t>Mixed O-8</t>
  </si>
  <si>
    <t>Omaha 8/B</t>
  </si>
  <si>
    <t>$600 No Limit Hold'em 1A $150K GTD (2Day)</t>
  </si>
  <si>
    <t>$200 No Limit Hold'em Bounty $10K GTD (1Day)</t>
  </si>
  <si>
    <t>$600 No Limit Hold'em 1B $150K GTD (2Day)</t>
  </si>
  <si>
    <t>$600 No Limit Hold'em 1C $150K GTD (2Day)</t>
  </si>
  <si>
    <t>$600 No Limit Hold'em $30K GTD (1Day)</t>
  </si>
  <si>
    <t>$600 Pot Limit Omaha Bounty 1A $50K GTD (2Day)</t>
  </si>
  <si>
    <t>$600 No Limit Hold'em Seniors 1A $150K GTD (2Day)</t>
  </si>
  <si>
    <t>$600 Pot Limit Omaha Bounty 1B $50K GTD (2Day)</t>
  </si>
  <si>
    <t>$250 No Limit Hold'em Bounty $15K GTD (1Day)</t>
  </si>
  <si>
    <t>$600 No Limit Hold'em Seniors 1B $150K GTD (2Day)</t>
  </si>
  <si>
    <t>$600 No Limit Hold'em Seniors 1C $150K GTD (2Day)</t>
  </si>
  <si>
    <t>$600 Limit Omaha 8/B $40K GTD (2Day)</t>
  </si>
  <si>
    <t>$600 No Limit Hold'em $40K GTD (1Day)</t>
  </si>
  <si>
    <t>$600 No Limit Hold'em Bounty $40K GTD (1Day)</t>
  </si>
  <si>
    <t>$800 Pot Limit Omaha Bounty $75K GTD (1Day)</t>
  </si>
  <si>
    <t>$400 No Limit Hold'em Bounty $25K GTD (1Day)</t>
  </si>
  <si>
    <t>$800 Pot Limit Omaha 8/B $100K GTD (1Day)</t>
  </si>
  <si>
    <t>$800 No Limit Hold'em Seniors $100K GTD (1Day)</t>
  </si>
  <si>
    <t>$1,100 Pot Limit Omaha $100K GTD (1Day)</t>
  </si>
  <si>
    <t>$800 No Limit Hold'em $150K GTD (1Day)</t>
  </si>
  <si>
    <t>$1,100 BIG O Bounty $100K GTD (1Day)</t>
  </si>
  <si>
    <t>$800 No Limit Hold'em 1A $300K GTD (2Day)</t>
  </si>
  <si>
    <t>$800 No Limit Hold'em 1B $300K GTD (2Day)</t>
  </si>
  <si>
    <t>$800 No Limit Hold'em 1C $300K GTD (2Day)</t>
  </si>
  <si>
    <t>$800 No Limit Hold'em 1D $300K GTD (2Day)</t>
  </si>
  <si>
    <t>$1,100 No Limit Hold'em 1A $1 Million GTD (2Day)</t>
  </si>
  <si>
    <t>$1,100 No Limit Hold'em 1B $1 Million GTD (2Day)</t>
  </si>
  <si>
    <t>$800 Pot Limit Omaha Bounty $100K GTD (1Day)</t>
  </si>
  <si>
    <t>$1,100 No Limit Hold'em 1C $1 Million GTD (2Day)</t>
  </si>
  <si>
    <t>$1,100 No Limit Hold'em Seniors 1A $1 Million GTD (2Day)</t>
  </si>
  <si>
    <t>$1,100 No Limit Hold'em Seniors 1B $1 Million GTD (2Day)</t>
  </si>
  <si>
    <t>$1,100 No Limit Hold'em Seniors 1C $1 Million GTD (2Day)</t>
  </si>
  <si>
    <t>$1,100 No Limit Hold'em $200K GTD (1Day)</t>
  </si>
  <si>
    <t>$800 5 Card Pot Limit Omaha $100K GTD (1Day)</t>
  </si>
  <si>
    <t>$800 No Limit Hold'em Bounty $150K GTD (1Day)</t>
  </si>
  <si>
    <t>$1,100 Pot Limit Omaha Bounty $150K GTD (1Day)</t>
  </si>
  <si>
    <t>$1,600 No Limit Hold'em Seniors 1A $1.5 Million GTD (2Day)</t>
  </si>
  <si>
    <t>$1,100 Pot Limit Omaha $150K GTD (1Day)</t>
  </si>
  <si>
    <t>$1,600 No Limit Hold'em Seniors 1B $1.5 Million GTD (2Day)</t>
  </si>
  <si>
    <t>$1,600 No Limit Hold'em Seniors 1C $1.5 Million GTD (2Day)</t>
  </si>
  <si>
    <t>$1,600 No Limit Hold'em $300K GTD (1Day)</t>
  </si>
  <si>
    <t>$800 No Limit Hold'em LIPS Ladies $100K GTD (1Day)</t>
  </si>
  <si>
    <t>$1,100 No Limit Hold'em 1A $500K GTD (2Day)</t>
  </si>
  <si>
    <t>$1,100 Pot Limit Omaha Double Board Bomb Pot $100K GTD (1Day)</t>
  </si>
  <si>
    <t>$1,100 No Limit Hold'em 1B $500K GTD (2Day)</t>
  </si>
  <si>
    <t>$1,100 No Limit Hold'em 1C $500K GTD (2Day)</t>
  </si>
  <si>
    <t>$1,100 No Limit Hold'em 1D $500K GTD (2Day)</t>
  </si>
  <si>
    <t>$1,100 No Limit Hold'em Super Seniors 1A $300K GTD (2Day)</t>
  </si>
  <si>
    <t>$1,100 No Limit Hold'em Super Seniors 1B $300K GTD (2Day)</t>
  </si>
  <si>
    <t>$300 No Limit Hold'em Ladies Milestone Satellite 3 Seats GTD (1Day)</t>
  </si>
  <si>
    <t>$800 No Limit Hold'em 1A $500K GTD (2Day)</t>
  </si>
  <si>
    <t>$2,500 No Limit Hold'em LIPS Ladies High Roller $150K GTD (3Day)</t>
  </si>
  <si>
    <t>$1,100 No Limit Hold'em Bounty $200K GTD (1Day)</t>
  </si>
  <si>
    <t>$1,600 No Limit Hold'em Bounty $500K GTD (1Day)</t>
  </si>
  <si>
    <t>$2,200 Pot Limit Omaha Bounty $500K GTD (2Day)</t>
  </si>
  <si>
    <t>$1,100 No Limit Hold'em Seniors 1D $1 Million GTD (2Day)</t>
  </si>
  <si>
    <t>$1,100 No Limit Hold'em MSPT 1A $1 Million GTD (2Day)</t>
  </si>
  <si>
    <t>$1,100 No Limit Hold'em MSPT 1B $1 Million GTD (2Day)</t>
  </si>
  <si>
    <t>$1,100 No Limit Hold'em MSPT 1C $1 Million GTD (2Day)</t>
  </si>
  <si>
    <t>$1,100 No Limit Hold'em MSPT 1D $1 Million GTD (2Day)</t>
  </si>
  <si>
    <t>$1,100 No Limit Hold'em MSPT 1E $1 Million GTD (2Day)</t>
  </si>
  <si>
    <t>$200 No Limit Hold'em Milestone Satellite 2 Seats GTD (1Day)</t>
  </si>
  <si>
    <t>$1,600 No Limit Hold'em MSPT 1A $1 Million GTD (2Day)</t>
  </si>
  <si>
    <t>$1,600 No Limit Hold'em MSPT 1B $1 Million GTD (2Day)</t>
  </si>
  <si>
    <t>$1,600 No Limit Hold'em MSPT 1C $1 Million GTD (2Day)</t>
  </si>
  <si>
    <t>$1,600 No Limit Hold'em MSPT 1D $1 Million GTD (2Day)</t>
  </si>
  <si>
    <t>$800 Pot Limit Omaha $40K GTD (1Day)</t>
  </si>
  <si>
    <t>$600 No Limit Hold'em Bounty $30K GTD (1Day)</t>
  </si>
  <si>
    <t>$400 Pot Limit Omaha Double Board Bomb Pot $15K GTD (1Day)</t>
  </si>
  <si>
    <t>$400 No Limit Hold'em 1A $200K GTD (2Day)</t>
  </si>
  <si>
    <t>$400 No Limit Hold'em 1B $200K GTD (2Day)</t>
  </si>
  <si>
    <t>$400 No Limit Hold'em 1C $200K GTD (2Day)</t>
  </si>
  <si>
    <t>$400 No Limit Hold'em 1D $200K GTD (2Day)</t>
  </si>
  <si>
    <t>$400 No Limit Hold'em 1E $200K GTD (2Day)</t>
  </si>
  <si>
    <t>$400 No Limit Hold'em 1F $200K GTD (2Day)</t>
  </si>
  <si>
    <t>$400 No Limit Hold'em $20K GTD (1Day)</t>
  </si>
  <si>
    <t>$600 No Limit Hold'em C1C $150K GTD (2Day)</t>
  </si>
  <si>
    <t xml:space="preserve">  --Restart -- $600 No Limit Hold'em Seniors Day 2 $150K GTD (2Day)</t>
  </si>
  <si>
    <t xml:space="preserve">  --Restart- $1,100 No Limit Hold'em 1A $500K GTD (2Day)</t>
  </si>
  <si>
    <t xml:space="preserve">  --Restart-  $1,100 No Limit Hold'em Super Seniors Day 2 $300K GTD (2Day)</t>
  </si>
  <si>
    <t>Venetian</t>
  </si>
  <si>
    <t>Deepstack Championship</t>
  </si>
  <si>
    <t>PLO-8</t>
  </si>
  <si>
    <t>https://wsop.gg-global-cdn.com/wsop/2ae8b531-6bbc-453f-a211-5bae2385aec4.pdf</t>
  </si>
  <si>
    <t>cc005520-f61f-427d-955f-f92a9e4c1051.pdf</t>
  </si>
  <si>
    <t>https://wsop.gg-global-cdn.com/wsop/cc005520-f61f-427d-955f-f92a9e4c1051.pdf</t>
  </si>
  <si>
    <t>Reach 100,000 chips and receive Direct Entry into the Colossus</t>
  </si>
  <si>
    <t>Reach 100,000 chips and receive Direct Entry into the Mystery Millions</t>
  </si>
  <si>
    <t>Reach 50,000 chips and receive Direct Entry into the Mystery Millions</t>
  </si>
  <si>
    <t>$ 240 Mystery Millions Landmark Satellite (5X)</t>
  </si>
  <si>
    <t>Reach 100,000 chips and receive $2,000 in Casino Chips</t>
  </si>
  <si>
    <t>Reach 100,000 chips and receive $5,000 in Casino Chips</t>
  </si>
  <si>
    <t>Reach 100,000 chips and receive $1,000 in Casino Chips</t>
  </si>
  <si>
    <t>Reach 150,000 chips and receive $10,000 in Casino Chips</t>
  </si>
  <si>
    <t>7-CARD STUD</t>
  </si>
  <si>
    <t>LIMIT HE</t>
  </si>
  <si>
    <t>BIG-O</t>
  </si>
  <si>
    <t>RAZZ</t>
  </si>
  <si>
    <t>6-MAX</t>
  </si>
  <si>
    <t>7-CARD STUD 8</t>
  </si>
  <si>
    <t>8-GAME MIX</t>
  </si>
  <si>
    <t>Direct Entry into the $25,000 NL Heads-Up for each $25,000 in the prize pool</t>
  </si>
  <si>
    <t>$ 5,300 High Roller Landmark Satellite (10X)</t>
  </si>
  <si>
    <t>Reach 200,000 chips and receive Direct Entry into the $25,400 High Roller</t>
  </si>
  <si>
    <t>Reach 400,000 chips and receive Direct Entry into the $250,000 High Roller</t>
  </si>
  <si>
    <t>Reach 250,000 chips and receive Direct Entry into the PPC $50,000</t>
  </si>
  <si>
    <t>$ 2,750 High Roller PLO/NL Landmark Satellite (10X)</t>
  </si>
  <si>
    <t>Reach 200,000 chips to receive Direct Entry into the $25000 High Roller HORSE</t>
  </si>
  <si>
    <t>For every $1,100 generated through buy-ins, one direct 
entry will be awarded in any $1,100 Main Event 
Landmark Satellite.'</t>
  </si>
  <si>
    <t>Reach 200,000 chips and receive $10,000 in Casino Chips</t>
  </si>
  <si>
    <t xml:space="preserve">Reach 100,000 chips and receive direct entry in any $2,200 Main Eevnt Landmark Satellite. </t>
  </si>
  <si>
    <t>Reach 100,000 chips and receive $10,000 in Casino Chips</t>
  </si>
  <si>
    <t>$200 bounties to start &amp; $500 bounties in the money</t>
  </si>
  <si>
    <t>$500 bounties to start &amp; $1,000 bounties in the money</t>
  </si>
  <si>
    <t>Heart Poker Championship</t>
  </si>
  <si>
    <t>Day 1 Payouts - 5% adavnce to Day 2</t>
  </si>
  <si>
    <t>DEALER'S CHOICE</t>
  </si>
  <si>
    <t>5-GAME DRAW MIX</t>
  </si>
  <si>
    <t>level</t>
  </si>
  <si>
    <t>stack</t>
  </si>
  <si>
    <t>Calc1</t>
  </si>
  <si>
    <t>Calc2</t>
  </si>
  <si>
    <t>Calc3</t>
  </si>
  <si>
    <t>Calc4</t>
  </si>
  <si>
    <t>$160 NLH Turbo Satellite</t>
  </si>
  <si>
    <t>5 Seats</t>
  </si>
  <si>
    <t>$300 NLH</t>
  </si>
  <si>
    <t>$600 Badugi</t>
  </si>
  <si>
    <t>$800 NLH</t>
  </si>
  <si>
    <t>$600 Omaha 8 or Better</t>
  </si>
  <si>
    <t>$600 No Limit 2-7 Single Draw</t>
  </si>
  <si>
    <t>$800 Pot-Limit Omaha</t>
  </si>
  <si>
    <t>$600 H.O.R.S.E.</t>
  </si>
  <si>
    <t>$600 NLH</t>
  </si>
  <si>
    <t>$600 T.O.R.S.E.</t>
  </si>
  <si>
    <t>$800 Seniors NLH</t>
  </si>
  <si>
    <t>$600 Limit Hold'em</t>
  </si>
  <si>
    <t>$600 T.O.E.</t>
  </si>
  <si>
    <t>$240 NLH Turbo Satellite</t>
  </si>
  <si>
    <t>$160 BetMGM NLH Satellite</t>
  </si>
  <si>
    <t>10 Seats</t>
  </si>
  <si>
    <t>$160 BetMGM NLH Turbo Satellite</t>
  </si>
  <si>
    <t>$240 BetMGM NLH Satellite</t>
  </si>
  <si>
    <t>$240 BetMGM NLH Turbo Satellite</t>
  </si>
  <si>
    <t>$800 H.O.R.S.E.</t>
  </si>
  <si>
    <t>$300 NLH Satellite</t>
  </si>
  <si>
    <t>$300 NLH Turbo Satellite</t>
  </si>
  <si>
    <t>$800 Omaha 8 or Better / Stud 8 or Better</t>
  </si>
  <si>
    <t>$800 Ladies NLH Mystery Bounty</t>
  </si>
  <si>
    <t>$800 Stud 8 or Better</t>
  </si>
  <si>
    <t>$800 8-Game Mixed</t>
  </si>
  <si>
    <t>$160 BetMGM PLO Satellite</t>
  </si>
  <si>
    <t>$160 BetMGM PLO Turbo Satellite</t>
  </si>
  <si>
    <t>$400 BetMGM NLH Satellite</t>
  </si>
  <si>
    <t>$400 BetMGM NLH Turbo Satellite</t>
  </si>
  <si>
    <t>$300 PLO Milestone Satellite</t>
  </si>
  <si>
    <t>$1,100 NLH Mystery Bounty</t>
  </si>
  <si>
    <t>$1,100 Pot-Limit Omaha</t>
  </si>
  <si>
    <t>$1,600 NLH</t>
  </si>
  <si>
    <t>$1,100 BetMGM Pot-Limit Omaha</t>
  </si>
  <si>
    <t>$1,100 BetMGM NLH Mystery Bounty</t>
  </si>
  <si>
    <t>$1,100 5-Card Pot-Limit Omaha</t>
  </si>
  <si>
    <t>$2,200 NLH Mystery Bounty (2-Day)</t>
  </si>
  <si>
    <t>$1,100 NLH</t>
  </si>
  <si>
    <t>$1,100 Seniors NLH</t>
  </si>
  <si>
    <t>$1,100 PLO Mystery Bounty</t>
  </si>
  <si>
    <t>$1,100 BetMGM PLO Mystery Bounty</t>
  </si>
  <si>
    <t>$3500 BetMGM Championship - 1A</t>
  </si>
  <si>
    <t>$3500 BetMGM Championship - 1B</t>
  </si>
  <si>
    <t>$2200 PLO Championship (2-Day)</t>
  </si>
  <si>
    <t>Aria</t>
  </si>
  <si>
    <t>Poker Classic</t>
  </si>
  <si>
    <t>BADUGI</t>
  </si>
  <si>
    <t>2-7 SINGLE DRAW</t>
  </si>
  <si>
    <t>OMAHA-8</t>
  </si>
  <si>
    <t>OMAHA-8 / STUD-8</t>
  </si>
  <si>
    <t>STUD-8</t>
  </si>
  <si>
    <t>WOMENS MYSTERY BOUNTY</t>
  </si>
  <si>
    <t>Chip Chop Survivor</t>
  </si>
  <si>
    <t>NLH Turbo Bounty ($25)</t>
  </si>
  <si>
    <t>No-Limit Hold'em</t>
  </si>
  <si>
    <t>NLH Deepstack</t>
  </si>
  <si>
    <t>Crazy Pineapple</t>
  </si>
  <si>
    <t>NLH Bounty ($50)</t>
  </si>
  <si>
    <t>South Point</t>
  </si>
  <si>
    <t>Summer Events</t>
  </si>
  <si>
    <t>TURBO BOUNTY</t>
  </si>
  <si>
    <t>$25 Bounties</t>
  </si>
  <si>
    <t>CRAZY PINEAPPLE</t>
  </si>
  <si>
    <t>$50 Bounties</t>
  </si>
  <si>
    <t>300K Multiday Flight A</t>
  </si>
  <si>
    <t>300K Multiday Flight B</t>
  </si>
  <si>
    <t>300K Multiday Flight C</t>
  </si>
  <si>
    <t>300K Multiday Flight D</t>
  </si>
  <si>
    <t>300K Multiday Flight E</t>
  </si>
  <si>
    <t>300K Multiday Flight F</t>
  </si>
  <si>
    <t xml:space="preserve">PL Big O Championship </t>
  </si>
  <si>
    <t>Big-O</t>
  </si>
  <si>
    <t>MGM</t>
  </si>
  <si>
    <t>Summer Poker Festival</t>
  </si>
  <si>
    <t>Seniors Warm-Up NLH (50+)</t>
  </si>
  <si>
    <t>2A</t>
  </si>
  <si>
    <t>No Limit Hold'em - Grand Stack</t>
  </si>
  <si>
    <t>2B</t>
  </si>
  <si>
    <t>2C</t>
  </si>
  <si>
    <t>Big-O / PLO-8</t>
  </si>
  <si>
    <t>NLH - $100 Rebuy/Add-on</t>
  </si>
  <si>
    <t>GCP Tour - Big Monster Stack NLH 1-Day</t>
  </si>
  <si>
    <t>6A</t>
  </si>
  <si>
    <t>GCP Tour - Mystery Ticket NLH</t>
  </si>
  <si>
    <t>6B</t>
  </si>
  <si>
    <t>6C</t>
  </si>
  <si>
    <t>6D</t>
  </si>
  <si>
    <t>6E</t>
  </si>
  <si>
    <t>7A</t>
  </si>
  <si>
    <t>No Limit Hold'em - Grand Stack 2-Day</t>
  </si>
  <si>
    <t>7B</t>
  </si>
  <si>
    <t>Pot Limit Omaha 8/Better Bounty</t>
  </si>
  <si>
    <t>PLO-8 Nightly</t>
  </si>
  <si>
    <t>No Limit Hold'em - Grand Stack 1-Day</t>
  </si>
  <si>
    <t>Big-O Nightly</t>
  </si>
  <si>
    <t>No Limit Hold'em - Mystery Bounty 1-Day</t>
  </si>
  <si>
    <t>Double Board PLO Bomb Pot</t>
  </si>
  <si>
    <t>15A</t>
  </si>
  <si>
    <t>No Limit Hold'em - SUPER Stack</t>
  </si>
  <si>
    <t>15B</t>
  </si>
  <si>
    <t>15C</t>
  </si>
  <si>
    <t>15D</t>
  </si>
  <si>
    <t>15E</t>
  </si>
  <si>
    <t>16A</t>
  </si>
  <si>
    <t>16B</t>
  </si>
  <si>
    <t>19A</t>
  </si>
  <si>
    <t>19B</t>
  </si>
  <si>
    <t>Ladies No Limit Hold'em</t>
  </si>
  <si>
    <t>23A</t>
  </si>
  <si>
    <t>No Limit Hold'em - SUPER Stack Mystery Bounty</t>
  </si>
  <si>
    <t>23B</t>
  </si>
  <si>
    <t>23C</t>
  </si>
  <si>
    <t>23D</t>
  </si>
  <si>
    <t>23E</t>
  </si>
  <si>
    <t>24A</t>
  </si>
  <si>
    <t>24B</t>
  </si>
  <si>
    <t>Big-O Championship</t>
  </si>
  <si>
    <t>Seniors NLH (50+)</t>
  </si>
  <si>
    <t>PLO-8 Championship</t>
  </si>
  <si>
    <t>NLH - Double Green Chip Bounty</t>
  </si>
  <si>
    <t>37A</t>
  </si>
  <si>
    <t>37B</t>
  </si>
  <si>
    <t>Big-O / PLO-8 Championship</t>
  </si>
  <si>
    <t>HEROS Championship</t>
  </si>
  <si>
    <t>Mixed Omaha Championship</t>
  </si>
  <si>
    <t>TORSE Championship</t>
  </si>
  <si>
    <t>51A</t>
  </si>
  <si>
    <t>GRAND FINALE - No Limit Hold'em</t>
  </si>
  <si>
    <t>51B</t>
  </si>
  <si>
    <t>51C</t>
  </si>
  <si>
    <t>51D</t>
  </si>
  <si>
    <t>51E</t>
  </si>
  <si>
    <t>HEROS</t>
  </si>
  <si>
    <t>MIXED OMAHA</t>
  </si>
  <si>
    <t>BIG-O / PLO-8</t>
  </si>
  <si>
    <t>$50 bounty</t>
  </si>
  <si>
    <t>Golden Nugget</t>
  </si>
  <si>
    <t>Grand Poker Series</t>
  </si>
  <si>
    <t>Seniors Open</t>
  </si>
  <si>
    <t>No Limit Hold'em</t>
  </si>
  <si>
    <t>Night T.O.R.S.E</t>
  </si>
  <si>
    <t>Turbo No Limit Hold'em</t>
  </si>
  <si>
    <t>PLO Championship</t>
  </si>
  <si>
    <t>Stud 8 / Omaha 8 Championship</t>
  </si>
  <si>
    <t>Golden Saturday NLH</t>
  </si>
  <si>
    <t>Pot Limit Omaha</t>
  </si>
  <si>
    <t>H.O.R.S.E Championship</t>
  </si>
  <si>
    <t>BAR Poker Open Anniversary NLH</t>
  </si>
  <si>
    <t>Omaha 8 Championship</t>
  </si>
  <si>
    <t>Big O Championship</t>
  </si>
  <si>
    <t>Bar Poker Championships Day 1A (Flight 1)</t>
  </si>
  <si>
    <t>Bar Poker Championships Day 1A (Flight 2)</t>
  </si>
  <si>
    <t>Bar Poker Championships Day 1B</t>
  </si>
  <si>
    <t>Tag Team No Limit Hold'em</t>
  </si>
  <si>
    <t>Mixed Triple Draw Lowball Limit (2-7, A-5, Badugi)</t>
  </si>
  <si>
    <t>Green Chip Bounty No Limit Hold'em</t>
  </si>
  <si>
    <t>8 Game Mix Championship</t>
  </si>
  <si>
    <t>Night Mixed Triple Draw Lowball Limit (2-7, A-5, Badugi)</t>
  </si>
  <si>
    <t>Seniors Championship</t>
  </si>
  <si>
    <t>5-Card PLO/Big-O</t>
  </si>
  <si>
    <t>Late Night Survivor Turbo NLH</t>
  </si>
  <si>
    <t>Gulf Coast Poker Tour - Golden Event Flight A</t>
  </si>
  <si>
    <t>Gulf Coast Poker Tour - Golden Event Flight B</t>
  </si>
  <si>
    <t>Gulf Coast Poker Tour - Golden Event Flight C</t>
  </si>
  <si>
    <t>Gulf Coast Poker Tour - Golden Event Flight D</t>
  </si>
  <si>
    <t>Gulf Coast Poker Tour - Golden Event Flight E</t>
  </si>
  <si>
    <t>Super Seniors (60+ or played Seniors)</t>
  </si>
  <si>
    <t>Seven Card Stud Hi Low 8/B</t>
  </si>
  <si>
    <t>Gulf Coast Poker Tour International Tour Challenge</t>
  </si>
  <si>
    <t>Gulf Coast Poker Tour Tag Team</t>
  </si>
  <si>
    <t>Ladies NLH Championship</t>
  </si>
  <si>
    <t>SORBET (Stud / Omaha/B, Razz, Badugi, Stud/8. 2-7)</t>
  </si>
  <si>
    <t>Championship Main Event Flight A</t>
  </si>
  <si>
    <t>Championship Main Event Flight B</t>
  </si>
  <si>
    <t>Championship Main Event Flight C</t>
  </si>
  <si>
    <t>Championship Main Event Flight D</t>
  </si>
  <si>
    <t>Mixed Triple Draw Lowball Limit Championship (2-7, A-5, Badugi)</t>
  </si>
  <si>
    <t>Night PLO Double Green Chip Bounty</t>
  </si>
  <si>
    <t>5 Game Draw Mix (2-7, Baduecy, Badugi, A-5, Badacey)</t>
  </si>
  <si>
    <t>Night Omaha Hi/Low 8 or Better</t>
  </si>
  <si>
    <t>SORBET</t>
  </si>
  <si>
    <t>Gulf Coast Poker Tour Night Owl</t>
  </si>
  <si>
    <t>TURBO SURVIVOR</t>
  </si>
  <si>
    <t>Gulf Coast Poker Tour Rookies &amp; Recs Championship Flight A</t>
  </si>
  <si>
    <t>Gulf Coast Poker Tour Rookies &amp; Recs Championship Flight B</t>
  </si>
  <si>
    <t>https://drive.google.com/file/d/1xnvBcIziWXyG8s8cd9hABJlKOLeC7cC_/view?usp=drive_link</t>
  </si>
  <si>
    <t>https://drive.google.com/file/d/1RZO8p5ZuXDbTinIFAEY3zLoJuALLQh05/view?usp=drive_link</t>
  </si>
  <si>
    <t>https://drive.google.com/drive/folders/1Q0JY4U_NL0cgWfpbcKsMnzPI71W-hoJ8</t>
  </si>
  <si>
    <t>*The voluntary staff gratuity will grant players an extra 15,000 chips. This is</t>
  </si>
  <si>
    <t>optional gratuity paid to staff and will not be kept by the house*</t>
  </si>
  <si>
    <t>https://drive.google.com/file/d/1iN53La48YLPaTQzSzpcDE7zGqdIrE7gE/view?usp=drive_link</t>
  </si>
  <si>
    <t>https://drive.google.com/file/d/1gHfRrh2KTTtiwbuuwPvOm0DTK6aCPyZq/view?usp=drive_link</t>
  </si>
  <si>
    <t>https://drive.google.com/file/d/1L_Rezjh5zJbUsDUCNBD50zjPOvSRvfJU/view?usp=drive_link</t>
  </si>
  <si>
    <t>https://drive.google.com/file/d/1WxXSHSyS1WXWkhwZBsPSEgo-PNhOh9Xs/view?usp=drive_link</t>
  </si>
  <si>
    <t>https://drive.google.com/file/d/1bHd4ZOLj4WwDeSaFeroUtMmRKZzkfQ8g/view?usp=drive_link</t>
  </si>
  <si>
    <t>LEVEL 9</t>
  </si>
  <si>
    <t>LEVEL 13</t>
  </si>
  <si>
    <t>Flip Schedule – One (1) Flip at every Day 2 starting table, One (1) Flip at each of the remaining 3 tables
and One (1) Flip at the Final Table. Players are eligible to win multiple Mystery Tickets.
Mystery Ticket Prizes will range from $400 value up to $15,000. TWO (2) $10,000 Mystery Tickets will be
withheld for the last four flips of the day (3 Tables and Final Table).
▪ “Flips” - Players will be dealt two cards face down. Each dealer will then run a community board, complete with
burn cards. The best 5 card hand on each table will draw a Ticket. In the event of a tie, the players involved in
the tie will complete another “Flip”, and so on until there is one winner. Any Day 2 players that have not
checked in with their dealer prior to 12:00pm will not be eligible to “Flip” for a mystery ticket.</t>
  </si>
  <si>
    <t>LEVEL 12</t>
  </si>
  <si>
    <t>LEVEL 8</t>
  </si>
  <si>
    <t>LEVEL 6</t>
  </si>
  <si>
    <t>Anytime a player is at or below 20,000 chips, they may purchase a rebuy for $100 which
will grant them an extra 20,000 (10K+10K) chips. If a player goes bust, they may double
rebuy for $200 to receive 40,000 chips. On first break, players may purchase a one-time
add-on of $100 for an extra 40,000 (20K+20K) chips regardless of chip stack.</t>
  </si>
  <si>
    <t>The game type will
change every 8 hands dealt at each table. The games are played in the following
order: Limit Hold’em, Seven Card Stud 8, Razz, Limit Omaha, Seven Card Stud.</t>
  </si>
  <si>
    <t>https://drive.google.com/file/d/1qO0rzm41UXTYOGlUgYonp1YeopaGhT33/view?usp=drive_link</t>
  </si>
  <si>
    <t>https://drive.google.com/file/d/1RrT0-E-oBWZeTH4IfiY8Q7v2FjoSWFEz/view?usp=drive_link</t>
  </si>
  <si>
    <t>https://drive.google.com/file/d/1VpJ8pKNTpYvPQSr-htQCrPnUcb_th1OX/view?usp=drive_link</t>
  </si>
  <si>
    <t>https://drive.google.com/file/d/1qLUrn0bob-sPpheRiY8QCFCAwDco-naF/view?usp=drive_link</t>
  </si>
  <si>
    <t>https://drive.google.com/file/d/197IZATY6T9qiqCdd99f2lIrEPMYhX39Y/view?usp=drive_link</t>
  </si>
  <si>
    <t>https://drive.google.com/file/d/1rdVR-VSbKCGZBKfLG0BRi_yxvOGDg0IX/view?usp=drive_link</t>
  </si>
  <si>
    <t>https://drive.google.com/file/d/11utus-bOdP5T5h9Q-yRGchEZzqBRMPFY/view?usp=drive_link</t>
  </si>
  <si>
    <t>https://drive.google.com/file/d/1GXRbR2ilbhyKwaWuUS6k1Ew8kEJ43BBB/view?usp=drive_link</t>
  </si>
  <si>
    <t>https://drive.google.com/file/d/1Vz1vrMcW9l_Ibers-0bYAiLbA1lSTFCn/view?usp=drive_link</t>
  </si>
  <si>
    <t>https://drive.google.com/file/d/1WmVxObev6klmKysJwxFK4fMkFZV9KRtn/view?usp=drive_link</t>
  </si>
  <si>
    <t>https://drive.google.com/file/d/1Sghp9Ge-cptLWnKg_ij7NIDfhyGgherr/view?usp=drive_link</t>
  </si>
  <si>
    <t>https://drive.google.com/file/d/1mhUczNjxTalx9VkfTgTMfsWnKuVH46hK/view?usp=drive_link</t>
  </si>
  <si>
    <t>https://drive.google.com/file/d/10rsjqipDt5Fi_Auxz9TCa1gLI8WjrZBJ/view?usp=drive_link</t>
  </si>
  <si>
    <t>https://drive.google.com/file/d/1K1ZUYUcxyBXWEtNWFQ03OUgmD6NNkFqb/view?usp=drive_link</t>
  </si>
  <si>
    <t>https://drive.google.com/file/d/1CyghwASYk-D4B4_rDhB4pVJuzaTfQz8O/view?usp=drive_link</t>
  </si>
  <si>
    <t>https://drive.google.com/file/d/1SSyikRTQbn0XmkpTVR6gKdQ2J7HMUM0Z/view?usp=drive_link</t>
  </si>
  <si>
    <t>https://drive.google.com/file/d/1z4hDdefF0WEPjsxU_CVBDq38mOwkKGqn/view?usp=drive_link</t>
  </si>
  <si>
    <t>https://drive.google.com/file/d/1nZJ4_hohs4uYZeBaRD573LGOJAKmZ1jH/view?usp=drive_link</t>
  </si>
  <si>
    <t>https://drive.google.com/file/d/17mSyo4RprhhLd0Bc1L1o3Lkhfwt1aDIp/view?usp=drive_link</t>
  </si>
  <si>
    <t>https://drive.google.com/file/d/1fR6cgkeFUw5kPd0i086eO-yoqmB-YdPB/view?usp=drive_link</t>
  </si>
  <si>
    <t>https://drive.google.com/file/d/1gxQIZTDiwL_Cjgy3GJvllqnYlceeXrFr/view?usp=drive_link</t>
  </si>
  <si>
    <t>https://drive.google.com/file/d/1-kGoUa-yYJcUUi4iDrDSPx53g_fYEvBZ/view?usp=drive_link</t>
  </si>
  <si>
    <t>https://drive.google.com/file/d/1fl5JEcuLW6R0gO7wLeCZ-vLhtAmn4fyt/view?usp=drive_link</t>
  </si>
  <si>
    <t>https://drive.google.com/file/d/12tyGJG8WfRz0_cXg3OgmVp4CLMbJsR8a/view?usp=drive_link</t>
  </si>
  <si>
    <t>https://drive.google.com/file/d/1HXThWpf4zTw8Xz2AcIVFFj08x2O85yrQ/view?usp=drive_link</t>
  </si>
  <si>
    <t>https://drive.google.com/file/d/1H_9qvqESzylL47cOwcfjJJ3Vs1TtLErS/view?usp=drive_link</t>
  </si>
  <si>
    <t>https://drive.google.com/file/d/1UeiycAkYFwP8HqkEp_lLstytwyONNp_6/view?usp=drive_link</t>
  </si>
  <si>
    <t>https://drive.google.com/file/d/1b_jlew3dhWLIou9d12yzUUj_mipNmllv/view?usp=drive_link</t>
  </si>
  <si>
    <t>https://drive.google.com/file/d/143GPkibnyUadDYbyui6FHrl9rC5FN4ah/view?usp=drive_link</t>
  </si>
  <si>
    <t>https://drive.google.com/file/d/1pT3QV1rCIv8_STHi5I5h4vHYTWNgyogi/view?usp=drive_link</t>
  </si>
  <si>
    <t>https://drive.google.com/file/d/1sxCJjaTuFRPezUc8ZGw3JAHeuJ5Ogspz/view?usp=drive_link</t>
  </si>
  <si>
    <t>https://drive.google.com/file/d/1hw_B7FEC-2FVUkC0mNkrmrhl802Gkq_D/view?usp=drive_link</t>
  </si>
  <si>
    <t>https://drive.google.com/file/d/1nfqGp7lY2kK-yzfZs48gnfVWCGp-K90C/view?usp=drive_link</t>
  </si>
  <si>
    <t>https://drive.google.com/file/d/10t3F4_jhF-g3C0gKWi6H_eKKjmfYCSpg/view?usp=drive_link</t>
  </si>
  <si>
    <t>https://drive.google.com/file/d/1QHbSm2I5NEBFKKqibUA3VSaQOZY9yBrj/view?usp=drive_link</t>
  </si>
  <si>
    <t>https://drive.google.com/file/d/1fdJpOUmd6jcz2WGjWXEbDIr9DmlRr7bY/view?usp=drive_link</t>
  </si>
  <si>
    <t>https://drive.google.com/file/d/1UcSaqWXakKXhK8CAoLnDV7I7i9qL1Rj4/view?usp=drive_link</t>
  </si>
  <si>
    <t>https://drive.google.com/file/d/1tCRJSxtY0kISzJp1Pe_jdorO2HBLLPrt/view?usp=drive_link</t>
  </si>
  <si>
    <t>https://drive.google.com/file/d/1NYusIl0bsPO3xx1K0qq2SwvHib6XjWDe/view?usp=drive_link</t>
  </si>
  <si>
    <t>https://drive.google.com/file/d/1nV8RGbjzQP4g2doQ5mbtz6AYBrxi3Icp/view?usp=drive_link</t>
  </si>
  <si>
    <t>https://drive.google.com/file/d/1Egddk283_zjE3-OlRxdbzyERId4mL1NO/view?usp=drive_link</t>
  </si>
  <si>
    <t>https://drive.google.com/file/d/1bZusBxJu2nJdvRmT0tQe5FP-q0WPn9Qw/view?usp=drive_link</t>
  </si>
  <si>
    <t>https://drive.google.com/file/d/133ewjtUheUK7qMSJubIgFGiXrgyCHYD7/view?usp=drive_link</t>
  </si>
  <si>
    <t>https://drive.google.com/file/d/1A6AsvfmIhjZPKqopTSdGDlpxV0NjZm0L/view?usp=drive_link</t>
  </si>
  <si>
    <t>https://www.venetianlasvegas.com/content/dam/vlvweb/casino/poker/deepstack/2026/structures/dscps_2026-structure_3.pdf</t>
  </si>
  <si>
    <t>https://www.venetianlasvegas.com/content/dam/vlvweb/casino/poker/deepstack/2026/structures/dscps_2026-structure_1.pdf</t>
  </si>
  <si>
    <t>$50 bounties</t>
  </si>
  <si>
    <t>https://www.venetianlasvegas.com/content/dam/vlvweb/casino/poker/deepstack/2026/structures/dscps_2026-structure_4.pdf</t>
  </si>
  <si>
    <t>https://www.venetianlasvegas.com/content/dam/vlvweb/casino/poker/deepstack/2026/structures/dscps_2026-structure_37.pdf</t>
  </si>
  <si>
    <t>$200 bounties</t>
  </si>
  <si>
    <t>$100 bounties</t>
  </si>
  <si>
    <t>https://www.venetianlasvegas.com/content/dam/vlvweb/casino/poker/deepstack/2026/structures/dscps_2026-structure_5.pdf</t>
  </si>
  <si>
    <t>https://www.venetianlasvegas.com/content/dam/vlvweb/casino/poker/deepstack/2026/structures/dscps_2026-structure_2.pdf</t>
  </si>
  <si>
    <t>https://www.venetianlasvegas.com/content/dam/vlvweb/casino/poker/deepstack/2026/structures/dscps_2026-structure_44.pdf</t>
  </si>
  <si>
    <t>https://www.venetianlasvegas.com/content/dam/vlvweb/casino/poker/deepstack/2026/structures/dscps_2026-structure_6.pdf</t>
  </si>
  <si>
    <t>https://www.venetianlasvegas.com/content/dam/vlvweb/casino/poker/deepstack/2026/structures/dscps_2026-structure_8.pdf</t>
  </si>
  <si>
    <t>https://www.venetianlasvegas.com/content/dam/vlvweb/casino/poker/deepstack/2026/structures/dscps_2026-structure_10.pdf</t>
  </si>
  <si>
    <t>https://www.venetianlasvegas.com/content/dam/vlvweb/casino/poker/deepstack/2026/structures/dscps_2026-structure_18.pdf</t>
  </si>
  <si>
    <t>https://www.venetianlasvegas.com/content/dam/vlvweb/casino/poker/deepstack/2026/structures/dscps_2026-structure_7.pdf</t>
  </si>
  <si>
    <t>https://www.venetianlasvegas.com/content/dam/vlvweb/casino/poker/deepstack/2026/structures/dscps_2026-structure_19.pdf</t>
  </si>
  <si>
    <t>https://www.venetianlasvegas.com/content/dam/vlvweb/casino/poker/deepstack/2026/structures/dscps_2026-structure_24.pdf</t>
  </si>
  <si>
    <t>https://www.venetianlasvegas.com/content/dam/vlvweb/casino/poker/deepstack/2026/structures/dscps_2026-structure_20.pdf</t>
  </si>
  <si>
    <t>https://www.venetianlasvegas.com/content/dam/vlvweb/casino/poker/deepstack/2026/structures/dscps_2026-structure_15.pdf</t>
  </si>
  <si>
    <t>https://www.venetianlasvegas.com/content/dam/vlvweb/casino/poker/deepstack/2026/structures/dscps_2026-structure_21.pdf</t>
  </si>
  <si>
    <t>https://www.venetianlasvegas.com/content/dam/vlvweb/casino/poker/deepstack/2026/structures/dscps_2026-structure_27.pdf</t>
  </si>
  <si>
    <t>https://www.venetianlasvegas.com/content/dam/vlvweb/casino/poker/deepstack/2026/structures/dscps_2026-structure_9.pdf</t>
  </si>
  <si>
    <t>$1,100 No Limit Hold'em 1D $1 Million GTD (2Day)</t>
  </si>
  <si>
    <t>https://www.venetianlasvegas.com/content/dam/vlvweb/casino/poker/deepstack/2026/structures/dscps_2026-structure_25.pdf</t>
  </si>
  <si>
    <t>https://www.venetianlasvegas.com/content/dam/vlvweb/casino/poker/deepstack/2026/structures/dscps_2026-structure_11.pdf</t>
  </si>
  <si>
    <t>https://www.venetianlasvegas.com/content/dam/vlvweb/casino/poker/deepstack/2026/structures/dscps_2026-structure_16.pdf</t>
  </si>
  <si>
    <t>https://www.venetianlasvegas.com/content/dam/vlvweb/casino/poker/deepstack/2026/structures/dscps_2026-structure_22.pdf</t>
  </si>
  <si>
    <t>https://www.venetianlasvegas.com/content/dam/vlvweb/casino/poker/deepstack/2026/structures/dscps_2026-structure_26.pdf</t>
  </si>
  <si>
    <t>https://www.venetianlasvegas.com/content/dam/vlvweb/casino/poker/deepstack/2026/structures/dscps_2026-structure_23.pdf</t>
  </si>
  <si>
    <t>https://www.venetianlasvegas.com/content/dam/vlvweb/casino/poker/deepstack/2026/structures/dscps_2026-structure_12.pdf</t>
  </si>
  <si>
    <t>https://www.venetianlasvegas.com/content/dam/vlvweb/casino/poker/deepstack/2026/structures/dscps_2026-structure_33.pdf</t>
  </si>
  <si>
    <t>https://www.venetianlasvegas.com/content/dam/vlvweb/casino/poker/deepstack/2026/structures/dscps_2026-structure_38.pdf</t>
  </si>
  <si>
    <t>https://www.venetianlasvegas.com/content/dam/vlvweb/casino/poker/deepstack/2026/structures/dscps_2026-structure_45.pdf</t>
  </si>
  <si>
    <t>$5 of fee goes to LIPS</t>
  </si>
  <si>
    <t>https://www.venetianlasvegas.com/content/dam/vlvweb/casino/poker/deepstack/2026/structures/dscps_2026-structure_29.pdf</t>
  </si>
  <si>
    <t>https://www.venetianlasvegas.com/content/dam/vlvweb/casino/poker/deepstack/2026/structures/dscps_2026-structure_46.pdf</t>
  </si>
  <si>
    <t>https://www.venetianlasvegas.com/content/dam/vlvweb/casino/poker/deepstack/2026/structures/dscps_2026-structure_13.pdf</t>
  </si>
  <si>
    <t>https://www.venetianlasvegas.com/content/dam/vlvweb/casino/poker/deepstack/2026/structures/dscps_2026-structure_47.pdf</t>
  </si>
  <si>
    <t>. A Player who accumulates 200,000 in tournament chips (“The Milestone”) or more
will instantly receive direct entry into the $2,500 No Limit Hold’em Ladies HR
Event #76</t>
  </si>
  <si>
    <t>https://www.venetianlasvegas.com/content/dam/vlvweb/casino/poker/deepstack/2026/structures/dscps_2026-structure_31.pdf</t>
  </si>
  <si>
    <t>$800 No Limit Hold'em 1B $500K GTD (2Day)</t>
  </si>
  <si>
    <t>$800 No Limit Hold'em 1C $500K GTD (2Day)</t>
  </si>
  <si>
    <t>$800 No Limit Hold'em 1D $500K GTD (2Day)</t>
  </si>
  <si>
    <t>$800 No Limit Hold'em 1E $500K GTD (2Day)</t>
  </si>
  <si>
    <t>$800 No Limit Hold'em 1F $500K GTD (2Day)</t>
  </si>
  <si>
    <t>https://www.venetianlasvegas.com/content/dam/vlvweb/casino/poker/deepstack/2026/structures/dscps_2026-structure_48.pdf</t>
  </si>
  <si>
    <t>https://www.venetianlasvegas.com/content/dam/vlvweb/casino/poker/deepstack/2026/structures/dscps_2026-structure_17.pdf</t>
  </si>
  <si>
    <t>https://www.venetianlasvegas.com/content/dam/vlvweb/casino/poker/deepstack/2026/structures/dscps_2026-structure_40.pdf</t>
  </si>
  <si>
    <t>https://www.venetianlasvegas.com/content/dam/vlvweb/casino/poker/deepstack/2026/structures/dscps_2026-structure_39.pdf</t>
  </si>
  <si>
    <t>https://www.venetianlasvegas.com/content/dam/vlvweb/casino/poker/deepstack/2026/structures/dscps_2026-structure_41.pdf</t>
  </si>
  <si>
    <t>https://www.venetianlasvegas.com/content/dam/vlvweb/casino/poker/deepstack/2026/structures/dscps_2026-structure_42.pdf</t>
  </si>
  <si>
    <t>$500 bounties</t>
  </si>
  <si>
    <t>https://www.venetianlasvegas.com/content/dam/vlvweb/casino/poker/deepstack/2026/structures/dscps_2026-structure_14.pdf</t>
  </si>
  <si>
    <t>https://www.venetianlasvegas.com/content/dam/vlvweb/casino/poker/deepstack/2026/structures/dscps_2026-structure_34.pdf</t>
  </si>
  <si>
    <t>https://www.venetianlasvegas.com/content/dam/vlvweb/casino/poker/deepstack/2026/structures/dscps_2026-structure_43.pdf</t>
  </si>
  <si>
    <t>A Player who accumulates 200,000 in tournament chips (“The Milestone”) or more
will instantly receive direct entry into the $1,600 No Limit Hold’em MSPT Event
#91.</t>
  </si>
  <si>
    <t>https://www.venetianlasvegas.com/content/dam/vlvweb/casino/poker/deepstack/2026/structures/dscps_2026-structure_49.pdf</t>
  </si>
  <si>
    <t>https://www.venetianlasvegas.com/content/dam/vlvweb/casino/poker/deepstack/2026/structures/dscps_2026-structure_50.pdf</t>
  </si>
  <si>
    <t>https://www.venetianlasvegas.com/content/dam/vlvweb/casino/poker/deepstack/2026/structures/dscps_2026-structure_51.pdf</t>
  </si>
  <si>
    <t>https://www.venetianlasvegas.com/content/dam/vlvweb/casino/poker/deepstack/2026/structures/dscps_2026-structure_52.pdf</t>
  </si>
  <si>
    <t>https://www.venetianlasvegas.com/content/dam/vlvweb/casino/poker/deepstack/2026/structures/dscps_2026-structure_54.pdf</t>
  </si>
  <si>
    <t>https://www.venetianlasvegas.com/content/dam/vlvweb/casino/poker/deepstack/2026/structures/dscps_2026-structure_53.pdf</t>
  </si>
  <si>
    <t xml:space="preserve"> NLH Seniors Mega Stack Championship 50+ </t>
  </si>
  <si>
    <t xml:space="preserve"> Omaha 8-or-Better</t>
  </si>
  <si>
    <t xml:space="preserve"> NLH Seniors 50+ Monster Stack</t>
  </si>
  <si>
    <t xml:space="preserve"> 2k Bankroll Builder Milestone</t>
  </si>
  <si>
    <t>If a player reaches the Milestone point, 250,000 in chips, they will automatically receive $2,000 and their stack will be taken out of play.</t>
  </si>
  <si>
    <t xml:space="preserve"> 1k Bankroll Builder Milestone</t>
  </si>
  <si>
    <t>If a player reaches the Milestone point, 200,000 in chips, they will automatically receive $1,000 and their stack will be taken out of play.</t>
  </si>
  <si>
    <t>https://mc-d7f7cc1f-1a7c-4fc5-b531-6087-cdn-endpoint.azureedge.net/-/media/project/boyd/property/lasvegas/orleans/pdf/2026_oso_flyer_and_structures.pdf?rev=8cc43a895dda4eb1b3ff77b2dcf4bddb</t>
  </si>
  <si>
    <t>Caesars Palace</t>
  </si>
  <si>
    <t>Chainsaw's Mixed Series of Poker</t>
  </si>
  <si>
    <t>Double Board Bomb Pot PLO</t>
  </si>
  <si>
    <t>Omaha 8 or Better</t>
  </si>
  <si>
    <t>OE (Omaha 8 / Stud 8)</t>
  </si>
  <si>
    <t>T.O.E.</t>
  </si>
  <si>
    <t>T.O.R.S.E.</t>
  </si>
  <si>
    <t>5 -Way Limit Triple Draw</t>
  </si>
  <si>
    <t>Chainsaw's 8-Game Mix</t>
  </si>
  <si>
    <t>H.O.R.S.E. Championship</t>
  </si>
  <si>
    <t>T.O.R.S.E. Championship</t>
  </si>
  <si>
    <t>2-7 Triple Draw</t>
  </si>
  <si>
    <t>H.O.R.S.E.</t>
  </si>
  <si>
    <t>2-7 TRIPLE DRAW</t>
  </si>
  <si>
    <t>Player of the series bonus: $10,000 prizepool split amongst top 4</t>
  </si>
  <si>
    <t>https://southpointcasino.com/casino/poker-room/summer-events-may-26-july-12</t>
  </si>
  <si>
    <t>SURVIVOR</t>
  </si>
  <si>
    <t>LEVEL 7</t>
  </si>
  <si>
    <t>https://cdn.wynnresorts.com/image/upload/v1752010416/visitwynn_pdfs_files/Poker/Wynn%20Summer%20Classic/Wynn_Summer_Classic-Structures.pdf</t>
  </si>
  <si>
    <t>5-WAY LIMIT TRIPLE DRAW</t>
  </si>
  <si>
    <t>HORSE Day 1</t>
  </si>
  <si>
    <t>https://drive.google.com/drive/folders/1_g9N8yLuc0ssRFMLAEcz_qGgk2SfHCYf</t>
  </si>
  <si>
    <t>50/60</t>
  </si>
  <si>
    <t>1 re-entry per flight</t>
  </si>
  <si>
    <t>1 seat for every 9 entries into BetMGM 1,100 NLH Mystery Bounty</t>
  </si>
  <si>
    <t>1 in 8 into $1600 NLH Event on same day</t>
  </si>
  <si>
    <t>1 entry for every 8.5 entries into the 2-day $2,200 PLO Championship on 7/5</t>
  </si>
  <si>
    <t>1 entry for every 8.5 entries into the 2-day $2,200 NLH Mystery Bounty Event on 6/18</t>
  </si>
  <si>
    <t>1 seat for every 10 entries into BetMGM $3500 Championship Event on 7/1-74</t>
  </si>
  <si>
    <t>1 seat for every 10 entries into BetMGM $3500 Championship Event on 7/1-74 on same day as satellite</t>
  </si>
  <si>
    <t>Mystery Bounties will be awarded to players for each player they eliminate once the tournament reaches posted payouts.
Bounties will range from $500 to $25,000. There will be at least ONE $25K Bounty, and at least TWO $15K Bounties. One
of the $15K Bounties will be withheld for Final Table participants.</t>
  </si>
  <si>
    <t>Mystery Bounties will be awarded to players for each player they eliminate once the tournament reaches posted payouts.
Bounties will range from $500 to $50,000. There will be at least ONE $50K Bounty, and at least TWO $25K Bounties. One
of the $25K Bounties will be withheld for Final Table participants.</t>
  </si>
  <si>
    <t>Mystery Bounties will be awarded to players for each player they eliminate once the tournament reaches posted payouts.
Bounties will range from $500 to $25,000. There will be at least ONE $25K Bounty, and at least TWO $10K Bounties. One of the $10K
Bounties will be withheld for Final Table participants.</t>
  </si>
  <si>
    <t>Mystery Bounties will be awarded to players for each player they eliminate once the tournament reaches posted payouts. Bounties will range from $500 to $25,000. There will be at least ONE $25K Bounty, and at least TWO $10K Bounties. One
of the $10K Bounties will be withheld for Final Table participants.</t>
  </si>
  <si>
    <t>1 seat for every 8 entries into the $1600 NLH Event on the same day</t>
  </si>
  <si>
    <t>LIPS Summer Festival</t>
  </si>
  <si>
    <t>LIPS National Championship - Day 1A</t>
  </si>
  <si>
    <t>LIPS National Championship - Day 1B</t>
  </si>
  <si>
    <t>Double Green Chip Bounty Survivor</t>
  </si>
  <si>
    <t>LIPS Omaha 8 Championship</t>
  </si>
  <si>
    <t>1 RE-ENTRY</t>
  </si>
  <si>
    <t>1 RE-ENTRY PER FLIGHT</t>
  </si>
  <si>
    <t>2 RE-ENTRIES</t>
  </si>
  <si>
    <t>2 RE-ENTRIES PER FLIGHT</t>
  </si>
  <si>
    <t>BUST A PLAY B</t>
  </si>
  <si>
    <t>BUST B PLAY C</t>
  </si>
  <si>
    <t>UNLIMITED RE-ENTRY</t>
  </si>
  <si>
    <t/>
  </si>
  <si>
    <t>09:15</t>
  </si>
  <si>
    <t>12:10</t>
  </si>
  <si>
    <t>12:15</t>
  </si>
  <si>
    <t>13:15</t>
  </si>
  <si>
    <t>13:35</t>
  </si>
  <si>
    <t>13:45</t>
  </si>
  <si>
    <t>14:30</t>
  </si>
  <si>
    <t>14:45</t>
  </si>
  <si>
    <t>15:15</t>
  </si>
  <si>
    <t>15:30</t>
  </si>
  <si>
    <t>15:40</t>
  </si>
  <si>
    <t>16:15</t>
  </si>
  <si>
    <t>16:30</t>
  </si>
  <si>
    <t>16:40</t>
  </si>
  <si>
    <t>16:45</t>
  </si>
  <si>
    <t>17:00</t>
  </si>
  <si>
    <t>17:15</t>
  </si>
  <si>
    <t>17:20</t>
  </si>
  <si>
    <t>17:30</t>
  </si>
  <si>
    <t>17:35</t>
  </si>
  <si>
    <t>17:45</t>
  </si>
  <si>
    <t>18:05</t>
  </si>
  <si>
    <t>18:15</t>
  </si>
  <si>
    <t>18:30</t>
  </si>
  <si>
    <t>19:00</t>
  </si>
  <si>
    <t>19:30</t>
  </si>
  <si>
    <t>19:35</t>
  </si>
  <si>
    <t>19:50</t>
  </si>
  <si>
    <t>20:15</t>
  </si>
  <si>
    <t>20:20</t>
  </si>
  <si>
    <t>20:30</t>
  </si>
  <si>
    <t>21:00</t>
  </si>
  <si>
    <t>21:15</t>
  </si>
  <si>
    <t>21:30</t>
  </si>
  <si>
    <t>21:40</t>
  </si>
  <si>
    <t>21:45</t>
  </si>
  <si>
    <t>21:50</t>
  </si>
  <si>
    <t>22:00</t>
  </si>
  <si>
    <t>22:10</t>
  </si>
  <si>
    <t>22:15</t>
  </si>
  <si>
    <t>22:25</t>
  </si>
  <si>
    <t>22:30</t>
  </si>
  <si>
    <t>22:35</t>
  </si>
  <si>
    <t>22:50</t>
  </si>
  <si>
    <t>23:15</t>
  </si>
  <si>
    <t>23:45</t>
  </si>
  <si>
    <t>FIRST DRAW</t>
  </si>
  <si>
    <t>LEVEL 10</t>
  </si>
  <si>
    <t>LEVEL 11</t>
  </si>
  <si>
    <t>DAILY DEEPSTACK</t>
  </si>
  <si>
    <t>HORSE DEEPSTACK</t>
  </si>
  <si>
    <t>INVITATIONAL</t>
  </si>
  <si>
    <t>LADIES WARM-UP</t>
  </si>
  <si>
    <t>MILESTONE SATELLITE</t>
  </si>
  <si>
    <t>PLO DEEPSTACK</t>
  </si>
  <si>
    <t>SENIORS DEEPSTACK</t>
  </si>
  <si>
    <t>3 SEATS</t>
  </si>
  <si>
    <t>2 SEATS</t>
  </si>
  <si>
    <t>$3,000</t>
  </si>
  <si>
    <t>$4,000</t>
  </si>
  <si>
    <t>$5,000</t>
  </si>
  <si>
    <t>$6,000</t>
  </si>
  <si>
    <t>$7,500</t>
  </si>
  <si>
    <t>$10,000</t>
  </si>
  <si>
    <t>$15,000</t>
  </si>
  <si>
    <t>$20,000</t>
  </si>
  <si>
    <t>$25,000</t>
  </si>
  <si>
    <t>$30,000</t>
  </si>
  <si>
    <t>$40,000</t>
  </si>
  <si>
    <t>$50,000</t>
  </si>
  <si>
    <t>$100,000</t>
  </si>
  <si>
    <t>$150,000</t>
  </si>
  <si>
    <t>$200,000</t>
  </si>
  <si>
    <t>$250,000</t>
  </si>
  <si>
    <t>$300,000</t>
  </si>
  <si>
    <t>$500,000</t>
  </si>
  <si>
    <t>$4,000,000</t>
  </si>
  <si>
    <t>$3,000,000</t>
  </si>
  <si>
    <t>$2,000,000</t>
  </si>
  <si>
    <t>$1,500,000</t>
  </si>
  <si>
    <t>$1,000,000</t>
  </si>
  <si>
    <t>$5,000,000</t>
  </si>
  <si>
    <t>$10,000,000</t>
  </si>
  <si>
    <t>CASINO EMPLOYEE</t>
  </si>
  <si>
    <t>DOUBLE BOARD BOMB POT</t>
  </si>
  <si>
    <t>FREEZEOUT</t>
  </si>
  <si>
    <t>INVITE ONLY</t>
  </si>
  <si>
    <t>MYSTERY  FLIP TICKETS</t>
  </si>
  <si>
    <t>OMAHA 8</t>
  </si>
  <si>
    <t>11-GAME MIX</t>
  </si>
  <si>
    <t>5 CARD PLO / BIG-O</t>
  </si>
  <si>
    <t>LIMIT O-8</t>
  </si>
  <si>
    <t>MIXED TRIPLE DRAW LOWBALL</t>
  </si>
  <si>
    <t>STUD 8 / OMAHA 8</t>
  </si>
  <si>
    <t>TRIPLE STUD</t>
  </si>
  <si>
    <t>9-GAME MIX</t>
  </si>
  <si>
    <t>7-GAME DRAW MIX</t>
  </si>
  <si>
    <t>A-5, 2-7, BADUGI</t>
  </si>
  <si>
    <t>MIXED 2-7</t>
  </si>
  <si>
    <t>MIXED O-8</t>
  </si>
  <si>
    <t>STUD</t>
  </si>
  <si>
    <t>DRAMAHA</t>
  </si>
  <si>
    <t>TRIPLE TRIPLE DRAW</t>
  </si>
  <si>
    <t>2-7 TRIPLE DRAW LOWBALL</t>
  </si>
  <si>
    <t>NL 2-7 LOWBALL DRAW</t>
  </si>
  <si>
    <t>MIXED BIG BET</t>
  </si>
  <si>
    <t>MIXED OMAHA 8, 7 CARD 8</t>
  </si>
  <si>
    <t>MIXED PLO8, O8, BIG O</t>
  </si>
  <si>
    <t>TBD</t>
  </si>
  <si>
    <t>https://assets.wsopcdn.com/wsop/ec05df87-8286-4af8-a3e6-77dd23bfad4c.pdf</t>
  </si>
  <si>
    <t>START OF DRAW</t>
  </si>
  <si>
    <t>2-7 Mixed Limits (Nl Single Draw, Pl Double Draw, Limit Triple Draw)</t>
  </si>
  <si>
    <t>Mixed Triple Draw (2-7, A-5, Badugi)</t>
  </si>
  <si>
    <t>$ 250 No Limit Hold'Em</t>
  </si>
  <si>
    <t>$ 1,500 No Limit Hold'Em - Ladies Warm Up (Ladies Pay $150)</t>
  </si>
  <si>
    <t xml:space="preserve"> $2,800 High Roller No-Limit Hold’Em Landmark Satellite (10X)</t>
  </si>
  <si>
    <t>$ 2,750 High Roller Horse Landmark Satellite</t>
  </si>
  <si>
    <t>$1,100 8-Game Mixed Landmark Satellite (10X) - $10,000 Casino Chips</t>
  </si>
  <si>
    <t>$1,100 Big O - 5-Card Pot-Limit Omaha Hi-Lo Split (8 Or Better) 
Landmark Satellite (10X) - $10,000 Casino Chips</t>
  </si>
  <si>
    <t>$1,100 Buy-In Deuce To Seven No-Limit Draw Lowball Landmark Satellite (10X) - $10,000 Casino Chips</t>
  </si>
  <si>
    <t>$1,100 Buy-In Seven Card Stud Hi-Lo Split (8 Or Better)  Landmark Satellite (10X) - $10,000 Casino Chips</t>
  </si>
  <si>
    <t>$1,100 Dealers Choice Landmark Satellite  (10X) - $10,000 Casino Chips</t>
  </si>
  <si>
    <t>$1,100 Horse Landmark Satellite (10X) - $10,000 Casino Chips</t>
  </si>
  <si>
    <t>$1,100 Omaha Hi-Lo Split 8 Or Better (Limit) Landmark Satellite (10X) - $10,000 Casino Chips</t>
  </si>
  <si>
    <t>$1,100 Pot-Limit Omaha Hi-Lo Split (8 Or Better)  Landmark Satellite  (10X) - $10,000 Casino Chips</t>
  </si>
  <si>
    <t>$1,100 Pot-Limit Omaha Landmark Satellite (10X) - $10,000 Casino Chips</t>
  </si>
  <si>
    <t>$1,100 Seven Card Razz Landmark Satellite (10X) - $10,000 Casino Chips</t>
  </si>
  <si>
    <t>$1,100 Seven Card Stud Landmark Satellite  (10X) - $10,000 Casino Chips</t>
  </si>
  <si>
    <t>$1,100 Triple Draw Lowball (2-7) (Limit) Landmark Satellite (10X) - $10,000 Casino Chips</t>
  </si>
  <si>
    <t>$2,750 High Roller Pot-Limit Omaha Landmark Satellite (10X)</t>
  </si>
  <si>
    <t>$25,400 High Roller No-Limit Hold’Em Landmark Satellite  (10X)</t>
  </si>
  <si>
    <t>$5,300 High Roller Pot-Limit Omaha Landmark Satellite (10X)</t>
  </si>
  <si>
    <t>$7,500 High Roller No-Limit Hold’Em Landmark Satellite (15X)</t>
  </si>
  <si>
    <t>$ 50 Gladiators Of Poker Landmark Satellite (10X)</t>
  </si>
  <si>
    <t>$1,100 6-Handed No-Limit Hold’Em Landmark Satellite  (10X) - $10,000 Casino Chips</t>
  </si>
  <si>
    <t>$1,100 Limit Hold’Em Landmark Satellite Landmark Satellite  (10X) - $10,000 Casino Chips</t>
  </si>
  <si>
    <t>$1,100 No-Limit Hold’Em Into Gg Million$ Landmark Satellite (10X) - $10,000 Casino Chips</t>
  </si>
  <si>
    <t>$1,100 No-Limit Hold’Em Into Mystery Bounty Landmark Satellite (10X) - $10,000 Casino Chips</t>
  </si>
  <si>
    <t>$1,100 No-Limit Hold’Em Landmark Satellite (10X) - $10,000 Casino Chips</t>
  </si>
  <si>
    <t>$1,100 Turbo No-Limit Hold’Em Landmark Satellite (10X) - $10,000 Casino Chips</t>
  </si>
  <si>
    <t>$120 Turbo Landmark Satellite To $850 Landmark Satellite (10X)</t>
  </si>
  <si>
    <t>$135 No-Limit Hold’Em Landmark Satellite (10X) - $1,000 Casino Chips</t>
  </si>
  <si>
    <t>$150 Turbo No-Limit Hold’Em Landmark Satellite (10X)</t>
  </si>
  <si>
    <t>$2,200 No-Limit Hold’Em Landmark Satellite (50X) - $10K Casino Chips</t>
  </si>
  <si>
    <t>$240 No-Limit Hold’Em Landmark Satellite (10X) - $2,000 Casino Chips</t>
  </si>
  <si>
    <t>$260 Turbo No-Limit Hold’Em Landmark Satellite (10X) - $2,200 Casino Chips</t>
  </si>
  <si>
    <t>$5,300 Landmark Satellite To  
$50K Poker Players Championship (10X)</t>
  </si>
  <si>
    <t>$585 6-Handed No-Limit Hold’Em Landmark Satellite (10X) - $5,000 Casino Chips</t>
  </si>
  <si>
    <t>$585 8-Handed No-Limit Hold’Em Landmark Satellite (10X) - $5,000 Casino Chips</t>
  </si>
  <si>
    <t>$585 No-Limit Hold’Em Landmark Satellite (10X) - $5,000 Casino Chips</t>
  </si>
  <si>
    <t>$585 No-Limit Hold’Em Landmark Satellite (20X) - $10K Casino Chips</t>
  </si>
  <si>
    <t>$585 Seniors High Roller  
No-Limit Hold’Em Landmark Satellite (10X) - $5,000 Casino Chips</t>
  </si>
  <si>
    <t>$585 Super Turbo No-Limit Hold’Em Landmark Satellite (10X) - $5,000 Casino Chips</t>
  </si>
  <si>
    <t xml:space="preserve">$625 Landmark Satellite To $5,300 Landmark Satellite </t>
  </si>
  <si>
    <t>$625 Landmark Satellite To $5,300 Landmark Satellite 
 $50K Poker Players Championship  (10X)</t>
  </si>
  <si>
    <t>$70 Warmup To Colossus No-Limit Hold’Em</t>
  </si>
  <si>
    <t>$850 Landmark Satellite To $7,500 Landmark High Roller Satellite  Nlhe (10X)</t>
  </si>
  <si>
    <t>$ 250 No Limit Hold'Em - Seniors (50+)</t>
  </si>
  <si>
    <t>$550 No-Limit Hold'Em Mini Mystery Millions - Day 1F</t>
  </si>
  <si>
    <t>$550 No-Limit Hold'Em Mini Mystery Millions - Day 1B</t>
  </si>
  <si>
    <t>$550 No-Limit Hold'Em Mini Mystery Millions - Day 1C</t>
  </si>
  <si>
    <t>$550 No-Limit Hold'Em Mini Mystery Millions - Day 1D</t>
  </si>
  <si>
    <t>$550 No-Limit Hold'Em Mini Mystery Millions - Day 1E</t>
  </si>
  <si>
    <t>$550 No-Limit Hold'Em Mini Mystery Millions - Day 1A</t>
  </si>
  <si>
    <t>$5,000 No-Limit Hold'Em 8-Handed - Day 1</t>
  </si>
  <si>
    <t xml:space="preserve"> $1,500 Omaha Hi-Lo 8 Or Better (7-Handed) - Day 1</t>
  </si>
  <si>
    <t>$25,000 No-Limit Hold'Em Heads Up Championship - Day 1A (64 Player Max Per Flight)</t>
  </si>
  <si>
    <t xml:space="preserve"> $25,000 No-Limit Hold'Em Heads Up Championship - Day 1B (64 Player Max Per Flight)</t>
  </si>
  <si>
    <t>$10,000 Omaha Hi-Lo 8 Or Better Championship - Day 1</t>
  </si>
  <si>
    <t>$600 No-Limit Hold'Em Deepstack - Day 1</t>
  </si>
  <si>
    <t>$10,000 Ggmillion$ No-Limit Hold'Em High Roller - Day1A</t>
  </si>
  <si>
    <t>$10,000 Ggmillion$ No-Limit Hold'Em High Roller - Day1B</t>
  </si>
  <si>
    <t>$1,500 No-Limit Hold'Em 6-Handed - Day 1</t>
  </si>
  <si>
    <t>$1,500 No-Limit Hold'Em Monster Stack - Day 1A</t>
  </si>
  <si>
    <t>$1,500 No-Limit Hold'Em Monster Stack -  Day 1B</t>
  </si>
  <si>
    <t>$1,500 No-Limit Hold'Em Monster Stack -  Day 1C</t>
  </si>
  <si>
    <t>$1,500 No-Limit Hold'Em Monster Stack -  Day 1D</t>
  </si>
  <si>
    <t>$25,000 No-Limit Hold'Em High Roller -  Day 1A (8-Handed)</t>
  </si>
  <si>
    <t>$25,000 No-Limit Hold'Em High Roller -  Day 1B (8-Handed)</t>
  </si>
  <si>
    <t>$1,500 Pot-Limit Omaha Hi-Lo 8 Or Better (8-Handed) - Day 1</t>
  </si>
  <si>
    <t>$25,000 No-Limit Hold'Em High Roller 6-Handed - Day 1</t>
  </si>
  <si>
    <t xml:space="preserve"> $500 No-Limit Hold'Em Freezeout - Day 1</t>
  </si>
  <si>
    <t xml:space="preserve"> $2,000 No-Limit Hold'Em - Day 1</t>
  </si>
  <si>
    <t xml:space="preserve"> $600 No-Limit Hold'Em/Pot-Limit Omaha Mixed Deepstack (8-Handed) - Day 1</t>
  </si>
  <si>
    <t xml:space="preserve"> $50,000 No-Limit Hold'Em High Roller (8-Handed) - Day 1</t>
  </si>
  <si>
    <t xml:space="preserve"> $1,500 Limit Hold'Em (7-Handed) - Day 1</t>
  </si>
  <si>
    <t xml:space="preserve"> $1,500 No-Limit Hold'Em Super Turbo Bounty (1 Day Event)</t>
  </si>
  <si>
    <t xml:space="preserve"> $3,000 No-Limit Hold'Em - Day 1</t>
  </si>
  <si>
    <t xml:space="preserve"> $10,000 Pot-Limit Omaha Hi-Lo 8 Or Better Championship - Day 1</t>
  </si>
  <si>
    <t xml:space="preserve"> $500 No-Limit Hold'Em Colossus - Day 1A</t>
  </si>
  <si>
    <t xml:space="preserve"> $500 No-Limit Hold'Em Colossus - Day 1B</t>
  </si>
  <si>
    <t xml:space="preserve"> $500 No-Limit Hold'Em Colossus - Day 1C</t>
  </si>
  <si>
    <t xml:space="preserve"> $500 No-Limit Hold'Em Colossus - Day 1D</t>
  </si>
  <si>
    <t xml:space="preserve"> $100,000 No-Limit Hold'Em High Roller (8-Handed) - Day 1</t>
  </si>
  <si>
    <t xml:space="preserve"> $1,500 Horse - Day 1</t>
  </si>
  <si>
    <t xml:space="preserve"> $10,000 Limit Hold'Em Championship (7-Handed) - Day 1</t>
  </si>
  <si>
    <t xml:space="preserve"> $5,000 No-Limit Hold'Em Seniors High Roller (8-Handed) - Day 1</t>
  </si>
  <si>
    <t xml:space="preserve"> $250,000 No-Limit Hold'Em Super High Roller (8-Handed) - Day 1</t>
  </si>
  <si>
    <t xml:space="preserve"> $800 No-Limit Hold'Em Deepstack 8-Handed - Day 1</t>
  </si>
  <si>
    <t xml:space="preserve"> $10,000 No-Limit Hold'Em Super Turbo Bounty (8-Handed) - 1 Day Event</t>
  </si>
  <si>
    <t xml:space="preserve"> $2,500 Mixed Omaha Hi-Lo 8 Or Better, Seven Card Stud Hi-Lo 8 Or Better - Day 1</t>
  </si>
  <si>
    <t xml:space="preserve"> $1,000 No-Limit Hold'Em Seniors Championship - Day 1A</t>
  </si>
  <si>
    <t xml:space="preserve"> $1,000 No-Limit Hold'Em Seniors Championship - Day 1B</t>
  </si>
  <si>
    <t xml:space="preserve"> $2,500 No-Limit Hold'Em Freezeout - Day 1</t>
  </si>
  <si>
    <t xml:space="preserve"> $1,500 No-Limit Hold'Em Millionaire Maker - Day 1A</t>
  </si>
  <si>
    <t xml:space="preserve"> $1,500 No-Limit Hold'Em Millionaire Maker - Day 1B</t>
  </si>
  <si>
    <t xml:space="preserve"> $1,500 No-Limit Hold'Em Millionaire Maker - Day 1C</t>
  </si>
  <si>
    <t xml:space="preserve"> $1,500 No-Limit Hold'Em Millionaire Maker - Day 1D</t>
  </si>
  <si>
    <t xml:space="preserve"> $10,000 No-Limit Hold'Em Mystery Bounty (8-Handed) - Day 1</t>
  </si>
  <si>
    <t xml:space="preserve"> $10,000 Horse Championship - Day 1</t>
  </si>
  <si>
    <t xml:space="preserve"> $3,000 No-Limit Hold'Em 6-Handed - Day 1</t>
  </si>
  <si>
    <t xml:space="preserve"> $500 No-Limit Hold'Em Salute To Warriors - Day 1</t>
  </si>
  <si>
    <t xml:space="preserve"> $1,000 No-Limit Hold'Em Super Seniors - Day 1</t>
  </si>
  <si>
    <t xml:space="preserve"> $2,500 No-Limit Hold'Em - Day 1</t>
  </si>
  <si>
    <t xml:space="preserve"> $1,000 No-Limit Hold'Em Mystery Millions - Day 1F</t>
  </si>
  <si>
    <t xml:space="preserve"> $1,000 No-Limit Hold'Em Mystery Millions - Day 1A</t>
  </si>
  <si>
    <t xml:space="preserve"> $1,000 No-Limit Hold'Em Mystery Millions - Day 1B</t>
  </si>
  <si>
    <t xml:space="preserve"> $1,000 No-Limit Hold'Em Mystery Millions - Day 1C</t>
  </si>
  <si>
    <t xml:space="preserve"> $1,000 No-Limit Hold'Em Mystery Millions - Day 1D</t>
  </si>
  <si>
    <t xml:space="preserve"> $1,000 No-Limit Hold'Em Mystery Millions - Day 1E</t>
  </si>
  <si>
    <t xml:space="preserve"> $1,500 No-Limit Hold'Em Freezeout - Day 1</t>
  </si>
  <si>
    <t xml:space="preserve"> $1,000 No-Limit Hold'Em Tag Team - Day 1</t>
  </si>
  <si>
    <t xml:space="preserve"> $1,000 No-Limit Hold'Em Ladies Championship - Day 1</t>
  </si>
  <si>
    <t xml:space="preserve"> $1,500 Seven Card Stud Hi-Lo 8 Or Better - Day 1</t>
  </si>
  <si>
    <t xml:space="preserve"> $1,000 No-Limit Hold'Em Mini Main Event - Day 1B</t>
  </si>
  <si>
    <t xml:space="preserve"> $1,000 No-Limit Hold'Em Mini Main Event - Day 1C</t>
  </si>
  <si>
    <t xml:space="preserve"> $1,000 No-Limit Hold'Em Mini Main Event - Day 1A</t>
  </si>
  <si>
    <t xml:space="preserve"> $5,000 No-Limit Hold'Em 6-Handed - Day 1</t>
  </si>
  <si>
    <t xml:space="preserve"> $10,000 Seven Card Stud Hi-Lo 8 Or Better Championship - Day 1</t>
  </si>
  <si>
    <t xml:space="preserve"> $600 No-Limit Hold'Em Deepstack Championship - Day 1</t>
  </si>
  <si>
    <t xml:space="preserve"> $3,000 No-Limit Hold'Em Freezeout - Day 1</t>
  </si>
  <si>
    <t xml:space="preserve"> $800 No-Limit Hold'Em Summer Celebration - Day 1A</t>
  </si>
  <si>
    <t xml:space="preserve"> $800 No-Limit Hold'Em Summer Celebration - Day 1B</t>
  </si>
  <si>
    <t xml:space="preserve"> $5,000 No-Limit Hold'Em Super Turbo Bounty (8-Handed) 1 Day Event</t>
  </si>
  <si>
    <t xml:space="preserve"> $1,000 No-Limit Hold'Em - Day 1</t>
  </si>
  <si>
    <t xml:space="preserve"> $600 No-Limit Hold'Em Ultra Stack - Day 1A</t>
  </si>
  <si>
    <t xml:space="preserve"> $600 No-Limit Hold'Em Ultra Stack - Day 1B</t>
  </si>
  <si>
    <t xml:space="preserve"> $600 No-Limit Hold'Em Ultra Stack - Day 1C</t>
  </si>
  <si>
    <t xml:space="preserve"> $300 No-Limit Hold'Em Gladiators Of Poker - Day 1A</t>
  </si>
  <si>
    <t xml:space="preserve"> $300 No-Limit Hold'Em Gladiators Of Poker - Day 1B</t>
  </si>
  <si>
    <t xml:space="preserve"> $300 No-Limit Hold'Em Gladiators Of Poker - Day 1C</t>
  </si>
  <si>
    <t xml:space="preserve"> $300 No-Limit Hold'Em Gladiators Of Poker - Day 1D</t>
  </si>
  <si>
    <t xml:space="preserve"> $3,000 No-Limit Hold'Em Mid-Stakes Championship - Day 1A</t>
  </si>
  <si>
    <t xml:space="preserve"> $3,000 No-Limit Hold'Em Mid-Stakes Championship - Day 1B</t>
  </si>
  <si>
    <t xml:space="preserve"> $3,000 No-Limit Hold'Em Mid-Stakes Championship - Day 1C</t>
  </si>
  <si>
    <t xml:space="preserve"> $3,000 Torse - Day 1</t>
  </si>
  <si>
    <t xml:space="preserve"> $1,500 No-Limit Hold'Em The Closer - Day 1A</t>
  </si>
  <si>
    <t xml:space="preserve"> $1,500 No-Limit Hold'Em The Closer - Day 1B</t>
  </si>
  <si>
    <t xml:space="preserve"> $10,000 No-Limit Hold'Em 6-Handed Championship - Day 1</t>
  </si>
  <si>
    <t xml:space="preserve"> $500 No-Limit Hold'Em Summer Saver - Day 1A</t>
  </si>
  <si>
    <t xml:space="preserve"> $500 No-Limit Hold'Em Summer Saver - Day 1B</t>
  </si>
  <si>
    <t xml:space="preserve"> $25,000 Horse High Roller - Day 1</t>
  </si>
  <si>
    <t xml:space="preserve"> $800 No-Limit Hold'Em Deepstack - Day 1</t>
  </si>
  <si>
    <t xml:space="preserve"> $5,000 No-Limit Hold'Em 8-Handed - Day 1</t>
  </si>
  <si>
    <t xml:space="preserve"> $1,000 No-Limit Hold'Em Super Turbo - 1 Day Event</t>
  </si>
  <si>
    <t>$ 200 No Limit Hold'Em - 8PM Accelerated Format</t>
  </si>
  <si>
    <t>$ 400 No Limit Hold'Em - 4PM Accelerated Format</t>
  </si>
  <si>
    <t>$325 Turbo PLO Landmark Satellite To $2,700 PLO Landmark Satellite (10X)</t>
  </si>
  <si>
    <t>$625 PLO Landmark Satellite To $5,300 PLO Landmark Satellite (10X)</t>
  </si>
  <si>
    <t>$585  PLO Landmark Satellite (10X) - $5,000 Casino Chips</t>
  </si>
  <si>
    <t>$500 No-Limit Hold'Em EmPLOyees Event - Day 1</t>
  </si>
  <si>
    <t>$1,500 Mixed: PLO Hi-Lo 8 Or Better, Omaha Hi-Lo 8 Or Better, Big O (8-Handed) - Day 1</t>
  </si>
  <si>
    <t xml:space="preserve"> $25,000 PLO/Nlh Mixed High Roller (8-Handed) - Day 1</t>
  </si>
  <si>
    <t>$1,700 No-Limit Hold'Em U.S. WSOP Circuit Championship - Day 1</t>
  </si>
  <si>
    <t xml:space="preserve"> $10,000 WSOP No-Limit Hold'Em Main Event - Day 1A</t>
  </si>
  <si>
    <t xml:space="preserve"> $10,000 WSOP No-Limit Hold'Em Main Event - Day 1B</t>
  </si>
  <si>
    <t xml:space="preserve"> $10,000 WSOP No-Limit Hold'Em Main Event - Day 1C</t>
  </si>
  <si>
    <t xml:space="preserve"> $10,000 WSOP No-Limit Hold'Em Main Event - Day 1D</t>
  </si>
  <si>
    <t>Limit Omaha 8 Day 1</t>
  </si>
  <si>
    <t>Mixed Triple Draw (2-7, A-5, Badugi) Day 1</t>
  </si>
  <si>
    <t>Toe</t>
  </si>
  <si>
    <t>Torse Day 1</t>
  </si>
  <si>
    <t>Wynn Mix Championship Day 1</t>
  </si>
  <si>
    <t>No Limit Hold'Em Day 1B Turbo</t>
  </si>
  <si>
    <t>No Limit Hold'Em Day 1D Turbo</t>
  </si>
  <si>
    <t>No Limit Hold'Em Day 1F Turbo</t>
  </si>
  <si>
    <t>No Limit Hold'Em Day 1A</t>
  </si>
  <si>
    <t>No Limit Hold'Em Day 1C</t>
  </si>
  <si>
    <t>No Limit Hold'Em Day 1E</t>
  </si>
  <si>
    <t>No Limit Hold'Em Day 1B</t>
  </si>
  <si>
    <t>Wynn Summer Championship Day 1A</t>
  </si>
  <si>
    <t>Wynn Summer Championship Day 1B</t>
  </si>
  <si>
    <t>Wynn Summer Championship Day 1C</t>
  </si>
  <si>
    <t>Wynn Summer Championship Day 1D</t>
  </si>
  <si>
    <t>No Limit Hold'Em Day 1D</t>
  </si>
  <si>
    <t>No Limit Hold'Em</t>
  </si>
  <si>
    <t>Milestone To $10,400 Wynn Summer Championship 1C</t>
  </si>
  <si>
    <t>Milestone To $10,400 Wynn Summer Championship 1D</t>
  </si>
  <si>
    <t>Milestone To $10,400 Wynn Summer Championship 1B</t>
  </si>
  <si>
    <t>Milestone To $10,400 Wynn Summer Championship 1A/B</t>
  </si>
  <si>
    <t>Milestone To $10,400 Wynn Summer Championship 1B/C</t>
  </si>
  <si>
    <t>Milestone To $10,400 Wynn Summer Championship 1C/D</t>
  </si>
  <si>
    <t>Milestone To $10,400 Wynn Summer Championship 1D Turbo</t>
  </si>
  <si>
    <t>5-Card PLO</t>
  </si>
  <si>
    <t>6-Card PLO 6-Max</t>
  </si>
  <si>
    <t>PLO Turbo</t>
  </si>
  <si>
    <t>PLO $500 Bounty</t>
  </si>
  <si>
    <t>5-Card PLO $1,000 Bounty</t>
  </si>
  <si>
    <t>PLO Day 1A</t>
  </si>
  <si>
    <t>PLO Day 1B</t>
  </si>
  <si>
    <t>PLO Day 1C</t>
  </si>
  <si>
    <t>PLO Mystery Bounty Day 1A</t>
  </si>
  <si>
    <t>PLO Mystery Bounty Day 1B</t>
  </si>
  <si>
    <t>PLO Mystery Bounty Day 1C</t>
  </si>
  <si>
    <t>Milestone Satellite To $3,000 PLO Mystery Bounty</t>
  </si>
  <si>
    <t>NLH Turbo</t>
  </si>
  <si>
    <t>NLH Mystery Bounty Day 1D Turbo</t>
  </si>
  <si>
    <t>NLH Mystery Bounty Day 1A</t>
  </si>
  <si>
    <t>NLH Mystery Bounty Day 1B</t>
  </si>
  <si>
    <t>NLH Mystery Bounty Day 1C</t>
  </si>
  <si>
    <t>Seniors NLH 50+</t>
  </si>
  <si>
    <t>NLH 8-Max</t>
  </si>
  <si>
    <t>Seniors NLH High Roller 50+ Day 1</t>
  </si>
  <si>
    <t>Ladies NLH</t>
  </si>
  <si>
    <t>Seniors NLH 50+ Day 1A</t>
  </si>
  <si>
    <t>Seniors NLH 50+ Day 1B</t>
  </si>
  <si>
    <t>Milestone Satellite To $2,200 NLH Mystery Bounty Turbo</t>
  </si>
  <si>
    <t>Milestone Satellite To $2,200 NLH Mystery Bounty</t>
  </si>
  <si>
    <t>Milestone Satellite To $2,200 NLH</t>
  </si>
  <si>
    <t>Milestone Satellite To $3,500 NLH</t>
  </si>
  <si>
    <t>Milestone Satellite To $2,200 NLH Turbo</t>
  </si>
  <si>
    <t>Milestone Satellite To $2,500 Ladies NLH High Roller</t>
  </si>
  <si>
    <t>Milestone Satellite To $5,000 Seniors NLH</t>
  </si>
  <si>
    <t>Ladies NLH High Roller Day 1</t>
  </si>
  <si>
    <t>NLH High Roller Day 1</t>
  </si>
  <si>
    <t>SENIORS MILESTONE SATELLITE</t>
  </si>
  <si>
    <t xml:space="preserve">   --Restart--    Seniors NLH High Roller 50+ Day 3</t>
  </si>
  <si>
    <t xml:space="preserve">   --Restart--    $1,100 No Limit Hold'em Seniors Day 2 $1 Million GTD (2Day)</t>
  </si>
  <si>
    <t xml:space="preserve">   --Restart--    $2,500 No Limit Hold'em LIPS Ladies High Roller $150K GTD (3Day)</t>
  </si>
  <si>
    <t xml:space="preserve">   --Restart--    $800 No Limit Hold'em Day 2 $500K GTD (2Day)</t>
  </si>
  <si>
    <t xml:space="preserve">   --Restart--    $1,100 No Limit Hold'em Seniors 1D $1 Million GTD (2Day)</t>
  </si>
  <si>
    <t xml:space="preserve">   --Restart--   $600 No Limit Hold'em Day 2 $150K GTD (2Day)</t>
  </si>
  <si>
    <t xml:space="preserve">   --Restart--   Torse Day 2</t>
  </si>
  <si>
    <t xml:space="preserve">   --Restart--   $10,000 Dealers Choice Championship (7-Handed) - Day 3</t>
  </si>
  <si>
    <t xml:space="preserve">   --Restart--   $10,000 Ggmillion$ No-Limit Hold'Em High Roller - Day 4</t>
  </si>
  <si>
    <t xml:space="preserve">   --Restart--   $2,000 No-Limit Hold'Em - Day 3</t>
  </si>
  <si>
    <t xml:space="preserve">   --Restart--   $1,500 No-Limit Hold'Em Monster Stack - Day 4</t>
  </si>
  <si>
    <t xml:space="preserve">   --Restart--   $1,500 No-Limit Hold'Em Monster Stack - Day 5</t>
  </si>
  <si>
    <t xml:space="preserve">   --Restart--   $1,500 Pot-Limit Omaha Hi-Lo 8 Or Better (8-Handed) - Day 3</t>
  </si>
  <si>
    <t xml:space="preserve">   --Restart--   $10,000 Seven Card Stud Championship - Day 3</t>
  </si>
  <si>
    <t xml:space="preserve">   --Restart--   $25,000 No-Limit Hold'Em High Roller - (8-Handed) - Day 4</t>
  </si>
  <si>
    <t xml:space="preserve">   --Restart--   $25,000 No-Limit Hold'Em High Roller 6-Handed - Day 3</t>
  </si>
  <si>
    <t xml:space="preserve">   --Restart--   $1,000 No-Limit Hold'Em - Day 2</t>
  </si>
  <si>
    <t xml:space="preserve">   --Restart--   $1,000 No-Limit Hold'Em Ladies Championship - Day 2</t>
  </si>
  <si>
    <t xml:space="preserve">   --Restart--   $1,000 No-Limit Hold'Em Ladies Championship - Day 4</t>
  </si>
  <si>
    <t xml:space="preserve">   --Restart--   $1,000 No-Limit Hold'Em Mini Main Event - Day 2</t>
  </si>
  <si>
    <t xml:space="preserve">   --Restart--   $1,000 No-Limit Hold'Em Mystery Millions - Day 2</t>
  </si>
  <si>
    <t xml:space="preserve">   --Restart--   $1,000 No-Limit Hold'Em Tag Team - Day 2</t>
  </si>
  <si>
    <t xml:space="preserve">   --Restart--   $1,000 Pot-Limit Omaha - (8-Handed) - Day 2</t>
  </si>
  <si>
    <t xml:space="preserve">   --Restart--   $1,000 Pot-Limit Omaha Mystery Bounty - Day 2</t>
  </si>
  <si>
    <t xml:space="preserve">   --Restart--   $1,500 8-Game Mixed (6-Handed) - Day 2</t>
  </si>
  <si>
    <t xml:space="preserve">   --Restart--   $1,500 Big O - (8-Handed) - Day 2</t>
  </si>
  <si>
    <t xml:space="preserve">   --Restart--   $1,500 Dealers Choice (7-Handed) - Day 2</t>
  </si>
  <si>
    <t xml:space="preserve">   --Restart--   $1,500 Five Card Pot-Limit Omaha (8-Handed) - Day 2</t>
  </si>
  <si>
    <t xml:space="preserve">   --Restart--   $1,500 Horse - Day 2</t>
  </si>
  <si>
    <t xml:space="preserve">   --Restart--   $1,500 Limit 2-7 Lowball Triple Draw - Day 2</t>
  </si>
  <si>
    <t xml:space="preserve">   --Restart--   $1,500 Limit Hold'Em (7-Handed) - Day 2</t>
  </si>
  <si>
    <t xml:space="preserve">   --Restart--   $1,500 No-Limit Hold'Em Freezeout - Day 2</t>
  </si>
  <si>
    <t xml:space="preserve">   --Restart--   $1,500 No-Limit Hold'Em Millionaire Maker - Day 2A</t>
  </si>
  <si>
    <t xml:space="preserve">   --Restart--   $1,500 No-Limit Hold'Em Millionaire Maker - Day 2B</t>
  </si>
  <si>
    <t xml:space="preserve">   --Restart--   $1,500 No-Limit Hold'Em Millionaire Maker - Day 2C</t>
  </si>
  <si>
    <t xml:space="preserve">   --Restart--   $1,500 No-Limit Hold'Em Millionaire Maker - Day 2D</t>
  </si>
  <si>
    <t xml:space="preserve">   --Restart--   $1,500 No-Limit Hold'Em Millionaire Maker - Day 4</t>
  </si>
  <si>
    <t xml:space="preserve">   --Restart--   $1,500 No-Limit Hold'Em Millionaire Maker - Day 5</t>
  </si>
  <si>
    <t xml:space="preserve">   --Restart--   $1,500 No-Limit Hold'Em The Closer - Day 2</t>
  </si>
  <si>
    <t xml:space="preserve">   --Restart--   $1,500 Omaha Hi-Lo 8 Or Better (7-Handed) - Day 2</t>
  </si>
  <si>
    <t xml:space="preserve">   --Restart--   $1,500 Pick Your PLO (8-Handed) - Day 2</t>
  </si>
  <si>
    <t xml:space="preserve">   --Restart--   $1,500 Pot-Limit Omaha - Day 2</t>
  </si>
  <si>
    <t xml:space="preserve">   --Restart--   $1,500 Pot-Limit Omaha Double Board Bomb Pot (8-Handed) - Day 2</t>
  </si>
  <si>
    <t xml:space="preserve">   --Restart--   $1,500 Pot-Limit Omaha Hi-Lo 8 Or Better (8-Handed) - Day 2</t>
  </si>
  <si>
    <t xml:space="preserve">   --Restart--   $1,500 Razz - Day 2</t>
  </si>
  <si>
    <t xml:space="preserve">   --Restart--   $1,500 Seven Card Stud Hi-Lo 8 Or Better - Day 2</t>
  </si>
  <si>
    <t xml:space="preserve">   --Restart--   $10,000 8-Game Mixed Championship (6-Handed) - Day 2</t>
  </si>
  <si>
    <t xml:space="preserve">   --Restart--   $10,000 Big O Championship (8-Handed) - Day 2</t>
  </si>
  <si>
    <t xml:space="preserve">   --Restart--   $10,000 Big O Championship (8-Handed) - Day 4</t>
  </si>
  <si>
    <t xml:space="preserve">   --Restart--   $10,000 Horse Championship - Day 2</t>
  </si>
  <si>
    <t xml:space="preserve">   --Restart--   $10,000 Horse Championship - Day 4</t>
  </si>
  <si>
    <t xml:space="preserve">   --Restart--   $10,000 Limit 2-7 Lowball Triple Draw Championship - Day 2</t>
  </si>
  <si>
    <t xml:space="preserve">   --Restart--   $10,000 Limit Hold'Em Championship (7-Handed) - Day 2</t>
  </si>
  <si>
    <t xml:space="preserve">   --Restart--   $10,000 No-Limit Hold'Em 6-Handed Championship - Day 2</t>
  </si>
  <si>
    <t xml:space="preserve">   --Restart--   $10,000 No-Limit Hold'Em Mystery Bounty (8-Handed) - Day 2</t>
  </si>
  <si>
    <t xml:space="preserve">   --Restart--   $10,000 Pot-Limit Omaha Championship (8-Handed) - Day 2</t>
  </si>
  <si>
    <t xml:space="preserve">   --Restart--   $10,000 Pot-Limit Omaha Championship (8-Handed) - Day 4</t>
  </si>
  <si>
    <t xml:space="preserve">   --Restart--   $10,000 Pot-Limit Omaha Hi-Lo 8 Or Better Championship - Day 2</t>
  </si>
  <si>
    <t xml:space="preserve">   --Restart--   $10,000 Pot-Limit Omaha Hi-Lo 8 Or Better Championship - Day 4</t>
  </si>
  <si>
    <t xml:space="preserve">   --Restart--   $10,000 Razz Championship - Day 2</t>
  </si>
  <si>
    <t xml:space="preserve">   --Restart--   $10,000 Seven Card Stud Hi-Lo 8 Or Better Championship - Day 2</t>
  </si>
  <si>
    <t xml:space="preserve">   --Restart--   $10,000 WSOP No-Limit Hold'Em Main Event - Day 2Abc</t>
  </si>
  <si>
    <t xml:space="preserve">   --Restart--   $10,000 WSOP No-Limit Hold'Em Main Event - Day 2D</t>
  </si>
  <si>
    <t xml:space="preserve">   --Restart--   $10,000 WSOP No-Limit Hold'Em Main Event - Day 4</t>
  </si>
  <si>
    <t xml:space="preserve">   --Restart--   $10,000 WSOP No-Limit Hold'Em Main Event - Day 5</t>
  </si>
  <si>
    <t xml:space="preserve">   --Restart--   $10,000 WSOP No-Limit Hold'Em Main Event - Day 6</t>
  </si>
  <si>
    <t xml:space="preserve">   --Restart--   $10,000 WSOP No-Limit Hold'Em Main Event - Day 7</t>
  </si>
  <si>
    <t xml:space="preserve">   --Restart--   $10,000 WSOP No-Limit Hold'Em Main Event - Day 8</t>
  </si>
  <si>
    <t xml:space="preserve">   --Restart--   $100,000 No-Limit Hold'Em High Roller (8-Handed) - Day 2</t>
  </si>
  <si>
    <t xml:space="preserve">   --Restart--   $100,000 Pot-Limit Omaha High Roller (8-Handed) - Day 2</t>
  </si>
  <si>
    <t xml:space="preserve">   --Restart--   $2,500 Mixed Big Bet 7-Handed (7-Handed) - Day 2</t>
  </si>
  <si>
    <t xml:space="preserve">   --Restart--   $2,500 Mixed Omaha Hi-Lo 8 Or Better, Seven Card Stud Hi-Lo 8 Or Better - Day 2</t>
  </si>
  <si>
    <t xml:space="preserve">   --Restart--   $2,500 Mixed Triple Draw Lowball - Day 2</t>
  </si>
  <si>
    <t xml:space="preserve">   --Restart--   $2,500 No-Limit Hold'Em - Day 2</t>
  </si>
  <si>
    <t xml:space="preserve">   --Restart--   $2,500 No-Limit Hold'Em Freezeout - Day 2</t>
  </si>
  <si>
    <t xml:space="preserve">   --Restart--   $25,000 Horse High Roller - Day 2</t>
  </si>
  <si>
    <t xml:space="preserve">   --Restart--   $25,000 No-Limit Hold'Em High Roller 6-Handed - Day 2</t>
  </si>
  <si>
    <t xml:space="preserve">   --Restart--   $25,000 PLO/Nlh Mixed High Roller (8-Handed) - Day 2</t>
  </si>
  <si>
    <t xml:space="preserve">   --Restart--   $25,000 Pot-Limit Omaha High Roller - (8-Handed) - Day 2</t>
  </si>
  <si>
    <t xml:space="preserve">   --Restart--   $25,000 Pot-Limit Omaha High Roller - (8-Handed) - Day 4</t>
  </si>
  <si>
    <t xml:space="preserve">   --Restart--   $250,000 No-Limit Hold'Em Super High Roller (8-Handed) - Day 2</t>
  </si>
  <si>
    <t xml:space="preserve">   --Restart--   $3,000 Nine Game Mix (7-Handed) - Day 2</t>
  </si>
  <si>
    <t xml:space="preserve">   --Restart--   $3,000 No-Limit Hold'Em - Day 2</t>
  </si>
  <si>
    <t xml:space="preserve">   --Restart--   $3,000 No-Limit Hold'Em - Day 4</t>
  </si>
  <si>
    <t xml:space="preserve">   --Restart--   $3,000 No-Limit Hold'Em 6-Handed - Day 2</t>
  </si>
  <si>
    <t xml:space="preserve">   --Restart--   $3,000 No-Limit Hold'Em Freezeout - Day 2</t>
  </si>
  <si>
    <t xml:space="preserve">   --Restart--   $3,000 No-Limit Hold'Em Mid-Stakes Championship - Day 2</t>
  </si>
  <si>
    <t xml:space="preserve">   --Restart--   $3,000 No-Limit Hold'Em Mid-Stakes Championship - Day 4</t>
  </si>
  <si>
    <t xml:space="preserve">   --Restart--   $3,000 Pot-Limit Omaha 6-Handed - Day 2</t>
  </si>
  <si>
    <t xml:space="preserve">   --Restart--   $3,000 Torse - Day 2</t>
  </si>
  <si>
    <t xml:space="preserve">   --Restart--   $300 No-Limit Hold'Em Gladiators Of Poker - Day 2</t>
  </si>
  <si>
    <t xml:space="preserve">   --Restart--   $5,000 No-Limit Hold'Em 6-Handed - Day 2</t>
  </si>
  <si>
    <t xml:space="preserve">   --Restart--   $5,000 No-Limit Hold'Em 6-Handed - Day 4</t>
  </si>
  <si>
    <t xml:space="preserve">   --Restart--   $5,000 No-Limit Hold'Em 8-Handed - Day 2</t>
  </si>
  <si>
    <t xml:space="preserve">   --Restart--   $50,000 No-Limit Hold'Em High Roller (8-Handed) - Day 2</t>
  </si>
  <si>
    <t xml:space="preserve">   --Restart--   $50,000 Poker Players Championship (7-Handed) - Day 2</t>
  </si>
  <si>
    <t xml:space="preserve">   --Restart--   $50,000 Poker Players Championship (7-Handed) - Day 4</t>
  </si>
  <si>
    <t xml:space="preserve">   --Restart--   $50,000 Poker Players Championship (7-Handed) - Day 5</t>
  </si>
  <si>
    <t xml:space="preserve">   --Restart--   $50,000 Pot-Limit Omaha High Roller (8-Handed) - Day 2</t>
  </si>
  <si>
    <t xml:space="preserve">   --Restart--   $500 No-Limit Hold'Em Colossus -Day 2A</t>
  </si>
  <si>
    <t xml:space="preserve">   --Restart--   $500 No-Limit Hold'Em Colossus -Day 2B</t>
  </si>
  <si>
    <t xml:space="preserve">   --Restart--   $500 No-Limit Hold'Em Colossus -Day 2C</t>
  </si>
  <si>
    <t xml:space="preserve">   --Restart--   $500 No-Limit Hold'Em Colossus -Day 2D</t>
  </si>
  <si>
    <t xml:space="preserve">   --Restart--   $500 No-Limit Hold'Em Colossus -Day 4</t>
  </si>
  <si>
    <t xml:space="preserve">   --Restart--   $500 No-Limit Hold'Em Salute To Warriors - Day 2</t>
  </si>
  <si>
    <t xml:space="preserve">   --Restart--   $500 No-Limit Hold'Em Summer Saver - Day 2</t>
  </si>
  <si>
    <t xml:space="preserve">   --Restart--   $600 No-Limit Hold'Em Deepstack Championship - Day 2</t>
  </si>
  <si>
    <t xml:space="preserve">   --Restart--   $600 No-Limit Hold'Em Deepstack Championship - Day 4</t>
  </si>
  <si>
    <t xml:space="preserve">   --Restart--   $600 No-Limit Hold'Em Ultra Stack - Day 2</t>
  </si>
  <si>
    <t xml:space="preserve">   --Restart--   $600 No-Limit Hold'Em/Pot-Limit Omaha Mixed Deepstack (8-Handed) - Day 2</t>
  </si>
  <si>
    <t xml:space="preserve">   --Restart--   $800 No-Limit Hold'Em Deepstack - Day 2</t>
  </si>
  <si>
    <t xml:space="preserve">   --Restart--   $800 No-Limit Hold'Em Deepstack 8-Handed - Day 2</t>
  </si>
  <si>
    <t xml:space="preserve">   --Restart--   $800 No-Limit Hold'Em Summer Celebration - Day 2</t>
  </si>
  <si>
    <t xml:space="preserve">   --Restart--   WSOPC Event #2: $600 Omaha Hi-Low 8 or Better</t>
  </si>
  <si>
    <t xml:space="preserve">   --Restart--   WSOPC Event #3: $600 Pot-Limit Omaha</t>
  </si>
  <si>
    <t xml:space="preserve">   --Restart--   WSOPC Event #4: $600 TORSE</t>
  </si>
  <si>
    <t xml:space="preserve">   --Restart--   $1,000 No-Limit Hold'Em Ladies Championship - Day 3</t>
  </si>
  <si>
    <t xml:space="preserve">   --Restart--   $1,000 No-Limit Hold'Em Mini Main Event - Day 3</t>
  </si>
  <si>
    <t xml:space="preserve">   --Restart--   $1,000 No-Limit Hold'Em Mystery Millions - Day 3</t>
  </si>
  <si>
    <t xml:space="preserve">   --Restart--   Seniors NLH 50+ Day 2</t>
  </si>
  <si>
    <t xml:space="preserve">   --Restart--   $1,000 No-Limit Hold'Em Tag Team - Day 3</t>
  </si>
  <si>
    <t xml:space="preserve">   --Restart--   $1,000 Pot-Limit Omaha - (8-Handed) - Day 3</t>
  </si>
  <si>
    <t xml:space="preserve">   --Restart--   $1,500 8-Game Mixed (6-Handed) - Day 3</t>
  </si>
  <si>
    <t xml:space="preserve">   --Restart--   $1,500 Badugi (6-Handed) - Day 2</t>
  </si>
  <si>
    <t xml:space="preserve">   --Restart--   $1,500 Badugi (6-Handed) - Day 3</t>
  </si>
  <si>
    <t xml:space="preserve">   --Restart--   $1,500 Five Card Pot-Limit Omaha (8-Handed) - Day 3</t>
  </si>
  <si>
    <t xml:space="preserve">   --Restart--   $1,500 Horse - Day 3</t>
  </si>
  <si>
    <t xml:space="preserve">   --Restart--   $1,500 Limit 2-7 Lowball Triple Draw - Day 3</t>
  </si>
  <si>
    <t xml:space="preserve">   --Restart--   $1,500 Limit Hold'Em (7-Handed) - Day 3</t>
  </si>
  <si>
    <t xml:space="preserve">   --Restart--   $1,500 No-Limit Hold'Em Freezeout - Day 3</t>
  </si>
  <si>
    <t xml:space="preserve">   --Restart--   $1,500 No-Limit Hold'Em Millionaire Maker - Day 3</t>
  </si>
  <si>
    <t xml:space="preserve">   --Restart--   $1,500 No-Limit Hold'Em Monster Stack - Day 2A</t>
  </si>
  <si>
    <t xml:space="preserve">   --Restart--   $1,500 No-Limit Hold'Em Monster Stack - Day 2B</t>
  </si>
  <si>
    <t xml:space="preserve">   --Restart--   $1,500 No-Limit Hold'Em Monster Stack - Day 2C</t>
  </si>
  <si>
    <t xml:space="preserve">   --Restart--   $1,500 No-Limit Hold'Em Monster Stack - Day 2D</t>
  </si>
  <si>
    <t xml:space="preserve">   --Restart--   $1,500 Omaha Hi-Lo 8 Or Better (7-Handed) - Day 3</t>
  </si>
  <si>
    <t xml:space="preserve">   --Restart--   $1,500 Pick Your PLO (8-Handed) - Day 3</t>
  </si>
  <si>
    <t xml:space="preserve">   --Restart--   $1,500 Pot-Limit Omaha - Day 3</t>
  </si>
  <si>
    <t xml:space="preserve">   --Restart--   $1,500 Pot-Limit Omaha Double Board Bomb Pot (8-Handed) - Day 3</t>
  </si>
  <si>
    <t xml:space="preserve">   --Restart--   $1,500 Razz - Day 3</t>
  </si>
  <si>
    <t xml:space="preserve">   --Restart--   $1,500 Seven Card Stud - Day 2</t>
  </si>
  <si>
    <t xml:space="preserve">   --Restart--   $1,500 Seven Card Stud - Day 3</t>
  </si>
  <si>
    <t xml:space="preserve">   --Restart--   $1,500 Seven Card Stud Hi-Lo 8 Or Better - Day 3</t>
  </si>
  <si>
    <t xml:space="preserve">   --Restart--   $1,700 No-Limit Hold'Em U.S. WSOP Circuit Championship - Day 2</t>
  </si>
  <si>
    <t xml:space="preserve">   --Restart--   $10,000 8-Game Mixed Championship (6-Handed) - Day 3</t>
  </si>
  <si>
    <t xml:space="preserve">   --Restart--   $10,000 Big O Championship (8-Handed) - Day 3</t>
  </si>
  <si>
    <t xml:space="preserve">   --Restart--   $10,000 Dealers Choice Championship (7-Handed) - Day 2</t>
  </si>
  <si>
    <t xml:space="preserve">   --Restart--   $10,000 Ggmillion$ No-Limit Hold'Em High Roller - Day 2</t>
  </si>
  <si>
    <t xml:space="preserve">   --Restart--   $10,000 Ggmillion$ No-Limit Hold'Em High Roller - Day 3</t>
  </si>
  <si>
    <t xml:space="preserve">   --Restart--   $10,000 Horse Championship - Day 3</t>
  </si>
  <si>
    <t xml:space="preserve">   --Restart--   $10,000 Limit 2-7 Lowball Triple Draw Championship - Day 3</t>
  </si>
  <si>
    <t xml:space="preserve">   --Restart--   $10,000 Limit Hold'Em Championship (7-Handed) - Day 3</t>
  </si>
  <si>
    <t xml:space="preserve">   --Restart--   $10,000 No-Limit 2-7 Lowball Draw Championship - Day 2</t>
  </si>
  <si>
    <t xml:space="preserve">   --Restart--   $10,000 No-Limit Hold'Em 6-Handed Championship - Day 3</t>
  </si>
  <si>
    <t xml:space="preserve">   --Restart--   $10,000 No-Limit Hold'Em Mystery Bounty (8-Handed) - Day 3</t>
  </si>
  <si>
    <t xml:space="preserve">   --Restart--   $10,000 Omaha Hi-Lo 8 Or Better Championship - Day 2</t>
  </si>
  <si>
    <t xml:space="preserve">   --Restart--   $10,000 Omaha Hi-Lo 8 Or Better Championship - Day 3</t>
  </si>
  <si>
    <t xml:space="preserve">   --Restart--   $10,000 Pot-Limit Omaha Championship (8-Handed) - Day 3</t>
  </si>
  <si>
    <t xml:space="preserve">   --Restart--   $10,000 Pot-Limit Omaha Hi-Lo 8 Or Better Championship - Day 3</t>
  </si>
  <si>
    <t xml:space="preserve">   --Restart--   $10,000 Razz Championship - Day 3</t>
  </si>
  <si>
    <t xml:space="preserve">   --Restart--   $10,000 Seven Card Stud Championship - Day 2</t>
  </si>
  <si>
    <t xml:space="preserve">   --Restart--   $10,000 Seven Card Stud Hi-Lo 8 Or Better Championship - Day 3</t>
  </si>
  <si>
    <t xml:space="preserve">   --Restart--   $10,000 WSOP No-Limit Hold'Em Main Event - Day 3</t>
  </si>
  <si>
    <t xml:space="preserve">   --Restart--   $100,000 No-Limit Hold'Em High Roller (8-Handed) - Day 3</t>
  </si>
  <si>
    <t xml:space="preserve">   --Restart--   $100,000 Pot-Limit Omaha High Roller (8-Handed) - Day 3</t>
  </si>
  <si>
    <t xml:space="preserve">   --Restart--   $2,000 No-Limit Hold'Em - Day 2</t>
  </si>
  <si>
    <t xml:space="preserve">   --Restart--   $2,500 Mixed Big Bet 7-Handed (7-Handed) - Day 3</t>
  </si>
  <si>
    <t xml:space="preserve">   --Restart--   $2,500 Mixed Omaha Hi-Lo 8 Or Better, Seven Card Stud Hi-Lo 8 Or Better - Day 3</t>
  </si>
  <si>
    <t xml:space="preserve">   --Restart--   $2,500 Mixed Triple Draw Lowball - Day 3</t>
  </si>
  <si>
    <t xml:space="preserve">   --Restart--   $2,500 No-Limit Hold'Em - Day 3</t>
  </si>
  <si>
    <t xml:space="preserve">   --Restart--   $2,500 No-Limit Hold'Em Freezeout - Day 3</t>
  </si>
  <si>
    <t xml:space="preserve">   --Restart--   $25,000 Horse High Roller - Day 3</t>
  </si>
  <si>
    <t xml:space="preserve">   --Restart--   $25,000 No-Limit Hold'Em Heads Up Championship - (64 Player Max Per Flight) - Day 2</t>
  </si>
  <si>
    <t xml:space="preserve">   --Restart--   $25,000 No-Limit Hold'Em Heads Up Championship - (64 Player Max Per Flight) - Day 3</t>
  </si>
  <si>
    <t xml:space="preserve">   --Restart--   $25,000 No-Limit Hold'Em High Roller - (8-Handed) - Day 2</t>
  </si>
  <si>
    <t xml:space="preserve">   --Restart--   $25,000 PLO/Nlh Mixed High Roller (8-Handed) - Day 3</t>
  </si>
  <si>
    <t xml:space="preserve">   --Restart--   $25,000 Pot-Limit Omaha High Roller - (8-Handed) - Day 3</t>
  </si>
  <si>
    <t xml:space="preserve">   --Restart--   $250,000 No-Limit Hold'Em Super High Roller (8-Handed) - Day 3</t>
  </si>
  <si>
    <t xml:space="preserve">   --Restart--   $3,000 Nine Game Mix (7-Handed) - Day 3</t>
  </si>
  <si>
    <t xml:space="preserve">   --Restart--   $3,000 No-Limit Hold'Em - Day 3</t>
  </si>
  <si>
    <t xml:space="preserve">   --Restart--   $3,000 No-Limit Hold'Em Freezeout - Day 3</t>
  </si>
  <si>
    <t xml:space="preserve">   --Restart--   $3,000 No-Limit Hold'Em Mid-Stakes Championship - Day 3</t>
  </si>
  <si>
    <t xml:space="preserve">   --Restart--   $3,000 Pot-Limit Omaha 6-Handed - Day 3</t>
  </si>
  <si>
    <t xml:space="preserve">   --Restart--   $3,000 Torse - Day 3</t>
  </si>
  <si>
    <t xml:space="preserve">   --Restart--   $300 No-Limit Hold'Em Gladiators Of Poker - Day 3</t>
  </si>
  <si>
    <t xml:space="preserve">   --Restart--   $5,000 No-Limit Hold'Em 6-Handed - Day 3</t>
  </si>
  <si>
    <t xml:space="preserve">   --Restart--   $5,000 No-Limit Hold'Em 8-Handed - Day 3</t>
  </si>
  <si>
    <t xml:space="preserve">   --Restart--   $5,000 No-Limit Hold'Em 8-Handed - Day 4</t>
  </si>
  <si>
    <t xml:space="preserve">   --Restart--   $5,000 Pot-Limit Omaha (8-Handed) - Day 2</t>
  </si>
  <si>
    <t xml:space="preserve">   --Restart--   $5,000 Pot-Limit Omaha (8-Handed) - Day 3</t>
  </si>
  <si>
    <t xml:space="preserve">   --Restart--   $50,000 No-Limit Hold'Em High Roller (8-Handed) - Day 3</t>
  </si>
  <si>
    <t xml:space="preserve">   --Restart--   $50,000 Poker Players Championship (7-Handed) - Day 3</t>
  </si>
  <si>
    <t xml:space="preserve">   --Restart--   $50,000 Pot-Limit Omaha High Roller (8-Handed) - Day 3</t>
  </si>
  <si>
    <t xml:space="preserve">   --Restart--   $500 No-Limit Hold'Em Colossus -Day 3</t>
  </si>
  <si>
    <t xml:space="preserve">   --Restart--   $500 No-Limit Hold'Em EmPLOyees Event - Day 2</t>
  </si>
  <si>
    <t xml:space="preserve">   --Restart--   $500 No-Limit Hold'Em Freezeout - Day 2</t>
  </si>
  <si>
    <t xml:space="preserve">   --Restart--   $500 No-Limit Hold'Em Salute To Warriors - Day 3</t>
  </si>
  <si>
    <t xml:space="preserve">   --Restart--   $550 No-Limit Hold'Em Mini Mystery Millions - Day 2</t>
  </si>
  <si>
    <t xml:space="preserve">   --Restart--   $550 No-Limit Hold'Em Mini Mystery Millions - Day 3</t>
  </si>
  <si>
    <t xml:space="preserve">   --Restart--   $600 No-Limit Hold'Em Deepstack - Day 2</t>
  </si>
  <si>
    <t xml:space="preserve">   --Restart--   $600 No-Limit Hold'Em Deepstack Championship - Day 3</t>
  </si>
  <si>
    <t xml:space="preserve">   --Restart--   $600 No-Limit Hold'Em Ultra Stack - Day 3</t>
  </si>
  <si>
    <t xml:space="preserve">   --Restart--   $600 Pot-Limit Omaha Deepstack (8-Handed) - Day 2</t>
  </si>
  <si>
    <t xml:space="preserve">   --Restart--   HORSE Day 2</t>
  </si>
  <si>
    <t xml:space="preserve">   --Restart--   LIPS National Championship - Day 2</t>
  </si>
  <si>
    <t xml:space="preserve">   --Restart--   NLH Mystery Bounty Day 2</t>
  </si>
  <si>
    <t xml:space="preserve">   --Restart--   No Limit Hold'Em Day 2</t>
  </si>
  <si>
    <t xml:space="preserve">   --Restart--   No Limit Hold'Em Day 3</t>
  </si>
  <si>
    <t xml:space="preserve">   --Restart--   No Limit Hold'Em Final Table</t>
  </si>
  <si>
    <t xml:space="preserve">   --Restart--   OSO NLH Main Event - DAY 2</t>
  </si>
  <si>
    <t xml:space="preserve">   --Restart--   PLO Day 2</t>
  </si>
  <si>
    <t xml:space="preserve">   --Restart--   PLO Mystery Bounty Day 2</t>
  </si>
  <si>
    <t xml:space="preserve">   --Restart--   Wynn Summer Championship Day 2</t>
  </si>
  <si>
    <t xml:space="preserve">   --Restart--   Wynn Summer Championship Day 3</t>
  </si>
  <si>
    <t xml:space="preserve">   --Restart--   Wynn Summer Championship Final Table</t>
  </si>
  <si>
    <t xml:space="preserve">   --Restart--   $1,500 Dealers Choice (7-Handed) - Day 3</t>
  </si>
  <si>
    <t xml:space="preserve">   --Restart--   $1,500 Mixed: PLO Hi-Lo 8 Or Better, Omaha Hi-Lo 8 Or Better, Big O (8-Handed) - Day 2</t>
  </si>
  <si>
    <t xml:space="preserve">   --Restart--   $1,500 Mixed: PLO Hi-Lo 8 Or Better, Omaha Hi-Lo 8 Or Better, Big O (8-Handed) - Day 3</t>
  </si>
  <si>
    <t xml:space="preserve">   --Restart--   $1,500 No-Limit 2-7 Lowball Draw (7-Handed) - Day 2</t>
  </si>
  <si>
    <t xml:space="preserve">   --Restart--   $1,500 No-Limit 2-7 Lowball Draw (7-Handed) - Day 3</t>
  </si>
  <si>
    <t xml:space="preserve">   --Restart--   $1,500 No-Limit Hold'Em 6-Handed - Day 2</t>
  </si>
  <si>
    <t xml:space="preserve">   --Restart--   $1,500 No-Limit Hold'Em 6-Handed - Day 3</t>
  </si>
  <si>
    <t xml:space="preserve">   --Restart--   $1,500 No-Limit Hold'Em Monster Stack - Day 3</t>
  </si>
  <si>
    <t xml:space="preserve">   --Restart--   $1,700 No-Limit Hold'Em U.S. WSOP Circuit Championship - Day 3</t>
  </si>
  <si>
    <t xml:space="preserve">   --Restart--   $10,000 No-Limit 2-7 Lowball Draw Championship - Day 3</t>
  </si>
  <si>
    <t xml:space="preserve">   --Restart--   $25,000 No-Limit Hold'Em High Roller - (8-Handed) - Day 3</t>
  </si>
  <si>
    <t xml:space="preserve">   --Restart--   Ladies NLH High Roller Day 2</t>
  </si>
  <si>
    <t xml:space="preserve">   --Restart--   Limit Omaha 8 Day 2</t>
  </si>
  <si>
    <t xml:space="preserve">   --Restart--   NLH High Roller Day 2</t>
  </si>
  <si>
    <t xml:space="preserve">   --Restart--   Mixed Triple Draw (2-7, A-5, Badugi) Day 2</t>
  </si>
  <si>
    <t xml:space="preserve">   --Restart--   $2,200 NLH Mystery Bounty - Day 2</t>
  </si>
  <si>
    <t xml:space="preserve">   --Restart--   $2,200 PLO Championship - Day 2</t>
  </si>
  <si>
    <t xml:space="preserve">   --Restart--   $3500 BetMGM Championship - Day 2</t>
  </si>
  <si>
    <t xml:space="preserve">    --Restart--   $3500 BetMGM Championship - Day 3 &amp; FT</t>
  </si>
  <si>
    <t xml:space="preserve">    --Restart--    $600 No Limit Hold'em Day 2 $150K GTD (2Day)</t>
  </si>
  <si>
    <t xml:space="preserve">    --Restart--   Bar Poker Open - Day 2</t>
  </si>
  <si>
    <t xml:space="preserve">    --Restart--   No Limit Hold'em - Grand Stack 2-Day</t>
  </si>
  <si>
    <t xml:space="preserve">    --Restart--    Torse Day 2</t>
  </si>
  <si>
    <t xml:space="preserve">    --Restart--    $600 Pot Limit Omaha Bounty $50K GTD (2Day)</t>
  </si>
  <si>
    <t xml:space="preserve">    --Restart--    11 Game Mixed Main Event Day 2</t>
  </si>
  <si>
    <t xml:space="preserve">    --Restart--    300K Multiday Day 2</t>
  </si>
  <si>
    <t xml:space="preserve">    --Restart--    Bar Poker Open Final Table</t>
  </si>
  <si>
    <t xml:space="preserve">    --Restart--    Championship Main Event</t>
  </si>
  <si>
    <t xml:space="preserve">     --Restart--    GCP Tour - Mystery Ticket NLH</t>
  </si>
  <si>
    <t xml:space="preserve">    --Restart--    GRAND FINALE - No Limit Hold'em</t>
  </si>
  <si>
    <t xml:space="preserve">    --Restart--    Gulf Coast Poker Tour Golden Event</t>
  </si>
  <si>
    <t xml:space="preserve">    --Restart--    Gulf Coast Poker Tour Rookies &amp; Recs Championship</t>
  </si>
  <si>
    <t xml:space="preserve">     --Restart--    H.O.R.S.E. Championship</t>
  </si>
  <si>
    <t xml:space="preserve">     --Restart--    No Limit Hold'em - Grand Stack</t>
  </si>
  <si>
    <t xml:space="preserve">    --Restart--    No Limit Hold'em - Grand Stack 2-Day</t>
  </si>
  <si>
    <t xml:space="preserve">    --Restart--    No Limit Hold'em - SUPER Stack</t>
  </si>
  <si>
    <t xml:space="preserve">    --Restart--    No Limit Hold'em - SUPER Stack Mystery Bounty</t>
  </si>
  <si>
    <t xml:space="preserve">    --Restart--    T.O.R.S.E. Championship</t>
  </si>
  <si>
    <t xml:space="preserve">    --Restart--    WSOPC Event #1: $400 No-Limit Hold'em Mini Main - Day 2</t>
  </si>
  <si>
    <t xml:space="preserve">    --Restart--    WSOPC Event #10: $2,200 No-Limit Hold'em High Roller</t>
  </si>
  <si>
    <t xml:space="preserve">    --Restart--    WSOPC Event #11: $1,700 No-Limit Hold'em Main Event - Day 2</t>
  </si>
  <si>
    <t xml:space="preserve">    --Restart--    WSOPC Event #11: $1,700 No-Limit Hold'em Main Event - Day 3</t>
  </si>
  <si>
    <t xml:space="preserve">    --Restart--    WSOPC Event #12: $600 No-Limit Hold'em Bounty</t>
  </si>
  <si>
    <t xml:space="preserve">    --Restart--    WSOPC Event #5: $600 No-Limit Hold'em Monster Stack - Day 2</t>
  </si>
  <si>
    <t xml:space="preserve">    --Restart--    WSOPC Event #6: $800 Pot-Limit Omaha</t>
  </si>
  <si>
    <t xml:space="preserve">    --Restart--    WSOPC Event #7: $300 No-Limit Hold'em Ladies Event</t>
  </si>
  <si>
    <t xml:space="preserve">    --Restart--    WSOPC Event #8: $1,125 No-Limit Hold'em</t>
  </si>
  <si>
    <t xml:space="preserve">    --Restart--    Seniors NLH High Roller 50+ Day 2</t>
  </si>
  <si>
    <t xml:space="preserve">    --Restart--   WSOPC Event #14: $400 No-Limit Hold'em 40/40/40</t>
  </si>
  <si>
    <t xml:space="preserve">    --Restart--   WSOPC Event #15: $3,300 No-Limit Hold'em High Roller</t>
  </si>
  <si>
    <t xml:space="preserve">    --Restart--   WSOPC Event #16: $400 No-Limit Hold'em Double Stack</t>
  </si>
  <si>
    <t xml:space="preserve">    --Restart--   WSOPC Event #17: $5,000 No-Limit Hold'em High Roller</t>
  </si>
  <si>
    <t xml:space="preserve">    --Restart--   WSOPC Event #13: $400 No-Limit Hold'em</t>
  </si>
  <si>
    <t xml:space="preserve">   --Restart--   $5,000 No-Limit Hold'Em Seniors High Roller (8-Handed) - Day 2</t>
  </si>
  <si>
    <t xml:space="preserve">   --Restart--   $5,000 No-Limit Hold'Em Seniors High Roller (8-Handed) - Day 3</t>
  </si>
  <si>
    <t xml:space="preserve">   --Restart--   $5,000 No-Limit Hold'Em Seniors High Roller (8-Handed) - Day 4</t>
  </si>
  <si>
    <t xml:space="preserve">   --Restart--   $1,000 No-Limit Hold'Em Seniors Championship - Day 2A</t>
  </si>
  <si>
    <t xml:space="preserve">   --Restart--   $800 No Limit Hold'em Day 2 $300K GTD (2Day)</t>
  </si>
  <si>
    <t xml:space="preserve">   --Restart--   $1,100 No Limit Hold'em Day 2 $1 Million GTD (2Day)</t>
  </si>
  <si>
    <t xml:space="preserve">   --Restart--   $1,000 No-Limit Hold'Em Seniors Championship - Day 2B</t>
  </si>
  <si>
    <t xml:space="preserve">   --Restart--   $1,000 No-Limit Hold'Em Seniors Championship - Day 3</t>
  </si>
  <si>
    <t xml:space="preserve">   --Restart--   $1,000 No-Limit Hold'Em Seniors Championship - Day 4</t>
  </si>
  <si>
    <t xml:space="preserve">   --Restart--   $1,000 No-Limit Hold'Em Seniors Championship - Day 5</t>
  </si>
  <si>
    <t xml:space="preserve">   --Restart--   $1,600 No Limit Hold'em Seniors 1A $1.5 Million GTD (2Day)</t>
  </si>
  <si>
    <t xml:space="preserve">   --Restart--   $2,500 No Limit Hold'em LIPS Ladies High Roller Day 2 $150K GTD (3Day)</t>
  </si>
  <si>
    <t xml:space="preserve">   --Restart--   $1,000 No-Limit Hold'Em Super Seniors - Day 2</t>
  </si>
  <si>
    <t xml:space="preserve">   --Restart--   $2,200 Pot Limit Omaha Bounty $500K GTD (2Day)</t>
  </si>
  <si>
    <t xml:space="preserve">   --Restart--   $1,000 No-Limit Hold'Em Super Seniors - Day 3</t>
  </si>
  <si>
    <t xml:space="preserve">   --Restart--   $1,000 No-Limit Hold'Em Super Seniors - Day 4</t>
  </si>
  <si>
    <t xml:space="preserve">   --Restart--   $1,100 No Limit Hold'em MSPT Day 2 $1 Million GTD (2Day)</t>
  </si>
  <si>
    <t xml:space="preserve">   --Restart--    $1,600 No Limit Hold'em MSPT Day 2 $1 Million GTD (2Day)</t>
  </si>
  <si>
    <t xml:space="preserve">   --Restart--   $400 No Limit Hold'em Day 2 $200K GTD (2Day)</t>
  </si>
  <si>
    <t xml:space="preserve">    --Restart--    WSOPC Event #9: $400 No-Limit Hold'em Seniors</t>
  </si>
  <si>
    <t xml:space="preserve">   --Restart--   $600 No Limit Hold'em Seniors 1C $150K GTD (2Day)</t>
  </si>
  <si>
    <t>Horseshoe/Paris (WSOP)</t>
  </si>
  <si>
    <t>Horseshoe (Circuit)</t>
  </si>
  <si>
    <t>PLON</t>
  </si>
  <si>
    <t>PLON Women's NL Crystal Cup Championship</t>
  </si>
  <si>
    <t>SPECIAL</t>
  </si>
  <si>
    <t>Merch, bounty prizes and final table gifts. Pre-game brunch at 9:00am</t>
  </si>
  <si>
    <t xml:space="preserve"> Players may do a one-time $20 Dealer Appreciation Add-On for an additional 15,000 in tournament chips only at registration (included in starting stack listed as S-points)</t>
  </si>
  <si>
    <t>Players may do a one-time $50 Add-On for an additional 25,000 in tournament chips only at registration. Add-on inncluded in Rake and S-points calculations</t>
  </si>
  <si>
    <t>Players may do a one-time $20 Add-On for an additional 20,000 in tournament chips only at registration. Add-on included in rake and s-point calculations.  Ten (10) $100 Random seat draws will be awarded and will occur during the event. The Bravo Random Seat Generator will be utilized for winners. 5 items of Golden Nugget Swag will be raffled off</t>
  </si>
  <si>
    <t>Must have below $500K in Hendon Mob Cashes</t>
  </si>
  <si>
    <t>This is a "Best Stack Forward" Tournament. Players will receive a min. cash payout for multiple bags.</t>
  </si>
  <si>
    <t xml:space="preserve"> Players may do a one-time $50 Dealer Appreciation Add-On for an additional 25,000 in tournament chips only at registration (included in starting stack listed as S-points)</t>
  </si>
  <si>
    <t>https://t.co/6VPbbn23ge</t>
  </si>
  <si>
    <t>Players may do a one-time $20 Add-On for an additional 15,000 in tournament chips only at registration. Add-on included in rake and s-point calcuations. The tournament will end when 15% of the field is remaining. All remaining players will split the payouts, with the highest chip count to receive any extra odd amount</t>
  </si>
  <si>
    <t>PokerGO Studio</t>
  </si>
  <si>
    <t>PGT Summer Series</t>
  </si>
  <si>
    <t>PGT Summer Series High Roller #1 - NLH</t>
  </si>
  <si>
    <t>PGT Summer Series High Roller #2 - NLH</t>
  </si>
  <si>
    <t>PGT Summer Series High Roller #5 - NLH</t>
  </si>
  <si>
    <t>PGT Summer Series High Roller #6 - NLH</t>
  </si>
  <si>
    <t>PGT Summer Series High Roller #7 - NLH</t>
  </si>
  <si>
    <t>PGT Summer Series High Roller #8 - NLH</t>
  </si>
  <si>
    <t>PGT Summer Series High Roller #9 - NLH</t>
  </si>
  <si>
    <t>PGT Summer Series High Roller #10 - NLH</t>
  </si>
  <si>
    <t>PGT Summer Series High Roller #3 - PLO</t>
  </si>
  <si>
    <t>PGT Summer Series High Roller #4 - PLO</t>
  </si>
  <si>
    <t>https://t.co/EnW4KEPgBv</t>
  </si>
  <si>
    <t>$700 taken out for late fee/re-entries</t>
  </si>
  <si>
    <t>$300 taken out for late fee/re-entries</t>
  </si>
  <si>
    <t>PLO-8, Omaha-8, Big-O Championship</t>
  </si>
  <si>
    <t>PLO-8, OMAHA-8, BIG-O MIXED</t>
  </si>
  <si>
    <t>dscps_2026-structure_28.pdf</t>
  </si>
  <si>
    <t>dscps_2026-structure_30.pdf</t>
  </si>
  <si>
    <t>dscps_2026-structure_32.pdf</t>
  </si>
  <si>
    <t>dscps_2026-structure_35.pdf</t>
  </si>
  <si>
    <t>$1,100 No Limit Hold'em MSPT 1F $1 Million GTD (2Day) Turbo</t>
  </si>
  <si>
    <t>dscps_2026-structure_36.pdf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</si>
</sst>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400]h:mm:ss\ AM/PM"/>
    <numFmt numFmtId="165" formatCode="0.0%"/>
    <numFmt numFmtId="166" formatCode="&quot;$&quot;#,##0"/>
    <numFmt numFmtId="167" formatCode="_(&quot;$&quot;* #,##0_);_(&quot;$&quot;* \(#,##0\);_(&quot;$&quot;* &quot;-&quot;??_);_(@_)"/>
    <numFmt numFmtId="168" formatCode="h:mm;@"/>
    <numFmt numFmtId="169" formatCode="_(* #,##0_);_(* \(#,##0\);_(* &quot;-&quot;??_);_(@_)"/>
  </numFmts>
  <fonts count="69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Calibri"/>
      <family val="2"/>
    </font>
    <font>
      <sz val="11"/>
      <color rgb="FF1D1D1D"/>
      <name val="Roboto"/>
    </font>
    <font>
      <sz val="9"/>
      <color rgb="FF1D1D1D"/>
      <name val="Roboto"/>
    </font>
    <font>
      <sz val="11"/>
      <name val="Calibri"/>
      <family val="2"/>
    </font>
    <font>
      <sz val="9"/>
      <color rgb="FF444444"/>
      <name val="Brother-1816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303030"/>
      </top>
      <bottom/>
      <diagonal/>
    </border>
    <border>
      <left/>
      <right/>
      <top style="medium">
        <color rgb="FF000000"/>
      </top>
      <bottom/>
      <diagonal/>
    </border>
  </borders>
  <cellStyleXfs count="49">
    <xf numFmtId="0" fontId="0" fillId="0" borderId="0"/>
    <xf numFmtId="44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5" fillId="0" borderId="2"/>
    <xf numFmtId="0" fontId="47" fillId="0" borderId="0" applyNumberFormat="0" applyFill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5" fillId="6" borderId="6" applyNumberFormat="0" applyAlignment="0" applyProtection="0"/>
    <xf numFmtId="0" fontId="56" fillId="7" borderId="7" applyNumberFormat="0" applyAlignment="0" applyProtection="0"/>
    <xf numFmtId="0" fontId="57" fillId="7" borderId="6" applyNumberFormat="0" applyAlignment="0" applyProtection="0"/>
    <xf numFmtId="0" fontId="58" fillId="0" borderId="8" applyNumberFormat="0" applyFill="0" applyAlignment="0" applyProtection="0"/>
    <xf numFmtId="0" fontId="59" fillId="8" borderId="9" applyNumberFormat="0" applyAlignment="0" applyProtection="0"/>
    <xf numFmtId="0" fontId="62" fillId="0" borderId="11" applyNumberFormat="0" applyFill="0" applyAlignment="0" applyProtection="0"/>
    <xf numFmtId="0" fontId="43" fillId="0" borderId="2"/>
    <xf numFmtId="0" fontId="48" fillId="0" borderId="2" applyNumberFormat="0" applyFill="0" applyBorder="0" applyAlignment="0" applyProtection="0"/>
    <xf numFmtId="0" fontId="51" fillId="0" borderId="2" applyNumberFormat="0" applyFill="0" applyBorder="0" applyAlignment="0" applyProtection="0"/>
    <xf numFmtId="0" fontId="52" fillId="3" borderId="2" applyNumberFormat="0" applyBorder="0" applyAlignment="0" applyProtection="0"/>
    <xf numFmtId="0" fontId="53" fillId="4" borderId="2" applyNumberFormat="0" applyBorder="0" applyAlignment="0" applyProtection="0"/>
    <xf numFmtId="0" fontId="54" fillId="5" borderId="2" applyNumberFormat="0" applyBorder="0" applyAlignment="0" applyProtection="0"/>
    <xf numFmtId="0" fontId="60" fillId="0" borderId="2" applyNumberFormat="0" applyFill="0" applyBorder="0" applyAlignment="0" applyProtection="0"/>
    <xf numFmtId="0" fontId="43" fillId="9" borderId="10" applyNumberFormat="0" applyFont="0" applyAlignment="0" applyProtection="0"/>
    <xf numFmtId="0" fontId="61" fillId="0" borderId="2" applyNumberFormat="0" applyFill="0" applyBorder="0" applyAlignment="0" applyProtection="0"/>
    <xf numFmtId="0" fontId="63" fillId="10" borderId="2" applyNumberFormat="0" applyBorder="0" applyAlignment="0" applyProtection="0"/>
    <xf numFmtId="0" fontId="43" fillId="11" borderId="2" applyNumberFormat="0" applyBorder="0" applyAlignment="0" applyProtection="0"/>
    <xf numFmtId="0" fontId="43" fillId="12" borderId="2" applyNumberFormat="0" applyBorder="0" applyAlignment="0" applyProtection="0"/>
    <xf numFmtId="0" fontId="43" fillId="13" borderId="2" applyNumberFormat="0" applyBorder="0" applyAlignment="0" applyProtection="0"/>
    <xf numFmtId="0" fontId="63" fillId="14" borderId="2" applyNumberFormat="0" applyBorder="0" applyAlignment="0" applyProtection="0"/>
    <xf numFmtId="0" fontId="43" fillId="15" borderId="2" applyNumberFormat="0" applyBorder="0" applyAlignment="0" applyProtection="0"/>
    <xf numFmtId="0" fontId="43" fillId="16" borderId="2" applyNumberFormat="0" applyBorder="0" applyAlignment="0" applyProtection="0"/>
    <xf numFmtId="0" fontId="43" fillId="17" borderId="2" applyNumberFormat="0" applyBorder="0" applyAlignment="0" applyProtection="0"/>
    <xf numFmtId="0" fontId="63" fillId="18" borderId="2" applyNumberFormat="0" applyBorder="0" applyAlignment="0" applyProtection="0"/>
    <xf numFmtId="0" fontId="43" fillId="19" borderId="2" applyNumberFormat="0" applyBorder="0" applyAlignment="0" applyProtection="0"/>
    <xf numFmtId="0" fontId="43" fillId="20" borderId="2" applyNumberFormat="0" applyBorder="0" applyAlignment="0" applyProtection="0"/>
    <xf numFmtId="0" fontId="43" fillId="21" borderId="2" applyNumberFormat="0" applyBorder="0" applyAlignment="0" applyProtection="0"/>
    <xf numFmtId="0" fontId="63" fillId="22" borderId="2" applyNumberFormat="0" applyBorder="0" applyAlignment="0" applyProtection="0"/>
    <xf numFmtId="0" fontId="43" fillId="23" borderId="2" applyNumberFormat="0" applyBorder="0" applyAlignment="0" applyProtection="0"/>
    <xf numFmtId="0" fontId="43" fillId="24" borderId="2" applyNumberFormat="0" applyBorder="0" applyAlignment="0" applyProtection="0"/>
    <xf numFmtId="0" fontId="43" fillId="25" borderId="2" applyNumberFormat="0" applyBorder="0" applyAlignment="0" applyProtection="0"/>
    <xf numFmtId="0" fontId="63" fillId="26" borderId="2" applyNumberFormat="0" applyBorder="0" applyAlignment="0" applyProtection="0"/>
    <xf numFmtId="0" fontId="43" fillId="27" borderId="2" applyNumberFormat="0" applyBorder="0" applyAlignment="0" applyProtection="0"/>
    <xf numFmtId="0" fontId="43" fillId="28" borderId="2" applyNumberFormat="0" applyBorder="0" applyAlignment="0" applyProtection="0"/>
    <xf numFmtId="0" fontId="43" fillId="29" borderId="2" applyNumberFormat="0" applyBorder="0" applyAlignment="0" applyProtection="0"/>
    <xf numFmtId="0" fontId="63" fillId="30" borderId="2" applyNumberFormat="0" applyBorder="0" applyAlignment="0" applyProtection="0"/>
    <xf numFmtId="0" fontId="43" fillId="31" borderId="2" applyNumberFormat="0" applyBorder="0" applyAlignment="0" applyProtection="0"/>
    <xf numFmtId="0" fontId="43" fillId="32" borderId="2" applyNumberFormat="0" applyBorder="0" applyAlignment="0" applyProtection="0"/>
    <xf numFmtId="0" fontId="43" fillId="33" borderId="2" applyNumberFormat="0" applyBorder="0" applyAlignment="0" applyProtection="0"/>
    <xf numFmtId="0" fontId="31" fillId="0" borderId="2"/>
    <xf numFmtId="43" fontId="67" fillId="0" borderId="0" applyFont="0" applyFill="0" applyBorder="0" applyAlignment="0" applyProtection="0"/>
  </cellStyleXfs>
  <cellXfs count="254">
    <xf numFmtId="0" fontId="0" fillId="0" borderId="0" xfId="0"/>
    <xf numFmtId="0" fontId="0" fillId="2" borderId="0" xfId="0" applyFill="1"/>
    <xf numFmtId="0" fontId="45" fillId="0" borderId="2" xfId="3"/>
    <xf numFmtId="6" fontId="45" fillId="0" borderId="2" xfId="3" applyNumberFormat="1"/>
    <xf numFmtId="14" fontId="45" fillId="0" borderId="2" xfId="3" applyNumberFormat="1"/>
    <xf numFmtId="1" fontId="45" fillId="0" borderId="2" xfId="3" applyNumberFormat="1"/>
    <xf numFmtId="164" fontId="45" fillId="0" borderId="2" xfId="3" applyNumberFormat="1"/>
    <xf numFmtId="14" fontId="45" fillId="0" borderId="1" xfId="3" applyNumberFormat="1" applyBorder="1"/>
    <xf numFmtId="0" fontId="0" fillId="0" borderId="2" xfId="0" applyBorder="1"/>
    <xf numFmtId="164" fontId="45" fillId="0" borderId="0" xfId="3" applyNumberFormat="1" applyBorder="1"/>
    <xf numFmtId="0" fontId="45" fillId="0" borderId="0" xfId="3" applyBorder="1"/>
    <xf numFmtId="1" fontId="0" fillId="0" borderId="2" xfId="1" applyNumberFormat="1" applyFont="1" applyBorder="1" applyAlignment="1">
      <alignment horizontal="left"/>
    </xf>
    <xf numFmtId="1" fontId="45" fillId="0" borderId="0" xfId="3" applyNumberFormat="1" applyBorder="1"/>
    <xf numFmtId="6" fontId="45" fillId="0" borderId="0" xfId="3" applyNumberFormat="1" applyBorder="1"/>
    <xf numFmtId="1" fontId="0" fillId="0" borderId="2" xfId="0" applyNumberFormat="1" applyBorder="1"/>
    <xf numFmtId="165" fontId="45" fillId="0" borderId="2" xfId="2" applyNumberFormat="1" applyFont="1" applyBorder="1"/>
    <xf numFmtId="0" fontId="44" fillId="0" borderId="0" xfId="3" applyFont="1" applyBorder="1"/>
    <xf numFmtId="0" fontId="43" fillId="0" borderId="2" xfId="3" applyFont="1"/>
    <xf numFmtId="0" fontId="43" fillId="0" borderId="0" xfId="3" applyFont="1" applyBorder="1"/>
    <xf numFmtId="166" fontId="45" fillId="0" borderId="2" xfId="3" applyNumberFormat="1"/>
    <xf numFmtId="0" fontId="41" fillId="0" borderId="0" xfId="3" applyFont="1" applyBorder="1"/>
    <xf numFmtId="0" fontId="47" fillId="0" borderId="0" xfId="4" applyBorder="1"/>
    <xf numFmtId="0" fontId="40" fillId="0" borderId="0" xfId="3" applyFont="1" applyBorder="1"/>
    <xf numFmtId="165" fontId="39" fillId="0" borderId="0" xfId="2" applyNumberFormat="1" applyFont="1" applyBorder="1"/>
    <xf numFmtId="165" fontId="39" fillId="0" borderId="0" xfId="2" applyNumberFormat="1" applyFont="1" applyFill="1" applyBorder="1"/>
    <xf numFmtId="0" fontId="38" fillId="0" borderId="0" xfId="3" applyFont="1" applyBorder="1"/>
    <xf numFmtId="14" fontId="0" fillId="0" borderId="1" xfId="0" applyNumberFormat="1" applyBorder="1"/>
    <xf numFmtId="1" fontId="0" fillId="0" borderId="0" xfId="1" applyNumberFormat="1" applyFont="1" applyBorder="1" applyAlignment="1">
      <alignment horizontal="left"/>
    </xf>
    <xf numFmtId="165" fontId="39" fillId="0" borderId="2" xfId="2" applyNumberFormat="1" applyFont="1" applyBorder="1"/>
    <xf numFmtId="164" fontId="0" fillId="0" borderId="0" xfId="0" applyNumberFormat="1"/>
    <xf numFmtId="0" fontId="37" fillId="0" borderId="0" xfId="3" applyFont="1" applyBorder="1"/>
    <xf numFmtId="1" fontId="45" fillId="0" borderId="2" xfId="3" applyNumberFormat="1" applyAlignment="1">
      <alignment horizontal="center"/>
    </xf>
    <xf numFmtId="0" fontId="36" fillId="0" borderId="0" xfId="3" applyFont="1" applyBorder="1"/>
    <xf numFmtId="0" fontId="36" fillId="0" borderId="2" xfId="3" applyFon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35" fillId="0" borderId="2" xfId="3" applyFont="1"/>
    <xf numFmtId="167" fontId="45" fillId="0" borderId="2" xfId="1" applyNumberFormat="1" applyFont="1" applyBorder="1"/>
    <xf numFmtId="44" fontId="45" fillId="0" borderId="2" xfId="3" applyNumberFormat="1"/>
    <xf numFmtId="0" fontId="34" fillId="0" borderId="2" xfId="3" applyFont="1"/>
    <xf numFmtId="16" fontId="0" fillId="0" borderId="2" xfId="0" applyNumberFormat="1" applyBorder="1"/>
    <xf numFmtId="14" fontId="45" fillId="0" borderId="0" xfId="3" applyNumberFormat="1" applyBorder="1"/>
    <xf numFmtId="20" fontId="0" fillId="0" borderId="2" xfId="0" applyNumberFormat="1" applyBorder="1"/>
    <xf numFmtId="1" fontId="45" fillId="0" borderId="0" xfId="3" applyNumberFormat="1" applyBorder="1" applyAlignment="1">
      <alignment horizontal="center"/>
    </xf>
    <xf numFmtId="0" fontId="34" fillId="0" borderId="0" xfId="3" applyFont="1" applyBorder="1"/>
    <xf numFmtId="167" fontId="45" fillId="0" borderId="0" xfId="1" applyNumberFormat="1" applyFont="1" applyBorder="1"/>
    <xf numFmtId="0" fontId="46" fillId="0" borderId="2" xfId="0" applyFont="1" applyBorder="1"/>
    <xf numFmtId="16" fontId="0" fillId="0" borderId="0" xfId="0" applyNumberFormat="1"/>
    <xf numFmtId="14" fontId="0" fillId="0" borderId="2" xfId="0" applyNumberFormat="1" applyBorder="1"/>
    <xf numFmtId="0" fontId="46" fillId="0" borderId="0" xfId="0" applyFont="1"/>
    <xf numFmtId="0" fontId="33" fillId="0" borderId="2" xfId="3" applyFont="1"/>
    <xf numFmtId="14" fontId="0" fillId="0" borderId="0" xfId="0" applyNumberFormat="1"/>
    <xf numFmtId="0" fontId="32" fillId="0" borderId="2" xfId="3" applyFont="1"/>
    <xf numFmtId="6" fontId="0" fillId="0" borderId="0" xfId="0" applyNumberFormat="1"/>
    <xf numFmtId="0" fontId="45" fillId="0" borderId="2" xfId="3" applyAlignment="1">
      <alignment horizontal="center"/>
    </xf>
    <xf numFmtId="0" fontId="32" fillId="0" borderId="0" xfId="3" applyFont="1" applyBorder="1" applyAlignment="1">
      <alignment horizontal="center"/>
    </xf>
    <xf numFmtId="20" fontId="45" fillId="0" borderId="2" xfId="3" applyNumberFormat="1"/>
    <xf numFmtId="167" fontId="45" fillId="0" borderId="2" xfId="1" applyNumberFormat="1" applyFont="1" applyFill="1" applyBorder="1"/>
    <xf numFmtId="165" fontId="42" fillId="0" borderId="2" xfId="2" applyNumberFormat="1" applyFont="1" applyFill="1" applyBorder="1"/>
    <xf numFmtId="165" fontId="45" fillId="0" borderId="2" xfId="2" applyNumberFormat="1" applyFont="1" applyFill="1" applyBorder="1"/>
    <xf numFmtId="14" fontId="0" fillId="0" borderId="12" xfId="0" applyNumberFormat="1" applyBorder="1"/>
    <xf numFmtId="16" fontId="0" fillId="0" borderId="12" xfId="0" applyNumberFormat="1" applyBorder="1"/>
    <xf numFmtId="1" fontId="45" fillId="0" borderId="12" xfId="3" applyNumberFormat="1" applyBorder="1" applyAlignment="1">
      <alignment horizontal="center"/>
    </xf>
    <xf numFmtId="6" fontId="0" fillId="0" borderId="2" xfId="0" applyNumberFormat="1" applyBorder="1"/>
    <xf numFmtId="0" fontId="0" fillId="0" borderId="2" xfId="0" applyBorder="1" applyAlignment="1">
      <alignment horizontal="center"/>
    </xf>
    <xf numFmtId="0" fontId="65" fillId="34" borderId="2" xfId="0" applyFont="1" applyFill="1" applyBorder="1" applyAlignment="1">
      <alignment vertical="center" wrapText="1"/>
    </xf>
    <xf numFmtId="166" fontId="45" fillId="0" borderId="0" xfId="3" applyNumberFormat="1" applyBorder="1"/>
    <xf numFmtId="0" fontId="30" fillId="0" borderId="2" xfId="3" applyFont="1"/>
    <xf numFmtId="0" fontId="29" fillId="0" borderId="2" xfId="3" applyFont="1"/>
    <xf numFmtId="0" fontId="45" fillId="0" borderId="0" xfId="3" applyBorder="1" applyAlignment="1">
      <alignment horizontal="center"/>
    </xf>
    <xf numFmtId="0" fontId="45" fillId="2" borderId="2" xfId="3" applyFill="1"/>
    <xf numFmtId="0" fontId="47" fillId="0" borderId="2" xfId="4" applyBorder="1"/>
    <xf numFmtId="0" fontId="34" fillId="35" borderId="2" xfId="3" applyFont="1" applyFill="1"/>
    <xf numFmtId="0" fontId="45" fillId="35" borderId="2" xfId="3" applyFill="1"/>
    <xf numFmtId="166" fontId="45" fillId="35" borderId="2" xfId="3" applyNumberFormat="1" applyFill="1"/>
    <xf numFmtId="165" fontId="45" fillId="35" borderId="2" xfId="2" applyNumberFormat="1" applyFont="1" applyFill="1" applyBorder="1"/>
    <xf numFmtId="0" fontId="47" fillId="35" borderId="0" xfId="4" applyFill="1" applyBorder="1"/>
    <xf numFmtId="14" fontId="45" fillId="35" borderId="0" xfId="3" applyNumberFormat="1" applyFill="1" applyBorder="1"/>
    <xf numFmtId="167" fontId="45" fillId="35" borderId="0" xfId="1" applyNumberFormat="1" applyFont="1" applyFill="1" applyBorder="1"/>
    <xf numFmtId="0" fontId="45" fillId="35" borderId="0" xfId="3" applyFill="1" applyBorder="1"/>
    <xf numFmtId="0" fontId="47" fillId="35" borderId="2" xfId="4" applyFill="1" applyBorder="1"/>
    <xf numFmtId="167" fontId="45" fillId="0" borderId="0" xfId="1" applyNumberFormat="1" applyFont="1" applyFill="1" applyBorder="1"/>
    <xf numFmtId="0" fontId="28" fillId="0" borderId="0" xfId="3" applyFont="1" applyBorder="1" applyAlignment="1">
      <alignment horizontal="center"/>
    </xf>
    <xf numFmtId="0" fontId="47" fillId="0" borderId="2" xfId="4" applyFill="1" applyBorder="1"/>
    <xf numFmtId="0" fontId="47" fillId="0" borderId="0" xfId="4" applyFill="1" applyBorder="1"/>
    <xf numFmtId="0" fontId="45" fillId="36" borderId="2" xfId="3" applyFill="1"/>
    <xf numFmtId="0" fontId="27" fillId="0" borderId="0" xfId="3" applyFont="1" applyBorder="1"/>
    <xf numFmtId="0" fontId="27" fillId="0" borderId="2" xfId="3" applyFont="1"/>
    <xf numFmtId="168" fontId="45" fillId="0" borderId="2" xfId="3" applyNumberFormat="1"/>
    <xf numFmtId="169" fontId="45" fillId="0" borderId="2" xfId="48" applyNumberFormat="1" applyFont="1" applyBorder="1"/>
    <xf numFmtId="169" fontId="0" fillId="0" borderId="2" xfId="48" applyNumberFormat="1" applyFont="1" applyBorder="1"/>
    <xf numFmtId="169" fontId="0" fillId="0" borderId="0" xfId="48" applyNumberFormat="1" applyFont="1" applyBorder="1"/>
    <xf numFmtId="169" fontId="45" fillId="0" borderId="0" xfId="48" applyNumberFormat="1" applyFont="1" applyBorder="1"/>
    <xf numFmtId="169" fontId="65" fillId="34" borderId="2" xfId="48" applyNumberFormat="1" applyFont="1" applyFill="1" applyBorder="1" applyAlignment="1">
      <alignment vertical="center" wrapText="1"/>
    </xf>
    <xf numFmtId="0" fontId="26" fillId="0" borderId="2" xfId="3" applyFont="1"/>
    <xf numFmtId="0" fontId="25" fillId="0" borderId="2" xfId="3" applyFont="1"/>
    <xf numFmtId="0" fontId="24" fillId="0" borderId="2" xfId="3" applyFont="1"/>
    <xf numFmtId="14" fontId="45" fillId="0" borderId="12" xfId="3" applyNumberFormat="1" applyBorder="1"/>
    <xf numFmtId="0" fontId="0" fillId="0" borderId="12" xfId="0" applyBorder="1"/>
    <xf numFmtId="167" fontId="45" fillId="0" borderId="14" xfId="1" applyNumberFormat="1" applyFont="1" applyBorder="1"/>
    <xf numFmtId="169" fontId="45" fillId="35" borderId="2" xfId="48" applyNumberFormat="1" applyFont="1" applyFill="1" applyBorder="1"/>
    <xf numFmtId="169" fontId="45" fillId="0" borderId="14" xfId="48" applyNumberFormat="1" applyFont="1" applyBorder="1"/>
    <xf numFmtId="0" fontId="23" fillId="0" borderId="2" xfId="3" applyFont="1"/>
    <xf numFmtId="0" fontId="22" fillId="0" borderId="2" xfId="3" applyFont="1"/>
    <xf numFmtId="1" fontId="22" fillId="0" borderId="2" xfId="3" applyNumberFormat="1" applyFont="1" applyAlignment="1">
      <alignment horizontal="center"/>
    </xf>
    <xf numFmtId="3" fontId="0" fillId="0" borderId="2" xfId="0" applyNumberFormat="1" applyBorder="1"/>
    <xf numFmtId="0" fontId="45" fillId="0" borderId="14" xfId="3" applyBorder="1" applyAlignment="1">
      <alignment horizontal="center"/>
    </xf>
    <xf numFmtId="0" fontId="21" fillId="0" borderId="2" xfId="3" applyFont="1"/>
    <xf numFmtId="0" fontId="26" fillId="0" borderId="2" xfId="3" applyFont="1" applyAlignment="1">
      <alignment horizontal="center"/>
    </xf>
    <xf numFmtId="0" fontId="20" fillId="0" borderId="2" xfId="3" applyFont="1"/>
    <xf numFmtId="0" fontId="20" fillId="0" borderId="0" xfId="3" applyFont="1" applyBorder="1"/>
    <xf numFmtId="14" fontId="66" fillId="34" borderId="2" xfId="0" applyNumberFormat="1" applyFont="1" applyFill="1" applyBorder="1" applyAlignment="1">
      <alignment horizontal="left" vertical="center" wrapText="1"/>
    </xf>
    <xf numFmtId="169" fontId="45" fillId="0" borderId="2" xfId="48" applyNumberFormat="1" applyFont="1" applyFill="1" applyBorder="1"/>
    <xf numFmtId="169" fontId="0" fillId="0" borderId="0" xfId="48" applyNumberFormat="1" applyFont="1" applyFill="1" applyBorder="1"/>
    <xf numFmtId="0" fontId="19" fillId="0" borderId="2" xfId="3" applyFont="1"/>
    <xf numFmtId="0" fontId="18" fillId="0" borderId="2" xfId="3" applyFont="1"/>
    <xf numFmtId="0" fontId="17" fillId="0" borderId="2" xfId="3" applyFont="1"/>
    <xf numFmtId="0" fontId="25" fillId="2" borderId="2" xfId="3" applyFont="1" applyFill="1"/>
    <xf numFmtId="6" fontId="0" fillId="2" borderId="2" xfId="0" applyNumberFormat="1" applyFill="1" applyBorder="1"/>
    <xf numFmtId="0" fontId="16" fillId="0" borderId="2" xfId="3" applyFont="1"/>
    <xf numFmtId="1" fontId="45" fillId="2" borderId="2" xfId="3" applyNumberFormat="1" applyFill="1"/>
    <xf numFmtId="1" fontId="45" fillId="35" borderId="2" xfId="3" applyNumberFormat="1" applyFill="1"/>
    <xf numFmtId="16" fontId="0" fillId="2" borderId="2" xfId="0" applyNumberFormat="1" applyFill="1" applyBorder="1"/>
    <xf numFmtId="0" fontId="0" fillId="2" borderId="2" xfId="0" applyFill="1" applyBorder="1"/>
    <xf numFmtId="0" fontId="0" fillId="0" borderId="14" xfId="0" applyBorder="1"/>
    <xf numFmtId="167" fontId="0" fillId="0" borderId="2" xfId="1" applyNumberFormat="1" applyFont="1" applyBorder="1"/>
    <xf numFmtId="167" fontId="0" fillId="0" borderId="0" xfId="1" applyNumberFormat="1" applyFont="1" applyBorder="1"/>
    <xf numFmtId="167" fontId="0" fillId="0" borderId="14" xfId="1" applyNumberFormat="1" applyFont="1" applyBorder="1"/>
    <xf numFmtId="167" fontId="65" fillId="34" borderId="2" xfId="1" applyNumberFormat="1" applyFont="1" applyFill="1" applyBorder="1" applyAlignment="1">
      <alignment vertical="center" wrapText="1"/>
    </xf>
    <xf numFmtId="49" fontId="45" fillId="0" borderId="2" xfId="3" applyNumberFormat="1"/>
    <xf numFmtId="49" fontId="45" fillId="0" borderId="0" xfId="3" applyNumberFormat="1" applyBorder="1"/>
    <xf numFmtId="49" fontId="0" fillId="0" borderId="2" xfId="0" applyNumberFormat="1" applyBorder="1"/>
    <xf numFmtId="0" fontId="15" fillId="0" borderId="2" xfId="3" applyFont="1"/>
    <xf numFmtId="167" fontId="46" fillId="0" borderId="0" xfId="1" applyNumberFormat="1" applyFont="1" applyBorder="1"/>
    <xf numFmtId="49" fontId="15" fillId="0" borderId="2" xfId="3" applyNumberFormat="1" applyFont="1"/>
    <xf numFmtId="49" fontId="46" fillId="0" borderId="2" xfId="0" applyNumberFormat="1" applyFont="1" applyBorder="1"/>
    <xf numFmtId="49" fontId="46" fillId="0" borderId="0" xfId="0" applyNumberFormat="1" applyFont="1"/>
    <xf numFmtId="0" fontId="14" fillId="0" borderId="2" xfId="3" applyFont="1"/>
    <xf numFmtId="0" fontId="0" fillId="35" borderId="2" xfId="0" applyFill="1" applyBorder="1"/>
    <xf numFmtId="169" fontId="0" fillId="0" borderId="2" xfId="48" applyNumberFormat="1" applyFont="1" applyFill="1" applyBorder="1"/>
    <xf numFmtId="49" fontId="15" fillId="0" borderId="0" xfId="3" applyNumberFormat="1" applyFont="1" applyBorder="1"/>
    <xf numFmtId="49" fontId="0" fillId="0" borderId="0" xfId="0" applyNumberFormat="1"/>
    <xf numFmtId="1" fontId="45" fillId="37" borderId="2" xfId="3" applyNumberFormat="1" applyFill="1"/>
    <xf numFmtId="164" fontId="45" fillId="0" borderId="2" xfId="3" applyNumberFormat="1" applyAlignment="1">
      <alignment horizontal="center"/>
    </xf>
    <xf numFmtId="20" fontId="0" fillId="0" borderId="2" xfId="0" applyNumberFormat="1" applyBorder="1" applyAlignment="1">
      <alignment horizontal="center"/>
    </xf>
    <xf numFmtId="14" fontId="28" fillId="0" borderId="0" xfId="3" applyNumberFormat="1" applyFont="1" applyBorder="1"/>
    <xf numFmtId="169" fontId="0" fillId="0" borderId="14" xfId="48" applyNumberFormat="1" applyFont="1" applyBorder="1"/>
    <xf numFmtId="1" fontId="66" fillId="34" borderId="0" xfId="0" applyNumberFormat="1" applyFont="1" applyFill="1" applyAlignment="1">
      <alignment horizontal="center" vertical="center" wrapText="1"/>
    </xf>
    <xf numFmtId="49" fontId="29" fillId="0" borderId="2" xfId="3" applyNumberFormat="1" applyFont="1"/>
    <xf numFmtId="1" fontId="13" fillId="37" borderId="2" xfId="3" applyNumberFormat="1" applyFont="1" applyFill="1"/>
    <xf numFmtId="0" fontId="13" fillId="0" borderId="2" xfId="3" applyFont="1"/>
    <xf numFmtId="167" fontId="0" fillId="0" borderId="0" xfId="1" applyNumberFormat="1" applyFont="1" applyFill="1" applyBorder="1"/>
    <xf numFmtId="20" fontId="20" fillId="0" borderId="2" xfId="3" applyNumberFormat="1" applyFont="1"/>
    <xf numFmtId="0" fontId="28" fillId="0" borderId="2" xfId="3" applyFont="1"/>
    <xf numFmtId="169" fontId="45" fillId="35" borderId="0" xfId="48" applyNumberFormat="1" applyFont="1" applyFill="1" applyBorder="1"/>
    <xf numFmtId="49" fontId="45" fillId="35" borderId="0" xfId="3" applyNumberFormat="1" applyFill="1" applyBorder="1"/>
    <xf numFmtId="1" fontId="66" fillId="34" borderId="2" xfId="0" applyNumberFormat="1" applyFont="1" applyFill="1" applyBorder="1" applyAlignment="1">
      <alignment horizontal="center" vertical="center" wrapText="1"/>
    </xf>
    <xf numFmtId="0" fontId="19" fillId="0" borderId="0" xfId="3" applyFont="1" applyBorder="1"/>
    <xf numFmtId="167" fontId="65" fillId="34" borderId="0" xfId="1" applyNumberFormat="1" applyFont="1" applyFill="1" applyBorder="1" applyAlignment="1">
      <alignment vertical="center" wrapText="1"/>
    </xf>
    <xf numFmtId="167" fontId="0" fillId="2" borderId="2" xfId="1" applyNumberFormat="1" applyFont="1" applyFill="1" applyBorder="1"/>
    <xf numFmtId="169" fontId="45" fillId="0" borderId="0" xfId="48" applyNumberFormat="1" applyFont="1" applyFill="1" applyBorder="1"/>
    <xf numFmtId="166" fontId="29" fillId="0" borderId="0" xfId="3" applyNumberFormat="1" applyFont="1" applyBorder="1"/>
    <xf numFmtId="0" fontId="68" fillId="0" borderId="2" xfId="0" applyFont="1" applyBorder="1" applyAlignment="1">
      <alignment horizontal="left" vertical="center" indent="1"/>
    </xf>
    <xf numFmtId="16" fontId="46" fillId="0" borderId="2" xfId="0" applyNumberFormat="1" applyFont="1" applyBorder="1"/>
    <xf numFmtId="0" fontId="46" fillId="0" borderId="14" xfId="0" applyFont="1" applyBorder="1"/>
    <xf numFmtId="0" fontId="12" fillId="0" borderId="2" xfId="3" applyFont="1"/>
    <xf numFmtId="0" fontId="12" fillId="0" borderId="0" xfId="3" applyFont="1" applyBorder="1"/>
    <xf numFmtId="0" fontId="11" fillId="0" borderId="2" xfId="3" applyFont="1"/>
    <xf numFmtId="0" fontId="10" fillId="0" borderId="2" xfId="3" applyFont="1"/>
    <xf numFmtId="14" fontId="45" fillId="35" borderId="12" xfId="3" applyNumberFormat="1" applyFill="1" applyBorder="1"/>
    <xf numFmtId="0" fontId="0" fillId="35" borderId="12" xfId="0" applyFill="1" applyBorder="1"/>
    <xf numFmtId="167" fontId="45" fillId="35" borderId="14" xfId="1" applyNumberFormat="1" applyFont="1" applyFill="1" applyBorder="1"/>
    <xf numFmtId="0" fontId="45" fillId="35" borderId="14" xfId="3" applyFill="1" applyBorder="1"/>
    <xf numFmtId="14" fontId="34" fillId="0" borderId="0" xfId="3" applyNumberFormat="1" applyFont="1" applyBorder="1"/>
    <xf numFmtId="167" fontId="0" fillId="0" borderId="13" xfId="1" applyNumberFormat="1" applyFont="1" applyBorder="1"/>
    <xf numFmtId="0" fontId="45" fillId="38" borderId="2" xfId="3" applyFill="1"/>
    <xf numFmtId="1" fontId="9" fillId="37" borderId="2" xfId="3" applyNumberFormat="1" applyFont="1" applyFill="1"/>
    <xf numFmtId="1" fontId="14" fillId="39" borderId="2" xfId="3" applyNumberFormat="1" applyFont="1" applyFill="1"/>
    <xf numFmtId="1" fontId="8" fillId="38" borderId="2" xfId="3" applyNumberFormat="1" applyFont="1" applyFill="1"/>
    <xf numFmtId="0" fontId="6" fillId="0" borderId="2" xfId="3" applyFont="1"/>
    <xf numFmtId="167" fontId="0" fillId="0" borderId="2" xfId="1" applyNumberFormat="1" applyFont="1" applyFill="1" applyBorder="1"/>
    <xf numFmtId="0" fontId="6" fillId="0" borderId="0" xfId="3" applyFont="1" applyBorder="1" applyAlignment="1">
      <alignment horizontal="center"/>
    </xf>
    <xf numFmtId="0" fontId="6" fillId="0" borderId="0" xfId="3" applyFont="1" applyBorder="1"/>
    <xf numFmtId="167" fontId="31" fillId="0" borderId="0" xfId="1" applyNumberFormat="1" applyFont="1" applyFill="1" applyBorder="1"/>
    <xf numFmtId="0" fontId="32" fillId="0" borderId="2" xfId="3" applyFont="1" applyAlignment="1">
      <alignment horizontal="center"/>
    </xf>
    <xf numFmtId="168" fontId="5" fillId="0" borderId="2" xfId="3" applyNumberFormat="1" applyFont="1"/>
    <xf numFmtId="0" fontId="4" fillId="0" borderId="2" xfId="3" applyFont="1"/>
    <xf numFmtId="0" fontId="3" fillId="0" borderId="2" xfId="3" applyFont="1"/>
    <xf numFmtId="0" fontId="1" fillId="0" borderId="2" xfId="3" applyFont="1"/>
    <xf numFmtId="6" fontId="46" fillId="0" borderId="2" xfId="0" applyNumberFormat="1" applyFont="1" applyBorder="1"/>
    <xf numFmtId="16" fontId="0" fillId="0" borderId="0" xfId="0" applyNumberFormat="1" applyBorder="1"/>
    <xf numFmtId="14" fontId="0" fillId="0" borderId="0" xfId="0" applyNumberFormat="1" applyBorder="1"/>
    <xf numFmtId="14" fontId="45" fillId="0" borderId="2" xfId="3" applyNumberFormat="1" applyBorder="1"/>
    <xf numFmtId="1" fontId="45" fillId="0" borderId="2" xfId="3" applyNumberFormat="1" applyBorder="1" applyAlignment="1">
      <alignment horizontal="center"/>
    </xf>
    <xf numFmtId="0" fontId="0" fillId="0" borderId="0" xfId="0" applyBorder="1"/>
    <xf numFmtId="0" fontId="46" fillId="0" borderId="0" xfId="0" applyFont="1" applyBorder="1"/>
    <xf numFmtId="1" fontId="66" fillId="34" borderId="0" xfId="0" applyNumberFormat="1" applyFont="1" applyFill="1" applyBorder="1" applyAlignment="1">
      <alignment horizontal="center" vertical="center" wrapText="1"/>
    </xf>
    <xf numFmtId="6" fontId="0" fillId="0" borderId="0" xfId="0" applyNumberFormat="1" applyBorder="1"/>
    <xf numFmtId="0" fontId="19" fillId="0" borderId="2" xfId="3" applyFont="1" applyBorder="1"/>
    <xf numFmtId="0" fontId="4" fillId="0" borderId="0" xfId="3" applyFont="1" applyBorder="1"/>
    <xf numFmtId="0" fontId="12" fillId="0" borderId="2" xfId="3" applyFont="1" applyBorder="1"/>
    <xf numFmtId="3" fontId="0" fillId="0" borderId="0" xfId="0" applyNumberFormat="1" applyBorder="1"/>
    <xf numFmtId="0" fontId="45" fillId="0" borderId="2" xfId="3" applyBorder="1" applyAlignment="1">
      <alignment horizontal="center"/>
    </xf>
    <xf numFmtId="0" fontId="0" fillId="0" borderId="0" xfId="0" applyBorder="1" applyAlignment="1">
      <alignment horizontal="center"/>
    </xf>
    <xf numFmtId="0" fontId="32" fillId="0" borderId="2" xfId="3" applyFont="1" applyBorder="1" applyAlignment="1">
      <alignment horizontal="center"/>
    </xf>
    <xf numFmtId="0" fontId="45" fillId="0" borderId="2" xfId="3" applyBorder="1"/>
    <xf numFmtId="0" fontId="45" fillId="0" borderId="14" xfId="3" applyBorder="1"/>
    <xf numFmtId="0" fontId="6" fillId="0" borderId="2" xfId="3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8" fillId="0" borderId="2" xfId="3" applyFont="1" applyBorder="1" applyAlignment="1">
      <alignment horizontal="center"/>
    </xf>
    <xf numFmtId="49" fontId="45" fillId="0" borderId="2" xfId="3" applyNumberFormat="1" applyBorder="1"/>
    <xf numFmtId="49" fontId="46" fillId="0" borderId="0" xfId="0" applyNumberFormat="1" applyFont="1" applyBorder="1"/>
    <xf numFmtId="49" fontId="15" fillId="0" borderId="2" xfId="3" applyNumberFormat="1" applyFont="1" applyBorder="1"/>
    <xf numFmtId="166" fontId="45" fillId="0" borderId="2" xfId="3" applyNumberFormat="1" applyBorder="1"/>
    <xf numFmtId="49" fontId="0" fillId="0" borderId="0" xfId="0" applyNumberFormat="1" applyBorder="1"/>
    <xf numFmtId="1" fontId="45" fillId="0" borderId="2" xfId="3" applyNumberFormat="1" applyBorder="1"/>
    <xf numFmtId="1" fontId="13" fillId="37" borderId="2" xfId="3" applyNumberFormat="1" applyFont="1" applyFill="1" applyBorder="1"/>
    <xf numFmtId="0" fontId="45" fillId="35" borderId="2" xfId="3" applyFill="1" applyBorder="1"/>
    <xf numFmtId="0" fontId="20" fillId="0" borderId="2" xfId="3" applyFont="1" applyBorder="1"/>
    <xf numFmtId="0" fontId="2" fillId="0" borderId="0" xfId="3" applyFont="1" applyBorder="1"/>
    <xf numFmtId="0" fontId="27" fillId="0" borderId="2" xfId="3" applyFont="1" applyBorder="1"/>
    <xf numFmtId="0" fontId="6" fillId="0" borderId="2" xfId="3" applyFont="1" applyBorder="1"/>
    <xf numFmtId="0" fontId="24" fillId="0" borderId="0" xfId="3" applyFont="1" applyBorder="1"/>
    <xf numFmtId="14" fontId="28" fillId="0" borderId="2" xfId="3" applyNumberFormat="1" applyFont="1" applyBorder="1"/>
    <xf numFmtId="14" fontId="66" fillId="34" borderId="0" xfId="0" applyNumberFormat="1" applyFont="1" applyFill="1" applyBorder="1" applyAlignment="1">
      <alignment horizontal="left" vertical="center" wrapText="1"/>
    </xf>
    <xf numFmtId="14" fontId="34" fillId="0" borderId="2" xfId="3" applyNumberFormat="1" applyFont="1" applyBorder="1"/>
    <xf numFmtId="16" fontId="0" fillId="2" borderId="0" xfId="0" applyNumberFormat="1" applyFill="1" applyBorder="1"/>
    <xf numFmtId="1" fontId="45" fillId="2" borderId="2" xfId="3" applyNumberFormat="1" applyFill="1" applyBorder="1" applyAlignment="1">
      <alignment horizontal="center"/>
    </xf>
    <xf numFmtId="1" fontId="0" fillId="0" borderId="0" xfId="0" applyNumberFormat="1" applyBorder="1"/>
    <xf numFmtId="0" fontId="0" fillId="2" borderId="0" xfId="0" applyFill="1" applyBorder="1"/>
    <xf numFmtId="0" fontId="4" fillId="0" borderId="2" xfId="3" applyFont="1" applyBorder="1"/>
    <xf numFmtId="167" fontId="0" fillId="2" borderId="0" xfId="1" applyNumberFormat="1" applyFont="1" applyFill="1" applyBorder="1"/>
    <xf numFmtId="0" fontId="34" fillId="0" borderId="2" xfId="3" applyFont="1" applyBorder="1"/>
    <xf numFmtId="0" fontId="28" fillId="0" borderId="14" xfId="3" applyFont="1" applyBorder="1" applyAlignment="1">
      <alignment horizontal="center"/>
    </xf>
    <xf numFmtId="166" fontId="29" fillId="0" borderId="2" xfId="3" applyNumberFormat="1" applyFont="1" applyBorder="1"/>
    <xf numFmtId="49" fontId="45" fillId="35" borderId="2" xfId="3" applyNumberFormat="1" applyFill="1" applyBorder="1"/>
    <xf numFmtId="49" fontId="7" fillId="0" borderId="2" xfId="3" applyNumberFormat="1" applyFont="1" applyBorder="1"/>
    <xf numFmtId="1" fontId="9" fillId="37" borderId="0" xfId="3" applyNumberFormat="1" applyFont="1" applyFill="1" applyBorder="1"/>
    <xf numFmtId="0" fontId="17" fillId="0" borderId="0" xfId="3" applyFont="1" applyBorder="1"/>
    <xf numFmtId="0" fontId="45" fillId="2" borderId="0" xfId="3" applyFill="1" applyBorder="1"/>
    <xf numFmtId="0" fontId="2" fillId="0" borderId="2" xfId="3" applyFont="1" applyBorder="1"/>
    <xf numFmtId="0" fontId="21" fillId="0" borderId="0" xfId="3" applyFont="1" applyBorder="1"/>
    <xf numFmtId="0" fontId="11" fillId="0" borderId="0" xfId="3" applyFont="1" applyBorder="1"/>
    <xf numFmtId="167" fontId="65" fillId="34" borderId="14" xfId="1" applyNumberFormat="1" applyFont="1" applyFill="1" applyBorder="1" applyAlignment="1">
      <alignment vertical="center" wrapText="1"/>
    </xf>
    <xf numFmtId="3" fontId="0" fillId="0" borderId="14" xfId="0" applyNumberFormat="1" applyBorder="1"/>
    <xf numFmtId="0" fontId="65" fillId="34" borderId="14" xfId="0" applyFont="1" applyFill="1" applyBorder="1" applyAlignment="1">
      <alignment vertical="center" wrapText="1"/>
    </xf>
    <xf numFmtId="0" fontId="6" fillId="0" borderId="13" xfId="3" applyFont="1" applyBorder="1" applyAlignment="1">
      <alignment horizontal="center"/>
    </xf>
    <xf numFmtId="0" fontId="20" fillId="0" borderId="2" xfId="3" applyFont="1" applyBorder="1" applyAlignment="1">
      <alignment horizontal="center"/>
    </xf>
    <xf numFmtId="49" fontId="29" fillId="0" borderId="0" xfId="3" applyNumberFormat="1" applyFont="1" applyBorder="1"/>
    <xf numFmtId="1" fontId="9" fillId="37" borderId="2" xfId="3" applyNumberFormat="1" applyFont="1" applyFill="1" applyBorder="1"/>
    <xf numFmtId="0" fontId="17" fillId="0" borderId="2" xfId="3" applyFont="1" applyBorder="1"/>
    <xf numFmtId="0" fontId="24" fillId="0" borderId="2" xfId="3" applyFont="1" applyBorder="1"/>
    <xf numFmtId="0" fontId="22" fillId="0" borderId="0" xfId="3" applyFont="1" applyBorder="1"/>
    <xf numFmtId="0" fontId="23" fillId="0" borderId="0" xfId="3" applyFont="1" applyBorder="1"/>
  </cellXfs>
  <cellStyles count="49">
    <cellStyle name="20% - Accent1 2" xfId="24" xr:uid="{FC8D4D3C-8F6D-48E2-B46D-4BBFC8AA0DE3}"/>
    <cellStyle name="20% - Accent2 2" xfId="28" xr:uid="{13D93E97-ED93-4A4C-AE6E-7DF5525F300C}"/>
    <cellStyle name="20% - Accent3 2" xfId="32" xr:uid="{5424EF28-B8A8-4351-864E-4AD16A705724}"/>
    <cellStyle name="20% - Accent4 2" xfId="36" xr:uid="{7B7EB361-302C-4EC2-8CDD-010A19F57D08}"/>
    <cellStyle name="20% - Accent5 2" xfId="40" xr:uid="{EEB42FE5-6B46-45D7-AA00-4A861CBFC09A}"/>
    <cellStyle name="20% - Accent6 2" xfId="44" xr:uid="{7DFD0DAB-3BE4-44C6-A91A-87A7679912F3}"/>
    <cellStyle name="40% - Accent1 2" xfId="25" xr:uid="{19EE0DF9-59FD-4B21-8ED9-BBE665ED6EFF}"/>
    <cellStyle name="40% - Accent2 2" xfId="29" xr:uid="{BCB9B1A8-2855-42F9-BC88-5222A3266663}"/>
    <cellStyle name="40% - Accent3 2" xfId="33" xr:uid="{0C498158-687D-4EAF-B3BB-DA7465AD924C}"/>
    <cellStyle name="40% - Accent4 2" xfId="37" xr:uid="{12D97EB9-4DDE-4D8E-8096-6287DCCF161B}"/>
    <cellStyle name="40% - Accent5 2" xfId="41" xr:uid="{C29DFD89-AF37-4E4B-93C0-286A0499DE0C}"/>
    <cellStyle name="40% - Accent6 2" xfId="45" xr:uid="{38DAC0AB-7123-4798-85D9-9B52AA124A04}"/>
    <cellStyle name="60% - Accent1 2" xfId="26" xr:uid="{F44CF299-0D55-48A7-ABAF-DCD4BB86128B}"/>
    <cellStyle name="60% - Accent2 2" xfId="30" xr:uid="{20134675-A1EE-405B-8E39-8BDAC325458F}"/>
    <cellStyle name="60% - Accent3 2" xfId="34" xr:uid="{93E4E27E-0BB1-466F-8389-B21530D1DAFE}"/>
    <cellStyle name="60% - Accent4 2" xfId="38" xr:uid="{4CFB4FF4-20D8-4788-9D53-E5AEF8E7B25A}"/>
    <cellStyle name="60% - Accent5 2" xfId="42" xr:uid="{0F9609F7-18AD-4CF1-81BE-0AF192893CFE}"/>
    <cellStyle name="60% - Accent6 2" xfId="46" xr:uid="{E1AD5CF9-0275-4CFD-B41F-31F7E333719F}"/>
    <cellStyle name="Accent1 2" xfId="23" xr:uid="{7D7247A4-3CDA-41AE-B103-9389F2832F53}"/>
    <cellStyle name="Accent2 2" xfId="27" xr:uid="{9EDE5C74-3B8F-4D37-A3B7-D210311A5167}"/>
    <cellStyle name="Accent3 2" xfId="31" xr:uid="{AF8EE9B7-E1BD-46E5-8628-DBA324742736}"/>
    <cellStyle name="Accent4 2" xfId="35" xr:uid="{F1CCFD72-6DC5-448D-ABDF-6A40EA090A0B}"/>
    <cellStyle name="Accent5 2" xfId="39" xr:uid="{163B7C4C-6DF3-4BF4-AA0C-896C8DB88E39}"/>
    <cellStyle name="Accent6 2" xfId="43" xr:uid="{B2CCEB34-5420-4B6A-BC6E-3C614C46E5F1}"/>
    <cellStyle name="Bad 2" xfId="18" xr:uid="{48D06DF6-463E-4B31-9776-5CAF03452DD0}"/>
    <cellStyle name="Calculation" xfId="10" builtinId="22" customBuiltin="1"/>
    <cellStyle name="Check Cell" xfId="12" builtinId="23" customBuiltin="1"/>
    <cellStyle name="Comma" xfId="48" builtinId="3"/>
    <cellStyle name="Currency" xfId="1" builtinId="4"/>
    <cellStyle name="Explanatory Text 2" xfId="22" xr:uid="{01FD196C-8819-4686-ABB0-52BF2134CF8B}"/>
    <cellStyle name="Good 2" xfId="17" xr:uid="{172099D3-4868-423C-9F91-EB9DDE50CB68}"/>
    <cellStyle name="Heading 1" xfId="5" builtinId="16" customBuiltin="1"/>
    <cellStyle name="Heading 2" xfId="6" builtinId="17" customBuiltin="1"/>
    <cellStyle name="Heading 3" xfId="7" builtinId="18" customBuiltin="1"/>
    <cellStyle name="Heading 4 2" xfId="16" xr:uid="{3D768F0F-C09A-4E34-8A2C-73EF3B2A8D58}"/>
    <cellStyle name="Hyperlink" xfId="4" builtinId="8"/>
    <cellStyle name="Input" xfId="8" builtinId="20" customBuiltin="1"/>
    <cellStyle name="Linked Cell" xfId="11" builtinId="24" customBuiltin="1"/>
    <cellStyle name="Neutral 2" xfId="19" xr:uid="{F13D196B-2A97-422A-9C34-3D2039A93A6C}"/>
    <cellStyle name="Normal" xfId="0" builtinId="0"/>
    <cellStyle name="Normal 2" xfId="3" xr:uid="{66D9B74C-29E5-43B9-A8B8-B805E86D9D52}"/>
    <cellStyle name="Normal 3" xfId="14" xr:uid="{065564AC-3A52-4C3C-9A6E-0AF70DA328A1}"/>
    <cellStyle name="Normal 4" xfId="47" xr:uid="{8CAE68C9-CE67-45BE-BA4F-635333E0C8E2}"/>
    <cellStyle name="Note 2" xfId="21" xr:uid="{C3E49C29-426A-4740-A138-983C970DC99E}"/>
    <cellStyle name="Output" xfId="9" builtinId="21" customBuiltin="1"/>
    <cellStyle name="Percent" xfId="2" builtinId="5"/>
    <cellStyle name="Title 2" xfId="15" xr:uid="{64682A6C-7691-4D19-BA4F-7F82EB5C19A7}"/>
    <cellStyle name="Total" xfId="13" builtinId="25" customBuiltin="1"/>
    <cellStyle name="Warning Text 2" xfId="20" xr:uid="{8B4FF02E-D1BE-40FE-8A56-0F9C36632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sop.gg-global-cdn.com/wsop/2ae8b531-6bbc-453f-a211-5bae2385aec4.pdf" TargetMode="External"/><Relationship Id="rId21" Type="http://schemas.openxmlformats.org/officeDocument/2006/relationships/hyperlink" Target="https://wsop.gg-global-cdn.com/wsop/2ae8b531-6bbc-453f-a211-5bae2385aec4.pdf" TargetMode="External"/><Relationship Id="rId63" Type="http://schemas.openxmlformats.org/officeDocument/2006/relationships/hyperlink" Target="https://wsop.gg-global-cdn.com/wsop/2ae8b531-6bbc-453f-a211-5bae2385aec4.pdf" TargetMode="External"/><Relationship Id="rId159" Type="http://schemas.openxmlformats.org/officeDocument/2006/relationships/hyperlink" Target="https://wsop.gg-global-cdn.com/wsop/cc005520-f61f-427d-955f-f92a9e4c1051.pdf" TargetMode="External"/><Relationship Id="rId170" Type="http://schemas.openxmlformats.org/officeDocument/2006/relationships/hyperlink" Target="https://wsop.gg-global-cdn.com/wsop/cc005520-f61f-427d-955f-f92a9e4c1051.pdf" TargetMode="External"/><Relationship Id="rId191" Type="http://schemas.openxmlformats.org/officeDocument/2006/relationships/hyperlink" Target="https://wsop.gg-global-cdn.com/wsop/cc005520-f61f-427d-955f-f92a9e4c1051.pdf" TargetMode="External"/><Relationship Id="rId205" Type="http://schemas.openxmlformats.org/officeDocument/2006/relationships/hyperlink" Target="https://drive.google.com/file/d/1RZO8p5ZuXDbTinIFAEY3zLoJuALLQh05/view?usp=drive_link" TargetMode="External"/><Relationship Id="rId226" Type="http://schemas.openxmlformats.org/officeDocument/2006/relationships/hyperlink" Target="https://t.co/6VPbbn23ge" TargetMode="External"/><Relationship Id="rId247" Type="http://schemas.openxmlformats.org/officeDocument/2006/relationships/hyperlink" Target="https://t.co/6VPbbn23ge" TargetMode="External"/><Relationship Id="rId107" Type="http://schemas.openxmlformats.org/officeDocument/2006/relationships/hyperlink" Target="https://wsop.gg-global-cdn.com/wsop/2ae8b531-6bbc-453f-a211-5bae2385aec4.pdf" TargetMode="External"/><Relationship Id="rId11" Type="http://schemas.openxmlformats.org/officeDocument/2006/relationships/hyperlink" Target="https://wsop.gg-global-cdn.com/wsop/2ae8b531-6bbc-453f-a211-5bae2385aec4.pdf" TargetMode="External"/><Relationship Id="rId32" Type="http://schemas.openxmlformats.org/officeDocument/2006/relationships/hyperlink" Target="https://wsop.gg-global-cdn.com/wsop/2ae8b531-6bbc-453f-a211-5bae2385aec4.pdf" TargetMode="External"/><Relationship Id="rId53" Type="http://schemas.openxmlformats.org/officeDocument/2006/relationships/hyperlink" Target="https://wsop.gg-global-cdn.com/wsop/2ae8b531-6bbc-453f-a211-5bae2385aec4.pdf" TargetMode="External"/><Relationship Id="rId74" Type="http://schemas.openxmlformats.org/officeDocument/2006/relationships/hyperlink" Target="https://wsop.gg-global-cdn.com/wsop/2ae8b531-6bbc-453f-a211-5bae2385aec4.pdf" TargetMode="External"/><Relationship Id="rId128" Type="http://schemas.openxmlformats.org/officeDocument/2006/relationships/hyperlink" Target="https://wsop.gg-global-cdn.com/wsop/2ae8b531-6bbc-453f-a211-5bae2385aec4.pdf" TargetMode="External"/><Relationship Id="rId149" Type="http://schemas.openxmlformats.org/officeDocument/2006/relationships/hyperlink" Target="https://wsop.gg-global-cdn.com/wsop/cc005520-f61f-427d-955f-f92a9e4c1051.pdf" TargetMode="External"/><Relationship Id="rId5" Type="http://schemas.openxmlformats.org/officeDocument/2006/relationships/hyperlink" Target="https://wsop.gg-global-cdn.com/wsop/2ae8b531-6bbc-453f-a211-5bae2385aec4.pdf" TargetMode="External"/><Relationship Id="rId95" Type="http://schemas.openxmlformats.org/officeDocument/2006/relationships/hyperlink" Target="https://wsop.gg-global-cdn.com/wsop/2ae8b531-6bbc-453f-a211-5bae2385aec4.pdf" TargetMode="External"/><Relationship Id="rId160" Type="http://schemas.openxmlformats.org/officeDocument/2006/relationships/hyperlink" Target="https://wsop.gg-global-cdn.com/wsop/cc005520-f61f-427d-955f-f92a9e4c1051.pdf" TargetMode="External"/><Relationship Id="rId181" Type="http://schemas.openxmlformats.org/officeDocument/2006/relationships/hyperlink" Target="https://wsop.gg-global-cdn.com/wsop/cc005520-f61f-427d-955f-f92a9e4c1051.pdf" TargetMode="External"/><Relationship Id="rId216" Type="http://schemas.openxmlformats.org/officeDocument/2006/relationships/hyperlink" Target="https://mc-d7f7cc1f-1a7c-4fc5-b531-6087-cdn-endpoint.azureedge.net/-/media/project/boyd/property/lasvegas/orleans/pdf/2026_oso_flyer_and_structures.pdf?rev=8cc43a895dda4eb1b3ff77b2dcf4bddb" TargetMode="External"/><Relationship Id="rId237" Type="http://schemas.openxmlformats.org/officeDocument/2006/relationships/hyperlink" Target="https://t.co/6VPbbn23ge" TargetMode="External"/><Relationship Id="rId258" Type="http://schemas.openxmlformats.org/officeDocument/2006/relationships/hyperlink" Target="https://www.venetianlasvegas.com/content/dam/vlvweb/casino/poker/deepstack/2026/structures/dscps_2026-structure_32.pdf" TargetMode="External"/><Relationship Id="rId22" Type="http://schemas.openxmlformats.org/officeDocument/2006/relationships/hyperlink" Target="https://wsop.gg-global-cdn.com/wsop/2ae8b531-6bbc-453f-a211-5bae2385aec4.pdf" TargetMode="External"/><Relationship Id="rId43" Type="http://schemas.openxmlformats.org/officeDocument/2006/relationships/hyperlink" Target="https://wsop.gg-global-cdn.com/wsop/2ae8b531-6bbc-453f-a211-5bae2385aec4.pdf" TargetMode="External"/><Relationship Id="rId64" Type="http://schemas.openxmlformats.org/officeDocument/2006/relationships/hyperlink" Target="https://wsop.gg-global-cdn.com/wsop/2ae8b531-6bbc-453f-a211-5bae2385aec4.pdf" TargetMode="External"/><Relationship Id="rId118" Type="http://schemas.openxmlformats.org/officeDocument/2006/relationships/hyperlink" Target="https://wsop.gg-global-cdn.com/wsop/2ae8b531-6bbc-453f-a211-5bae2385aec4.pdf" TargetMode="External"/><Relationship Id="rId139" Type="http://schemas.openxmlformats.org/officeDocument/2006/relationships/hyperlink" Target="https://wsop.gg-global-cdn.com/wsop/2ae8b531-6bbc-453f-a211-5bae2385aec4.pdf" TargetMode="External"/><Relationship Id="rId85" Type="http://schemas.openxmlformats.org/officeDocument/2006/relationships/hyperlink" Target="https://wsop.gg-global-cdn.com/wsop/2ae8b531-6bbc-453f-a211-5bae2385aec4.pdf" TargetMode="External"/><Relationship Id="rId150" Type="http://schemas.openxmlformats.org/officeDocument/2006/relationships/hyperlink" Target="https://wsop.gg-global-cdn.com/wsop/cc005520-f61f-427d-955f-f92a9e4c1051.pdf" TargetMode="External"/><Relationship Id="rId171" Type="http://schemas.openxmlformats.org/officeDocument/2006/relationships/hyperlink" Target="https://wsop.gg-global-cdn.com/wsop/cc005520-f61f-427d-955f-f92a9e4c1051.pdf" TargetMode="External"/><Relationship Id="rId192" Type="http://schemas.openxmlformats.org/officeDocument/2006/relationships/hyperlink" Target="https://wsop.gg-global-cdn.com/wsop/cc005520-f61f-427d-955f-f92a9e4c1051.pdf" TargetMode="External"/><Relationship Id="rId206" Type="http://schemas.openxmlformats.org/officeDocument/2006/relationships/hyperlink" Target="https://www.venetianlasvegas.com/content/dam/vlvweb/casino/poker/deepstack/2026/structures/dscps_2026-structure_3.pdf" TargetMode="External"/><Relationship Id="rId227" Type="http://schemas.openxmlformats.org/officeDocument/2006/relationships/hyperlink" Target="https://t.co/6VPbbn23ge" TargetMode="External"/><Relationship Id="rId248" Type="http://schemas.openxmlformats.org/officeDocument/2006/relationships/hyperlink" Target="https://t.co/6VPbbn23ge" TargetMode="External"/><Relationship Id="rId12" Type="http://schemas.openxmlformats.org/officeDocument/2006/relationships/hyperlink" Target="https://wsop.gg-global-cdn.com/wsop/2ae8b531-6bbc-453f-a211-5bae2385aec4.pdf" TargetMode="External"/><Relationship Id="rId33" Type="http://schemas.openxmlformats.org/officeDocument/2006/relationships/hyperlink" Target="https://wsop.gg-global-cdn.com/wsop/2ae8b531-6bbc-453f-a211-5bae2385aec4.pdf" TargetMode="External"/><Relationship Id="rId108" Type="http://schemas.openxmlformats.org/officeDocument/2006/relationships/hyperlink" Target="https://wsop.gg-global-cdn.com/wsop/2ae8b531-6bbc-453f-a211-5bae2385aec4.pdf" TargetMode="External"/><Relationship Id="rId129" Type="http://schemas.openxmlformats.org/officeDocument/2006/relationships/hyperlink" Target="https://wsop.gg-global-cdn.com/wsop/2ae8b531-6bbc-453f-a211-5bae2385aec4.pdf" TargetMode="External"/><Relationship Id="rId54" Type="http://schemas.openxmlformats.org/officeDocument/2006/relationships/hyperlink" Target="https://wsop.gg-global-cdn.com/wsop/2ae8b531-6bbc-453f-a211-5bae2385aec4.pdf" TargetMode="External"/><Relationship Id="rId75" Type="http://schemas.openxmlformats.org/officeDocument/2006/relationships/hyperlink" Target="https://wsop.gg-global-cdn.com/wsop/2ae8b531-6bbc-453f-a211-5bae2385aec4.pdf" TargetMode="External"/><Relationship Id="rId96" Type="http://schemas.openxmlformats.org/officeDocument/2006/relationships/hyperlink" Target="https://wsop.gg-global-cdn.com/wsop/2ae8b531-6bbc-453f-a211-5bae2385aec4.pdf" TargetMode="External"/><Relationship Id="rId140" Type="http://schemas.openxmlformats.org/officeDocument/2006/relationships/hyperlink" Target="https://wsop.gg-global-cdn.com/wsop/2ae8b531-6bbc-453f-a211-5bae2385aec4.pdf" TargetMode="External"/><Relationship Id="rId161" Type="http://schemas.openxmlformats.org/officeDocument/2006/relationships/hyperlink" Target="https://wsop.gg-global-cdn.com/wsop/cc005520-f61f-427d-955f-f92a9e4c1051.pdf" TargetMode="External"/><Relationship Id="rId182" Type="http://schemas.openxmlformats.org/officeDocument/2006/relationships/hyperlink" Target="https://wsop.gg-global-cdn.com/wsop/cc005520-f61f-427d-955f-f92a9e4c1051.pdf" TargetMode="External"/><Relationship Id="rId217" Type="http://schemas.openxmlformats.org/officeDocument/2006/relationships/hyperlink" Target="https://www.venetianlasvegas.com/content/dam/vlvweb/casino/poker/deepstack/2026/structures/dscps_2026-structure_43.pdf" TargetMode="External"/><Relationship Id="rId6" Type="http://schemas.openxmlformats.org/officeDocument/2006/relationships/hyperlink" Target="https://wsop.gg-global-cdn.com/wsop/2ae8b531-6bbc-453f-a211-5bae2385aec4.pdf" TargetMode="External"/><Relationship Id="rId238" Type="http://schemas.openxmlformats.org/officeDocument/2006/relationships/hyperlink" Target="https://t.co/6VPbbn23ge" TargetMode="External"/><Relationship Id="rId259" Type="http://schemas.openxmlformats.org/officeDocument/2006/relationships/hyperlink" Target="https://www.venetianlasvegas.com/content/dam/vlvweb/casino/poker/deepstack/2026/structures/dscps_2026-structure_32.pdf" TargetMode="External"/><Relationship Id="rId23" Type="http://schemas.openxmlformats.org/officeDocument/2006/relationships/hyperlink" Target="https://wsop.gg-global-cdn.com/wsop/2ae8b531-6bbc-453f-a211-5bae2385aec4.pdf" TargetMode="External"/><Relationship Id="rId119" Type="http://schemas.openxmlformats.org/officeDocument/2006/relationships/hyperlink" Target="https://wsop.gg-global-cdn.com/wsop/2ae8b531-6bbc-453f-a211-5bae2385aec4.pdf" TargetMode="External"/><Relationship Id="rId44" Type="http://schemas.openxmlformats.org/officeDocument/2006/relationships/hyperlink" Target="https://wsop.gg-global-cdn.com/wsop/2ae8b531-6bbc-453f-a211-5bae2385aec4.pdf" TargetMode="External"/><Relationship Id="rId65" Type="http://schemas.openxmlformats.org/officeDocument/2006/relationships/hyperlink" Target="https://wsop.gg-global-cdn.com/wsop/2ae8b531-6bbc-453f-a211-5bae2385aec4.pdf" TargetMode="External"/><Relationship Id="rId86" Type="http://schemas.openxmlformats.org/officeDocument/2006/relationships/hyperlink" Target="https://wsop.gg-global-cdn.com/wsop/2ae8b531-6bbc-453f-a211-5bae2385aec4.pdf" TargetMode="External"/><Relationship Id="rId130" Type="http://schemas.openxmlformats.org/officeDocument/2006/relationships/hyperlink" Target="https://wsop.gg-global-cdn.com/wsop/2ae8b531-6bbc-453f-a211-5bae2385aec4.pdf" TargetMode="External"/><Relationship Id="rId151" Type="http://schemas.openxmlformats.org/officeDocument/2006/relationships/hyperlink" Target="https://wsop.gg-global-cdn.com/wsop/cc005520-f61f-427d-955f-f92a9e4c1051.pdf" TargetMode="External"/><Relationship Id="rId172" Type="http://schemas.openxmlformats.org/officeDocument/2006/relationships/hyperlink" Target="https://wsop.gg-global-cdn.com/wsop/cc005520-f61f-427d-955f-f92a9e4c1051.pdf" TargetMode="External"/><Relationship Id="rId193" Type="http://schemas.openxmlformats.org/officeDocument/2006/relationships/hyperlink" Target="https://wsop.gg-global-cdn.com/wsop/cc005520-f61f-427d-955f-f92a9e4c1051.pdf" TargetMode="External"/><Relationship Id="rId207" Type="http://schemas.openxmlformats.org/officeDocument/2006/relationships/hyperlink" Target="https://www.venetianlasvegas.com/content/dam/vlvweb/casino/poker/deepstack/2026/structures/dscps_2026-structure_3.pdf" TargetMode="External"/><Relationship Id="rId228" Type="http://schemas.openxmlformats.org/officeDocument/2006/relationships/hyperlink" Target="https://t.co/6VPbbn23ge" TargetMode="External"/><Relationship Id="rId249" Type="http://schemas.openxmlformats.org/officeDocument/2006/relationships/hyperlink" Target="https://t.co/6VPbbn23ge" TargetMode="External"/><Relationship Id="rId13" Type="http://schemas.openxmlformats.org/officeDocument/2006/relationships/hyperlink" Target="https://wsop.gg-global-cdn.com/wsop/2ae8b531-6bbc-453f-a211-5bae2385aec4.pdf" TargetMode="External"/><Relationship Id="rId109" Type="http://schemas.openxmlformats.org/officeDocument/2006/relationships/hyperlink" Target="https://wsop.gg-global-cdn.com/wsop/2ae8b531-6bbc-453f-a211-5bae2385aec4.pdf" TargetMode="External"/><Relationship Id="rId260" Type="http://schemas.openxmlformats.org/officeDocument/2006/relationships/hyperlink" Target="https://www.venetianlasvegas.com/content/dam/vlvweb/casino/poker/deepstack/2026/structures/dscps_2026-structure_35.pdf" TargetMode="External"/><Relationship Id="rId34" Type="http://schemas.openxmlformats.org/officeDocument/2006/relationships/hyperlink" Target="https://wsop.gg-global-cdn.com/wsop/2ae8b531-6bbc-453f-a211-5bae2385aec4.pdf" TargetMode="External"/><Relationship Id="rId55" Type="http://schemas.openxmlformats.org/officeDocument/2006/relationships/hyperlink" Target="https://wsop.gg-global-cdn.com/wsop/2ae8b531-6bbc-453f-a211-5bae2385aec4.pdf" TargetMode="External"/><Relationship Id="rId76" Type="http://schemas.openxmlformats.org/officeDocument/2006/relationships/hyperlink" Target="https://wsop.gg-global-cdn.com/wsop/2ae8b531-6bbc-453f-a211-5bae2385aec4.pdf" TargetMode="External"/><Relationship Id="rId97" Type="http://schemas.openxmlformats.org/officeDocument/2006/relationships/hyperlink" Target="https://wsop.gg-global-cdn.com/wsop/2ae8b531-6bbc-453f-a211-5bae2385aec4.pdf" TargetMode="External"/><Relationship Id="rId120" Type="http://schemas.openxmlformats.org/officeDocument/2006/relationships/hyperlink" Target="https://wsop.gg-global-cdn.com/wsop/2ae8b531-6bbc-453f-a211-5bae2385aec4.pdf" TargetMode="External"/><Relationship Id="rId141" Type="http://schemas.openxmlformats.org/officeDocument/2006/relationships/hyperlink" Target="https://wsop.gg-global-cdn.com/wsop/cc005520-f61f-427d-955f-f92a9e4c1051.pdf" TargetMode="External"/><Relationship Id="rId7" Type="http://schemas.openxmlformats.org/officeDocument/2006/relationships/hyperlink" Target="https://wsop.gg-global-cdn.com/wsop/2ae8b531-6bbc-453f-a211-5bae2385aec4.pdf" TargetMode="External"/><Relationship Id="rId162" Type="http://schemas.openxmlformats.org/officeDocument/2006/relationships/hyperlink" Target="https://wsop.gg-global-cdn.com/wsop/cc005520-f61f-427d-955f-f92a9e4c1051.pdf" TargetMode="External"/><Relationship Id="rId183" Type="http://schemas.openxmlformats.org/officeDocument/2006/relationships/hyperlink" Target="https://wsop.gg-global-cdn.com/wsop/cc005520-f61f-427d-955f-f92a9e4c1051.pdf" TargetMode="External"/><Relationship Id="rId218" Type="http://schemas.openxmlformats.org/officeDocument/2006/relationships/hyperlink" Target="https://cdn.wynnresorts.com/image/upload/v1752010416/visitwynn_pdfs_files/Poker/Wynn%20Summer%20Classic/Wynn_Summer_Classic-Structures.pdf" TargetMode="External"/><Relationship Id="rId239" Type="http://schemas.openxmlformats.org/officeDocument/2006/relationships/hyperlink" Target="https://t.co/6VPbbn23ge" TargetMode="External"/><Relationship Id="rId250" Type="http://schemas.openxmlformats.org/officeDocument/2006/relationships/hyperlink" Target="https://t.co/6VPbbn23ge" TargetMode="External"/><Relationship Id="rId24" Type="http://schemas.openxmlformats.org/officeDocument/2006/relationships/hyperlink" Target="https://wsop.gg-global-cdn.com/wsop/2ae8b531-6bbc-453f-a211-5bae2385aec4.pdf" TargetMode="External"/><Relationship Id="rId45" Type="http://schemas.openxmlformats.org/officeDocument/2006/relationships/hyperlink" Target="https://wsop.gg-global-cdn.com/wsop/2ae8b531-6bbc-453f-a211-5bae2385aec4.pdf" TargetMode="External"/><Relationship Id="rId66" Type="http://schemas.openxmlformats.org/officeDocument/2006/relationships/hyperlink" Target="https://wsop.gg-global-cdn.com/wsop/2ae8b531-6bbc-453f-a211-5bae2385aec4.pdf" TargetMode="External"/><Relationship Id="rId87" Type="http://schemas.openxmlformats.org/officeDocument/2006/relationships/hyperlink" Target="https://wsop.gg-global-cdn.com/wsop/2ae8b531-6bbc-453f-a211-5bae2385aec4.pdf" TargetMode="External"/><Relationship Id="rId110" Type="http://schemas.openxmlformats.org/officeDocument/2006/relationships/hyperlink" Target="https://wsop.gg-global-cdn.com/wsop/2ae8b531-6bbc-453f-a211-5bae2385aec4.pdf" TargetMode="External"/><Relationship Id="rId131" Type="http://schemas.openxmlformats.org/officeDocument/2006/relationships/hyperlink" Target="https://wsop.gg-global-cdn.com/wsop/2ae8b531-6bbc-453f-a211-5bae2385aec4.pdf" TargetMode="External"/><Relationship Id="rId152" Type="http://schemas.openxmlformats.org/officeDocument/2006/relationships/hyperlink" Target="https://wsop.gg-global-cdn.com/wsop/cc005520-f61f-427d-955f-f92a9e4c1051.pdf" TargetMode="External"/><Relationship Id="rId173" Type="http://schemas.openxmlformats.org/officeDocument/2006/relationships/hyperlink" Target="https://wsop.gg-global-cdn.com/wsop/cc005520-f61f-427d-955f-f92a9e4c1051.pdf" TargetMode="External"/><Relationship Id="rId194" Type="http://schemas.openxmlformats.org/officeDocument/2006/relationships/hyperlink" Target="https://wsop.gg-global-cdn.com/wsop/cc005520-f61f-427d-955f-f92a9e4c1051.pdf" TargetMode="External"/><Relationship Id="rId208" Type="http://schemas.openxmlformats.org/officeDocument/2006/relationships/hyperlink" Target="https://www.venetianlasvegas.com/content/dam/vlvweb/casino/poker/deepstack/2026/structures/dscps_2026-structure_3.pdf" TargetMode="External"/><Relationship Id="rId229" Type="http://schemas.openxmlformats.org/officeDocument/2006/relationships/hyperlink" Target="https://t.co/6VPbbn23ge" TargetMode="External"/><Relationship Id="rId240" Type="http://schemas.openxmlformats.org/officeDocument/2006/relationships/hyperlink" Target="https://t.co/6VPbbn23ge" TargetMode="External"/><Relationship Id="rId261" Type="http://schemas.openxmlformats.org/officeDocument/2006/relationships/hyperlink" Target="https://www.venetianlasvegas.com/content/dam/vlvweb/casino/poker/deepstack/2026/structures/dscps_2026-structure_35.pdf" TargetMode="External"/><Relationship Id="rId14" Type="http://schemas.openxmlformats.org/officeDocument/2006/relationships/hyperlink" Target="https://wsop.gg-global-cdn.com/wsop/2ae8b531-6bbc-453f-a211-5bae2385aec4.pdf" TargetMode="External"/><Relationship Id="rId35" Type="http://schemas.openxmlformats.org/officeDocument/2006/relationships/hyperlink" Target="https://wsop.gg-global-cdn.com/wsop/2ae8b531-6bbc-453f-a211-5bae2385aec4.pdf" TargetMode="External"/><Relationship Id="rId56" Type="http://schemas.openxmlformats.org/officeDocument/2006/relationships/hyperlink" Target="https://wsop.gg-global-cdn.com/wsop/2ae8b531-6bbc-453f-a211-5bae2385aec4.pdf" TargetMode="External"/><Relationship Id="rId77" Type="http://schemas.openxmlformats.org/officeDocument/2006/relationships/hyperlink" Target="https://wsop.gg-global-cdn.com/wsop/2ae8b531-6bbc-453f-a211-5bae2385aec4.pdf" TargetMode="External"/><Relationship Id="rId100" Type="http://schemas.openxmlformats.org/officeDocument/2006/relationships/hyperlink" Target="https://wsop.gg-global-cdn.com/wsop/2ae8b531-6bbc-453f-a211-5bae2385aec4.pdf" TargetMode="External"/><Relationship Id="rId8" Type="http://schemas.openxmlformats.org/officeDocument/2006/relationships/hyperlink" Target="https://wsop.gg-global-cdn.com/wsop/2ae8b531-6bbc-453f-a211-5bae2385aec4.pdf" TargetMode="External"/><Relationship Id="rId98" Type="http://schemas.openxmlformats.org/officeDocument/2006/relationships/hyperlink" Target="https://wsop.gg-global-cdn.com/wsop/2ae8b531-6bbc-453f-a211-5bae2385aec4.pdf" TargetMode="External"/><Relationship Id="rId121" Type="http://schemas.openxmlformats.org/officeDocument/2006/relationships/hyperlink" Target="https://wsop.gg-global-cdn.com/wsop/2ae8b531-6bbc-453f-a211-5bae2385aec4.pdf" TargetMode="External"/><Relationship Id="rId142" Type="http://schemas.openxmlformats.org/officeDocument/2006/relationships/hyperlink" Target="https://wsop.gg-global-cdn.com/wsop/cc005520-f61f-427d-955f-f92a9e4c1051.pdf" TargetMode="External"/><Relationship Id="rId163" Type="http://schemas.openxmlformats.org/officeDocument/2006/relationships/hyperlink" Target="https://wsop.gg-global-cdn.com/wsop/cc005520-f61f-427d-955f-f92a9e4c1051.pdf" TargetMode="External"/><Relationship Id="rId184" Type="http://schemas.openxmlformats.org/officeDocument/2006/relationships/hyperlink" Target="https://wsop.gg-global-cdn.com/wsop/cc005520-f61f-427d-955f-f92a9e4c1051.pdf" TargetMode="External"/><Relationship Id="rId219" Type="http://schemas.openxmlformats.org/officeDocument/2006/relationships/hyperlink" Target="https://mc-d7f7cc1f-1a7c-4fc5-b531-6087-cdn-endpoint.azureedge.net/-/media/project/boyd/property/lasvegas/orleans/pdf/2026_oso_flyer_and_structures.pdf?rev=8cc43a895dda4eb1b3ff77b2dcf4bddb" TargetMode="External"/><Relationship Id="rId230" Type="http://schemas.openxmlformats.org/officeDocument/2006/relationships/hyperlink" Target="https://t.co/6VPbbn23ge" TargetMode="External"/><Relationship Id="rId251" Type="http://schemas.openxmlformats.org/officeDocument/2006/relationships/hyperlink" Target="https://t.co/6VPbbn23ge" TargetMode="External"/><Relationship Id="rId25" Type="http://schemas.openxmlformats.org/officeDocument/2006/relationships/hyperlink" Target="https://wsop.gg-global-cdn.com/wsop/2ae8b531-6bbc-453f-a211-5bae2385aec4.pdf" TargetMode="External"/><Relationship Id="rId46" Type="http://schemas.openxmlformats.org/officeDocument/2006/relationships/hyperlink" Target="https://wsop.gg-global-cdn.com/wsop/2ae8b531-6bbc-453f-a211-5bae2385aec4.pdf" TargetMode="External"/><Relationship Id="rId67" Type="http://schemas.openxmlformats.org/officeDocument/2006/relationships/hyperlink" Target="https://wsop.gg-global-cdn.com/wsop/2ae8b531-6bbc-453f-a211-5bae2385aec4.pdf" TargetMode="External"/><Relationship Id="rId88" Type="http://schemas.openxmlformats.org/officeDocument/2006/relationships/hyperlink" Target="https://wsop.gg-global-cdn.com/wsop/2ae8b531-6bbc-453f-a211-5bae2385aec4.pdf" TargetMode="External"/><Relationship Id="rId111" Type="http://schemas.openxmlformats.org/officeDocument/2006/relationships/hyperlink" Target="https://wsop.gg-global-cdn.com/wsop/2ae8b531-6bbc-453f-a211-5bae2385aec4.pdf" TargetMode="External"/><Relationship Id="rId132" Type="http://schemas.openxmlformats.org/officeDocument/2006/relationships/hyperlink" Target="https://wsop.gg-global-cdn.com/wsop/2ae8b531-6bbc-453f-a211-5bae2385aec4.pdf" TargetMode="External"/><Relationship Id="rId153" Type="http://schemas.openxmlformats.org/officeDocument/2006/relationships/hyperlink" Target="https://wsop.gg-global-cdn.com/wsop/cc005520-f61f-427d-955f-f92a9e4c1051.pdf" TargetMode="External"/><Relationship Id="rId174" Type="http://schemas.openxmlformats.org/officeDocument/2006/relationships/hyperlink" Target="https://wsop.gg-global-cdn.com/wsop/cc005520-f61f-427d-955f-f92a9e4c1051.pdf" TargetMode="External"/><Relationship Id="rId195" Type="http://schemas.openxmlformats.org/officeDocument/2006/relationships/hyperlink" Target="https://wsop.gg-global-cdn.com/wsop/cc005520-f61f-427d-955f-f92a9e4c1051.pdf" TargetMode="External"/><Relationship Id="rId209" Type="http://schemas.openxmlformats.org/officeDocument/2006/relationships/hyperlink" Target="https://www.venetianlasvegas.com/content/dam/vlvweb/casino/poker/deepstack/2026/structures/dscps_2026-structure_3.pdf" TargetMode="External"/><Relationship Id="rId220" Type="http://schemas.openxmlformats.org/officeDocument/2006/relationships/hyperlink" Target="https://drive.google.com/drive/folders/1_g9N8yLuc0ssRFMLAEcz_qGgk2SfHCYf" TargetMode="External"/><Relationship Id="rId241" Type="http://schemas.openxmlformats.org/officeDocument/2006/relationships/hyperlink" Target="https://t.co/6VPbbn23ge" TargetMode="External"/><Relationship Id="rId15" Type="http://schemas.openxmlformats.org/officeDocument/2006/relationships/hyperlink" Target="https://wsop.gg-global-cdn.com/wsop/2ae8b531-6bbc-453f-a211-5bae2385aec4.pdf" TargetMode="External"/><Relationship Id="rId36" Type="http://schemas.openxmlformats.org/officeDocument/2006/relationships/hyperlink" Target="https://wsop.gg-global-cdn.com/wsop/2ae8b531-6bbc-453f-a211-5bae2385aec4.pdf" TargetMode="External"/><Relationship Id="rId57" Type="http://schemas.openxmlformats.org/officeDocument/2006/relationships/hyperlink" Target="https://wsop.gg-global-cdn.com/wsop/2ae8b531-6bbc-453f-a211-5bae2385aec4.pdf" TargetMode="External"/><Relationship Id="rId262" Type="http://schemas.openxmlformats.org/officeDocument/2006/relationships/hyperlink" Target="https://www.venetianlasvegas.com/content/dam/vlvweb/casino/poker/deepstack/2026/structures/dscps_2026-structure_36.pdf" TargetMode="External"/><Relationship Id="rId78" Type="http://schemas.openxmlformats.org/officeDocument/2006/relationships/hyperlink" Target="https://wsop.gg-global-cdn.com/wsop/2ae8b531-6bbc-453f-a211-5bae2385aec4.pdf" TargetMode="External"/><Relationship Id="rId99" Type="http://schemas.openxmlformats.org/officeDocument/2006/relationships/hyperlink" Target="https://wsop.gg-global-cdn.com/wsop/2ae8b531-6bbc-453f-a211-5bae2385aec4.pdf" TargetMode="External"/><Relationship Id="rId101" Type="http://schemas.openxmlformats.org/officeDocument/2006/relationships/hyperlink" Target="https://wsop.gg-global-cdn.com/wsop/2ae8b531-6bbc-453f-a211-5bae2385aec4.pdf" TargetMode="External"/><Relationship Id="rId122" Type="http://schemas.openxmlformats.org/officeDocument/2006/relationships/hyperlink" Target="https://wsop.gg-global-cdn.com/wsop/2ae8b531-6bbc-453f-a211-5bae2385aec4.pdf" TargetMode="External"/><Relationship Id="rId143" Type="http://schemas.openxmlformats.org/officeDocument/2006/relationships/hyperlink" Target="https://wsop.gg-global-cdn.com/wsop/cc005520-f61f-427d-955f-f92a9e4c1051.pdf" TargetMode="External"/><Relationship Id="rId164" Type="http://schemas.openxmlformats.org/officeDocument/2006/relationships/hyperlink" Target="https://wsop.gg-global-cdn.com/wsop/cc005520-f61f-427d-955f-f92a9e4c1051.pdf" TargetMode="External"/><Relationship Id="rId185" Type="http://schemas.openxmlformats.org/officeDocument/2006/relationships/hyperlink" Target="https://wsop.gg-global-cdn.com/wsop/cc005520-f61f-427d-955f-f92a9e4c1051.pdf" TargetMode="External"/><Relationship Id="rId9" Type="http://schemas.openxmlformats.org/officeDocument/2006/relationships/hyperlink" Target="https://wsop.gg-global-cdn.com/wsop/2ae8b531-6bbc-453f-a211-5bae2385aec4.pdf" TargetMode="External"/><Relationship Id="rId210" Type="http://schemas.openxmlformats.org/officeDocument/2006/relationships/hyperlink" Target="https://wsop.gg-global-cdn.com/wsop/7174f77e-70f1-4526-a298-fe3461807075.pdf" TargetMode="External"/><Relationship Id="rId26" Type="http://schemas.openxmlformats.org/officeDocument/2006/relationships/hyperlink" Target="https://wsop.gg-global-cdn.com/wsop/2ae8b531-6bbc-453f-a211-5bae2385aec4.pdf" TargetMode="External"/><Relationship Id="rId231" Type="http://schemas.openxmlformats.org/officeDocument/2006/relationships/hyperlink" Target="https://t.co/6VPbbn23ge" TargetMode="External"/><Relationship Id="rId252" Type="http://schemas.openxmlformats.org/officeDocument/2006/relationships/hyperlink" Target="https://t.co/6VPbbn23ge" TargetMode="External"/><Relationship Id="rId47" Type="http://schemas.openxmlformats.org/officeDocument/2006/relationships/hyperlink" Target="https://wsop.gg-global-cdn.com/wsop/2ae8b531-6bbc-453f-a211-5bae2385aec4.pdf" TargetMode="External"/><Relationship Id="rId68" Type="http://schemas.openxmlformats.org/officeDocument/2006/relationships/hyperlink" Target="https://wsop.gg-global-cdn.com/wsop/2ae8b531-6bbc-453f-a211-5bae2385aec4.pdf" TargetMode="External"/><Relationship Id="rId89" Type="http://schemas.openxmlformats.org/officeDocument/2006/relationships/hyperlink" Target="https://wsop.gg-global-cdn.com/wsop/2ae8b531-6bbc-453f-a211-5bae2385aec4.pdf" TargetMode="External"/><Relationship Id="rId112" Type="http://schemas.openxmlformats.org/officeDocument/2006/relationships/hyperlink" Target="https://wsop.gg-global-cdn.com/wsop/2ae8b531-6bbc-453f-a211-5bae2385aec4.pdf" TargetMode="External"/><Relationship Id="rId133" Type="http://schemas.openxmlformats.org/officeDocument/2006/relationships/hyperlink" Target="https://wsop.gg-global-cdn.com/wsop/2ae8b531-6bbc-453f-a211-5bae2385aec4.pdf" TargetMode="External"/><Relationship Id="rId154" Type="http://schemas.openxmlformats.org/officeDocument/2006/relationships/hyperlink" Target="https://wsop.gg-global-cdn.com/wsop/cc005520-f61f-427d-955f-f92a9e4c1051.pdf" TargetMode="External"/><Relationship Id="rId175" Type="http://schemas.openxmlformats.org/officeDocument/2006/relationships/hyperlink" Target="https://wsop.gg-global-cdn.com/wsop/cc005520-f61f-427d-955f-f92a9e4c1051.pdf" TargetMode="External"/><Relationship Id="rId196" Type="http://schemas.openxmlformats.org/officeDocument/2006/relationships/hyperlink" Target="https://wsop.gg-global-cdn.com/wsop/cc005520-f61f-427d-955f-f92a9e4c1051.pdf" TargetMode="External"/><Relationship Id="rId200" Type="http://schemas.openxmlformats.org/officeDocument/2006/relationships/hyperlink" Target="https://wsop.gg-global-cdn.com/wsop/2ae8b531-6bbc-453f-a211-5bae2385aec4.pdf" TargetMode="External"/><Relationship Id="rId16" Type="http://schemas.openxmlformats.org/officeDocument/2006/relationships/hyperlink" Target="https://wsop.gg-global-cdn.com/wsop/2ae8b531-6bbc-453f-a211-5bae2385aec4.pdf" TargetMode="External"/><Relationship Id="rId221" Type="http://schemas.openxmlformats.org/officeDocument/2006/relationships/hyperlink" Target="https://wsop.gg-global-cdn.com/wsop/7174f77e-70f1-4526-a298-fe3461807075.pdf" TargetMode="External"/><Relationship Id="rId242" Type="http://schemas.openxmlformats.org/officeDocument/2006/relationships/hyperlink" Target="https://t.co/6VPbbn23ge" TargetMode="External"/><Relationship Id="rId263" Type="http://schemas.openxmlformats.org/officeDocument/2006/relationships/printerSettings" Target="../printerSettings/printerSettings1.bin"/><Relationship Id="rId37" Type="http://schemas.openxmlformats.org/officeDocument/2006/relationships/hyperlink" Target="https://wsop.gg-global-cdn.com/wsop/2ae8b531-6bbc-453f-a211-5bae2385aec4.pdf" TargetMode="External"/><Relationship Id="rId58" Type="http://schemas.openxmlformats.org/officeDocument/2006/relationships/hyperlink" Target="https://wsop.gg-global-cdn.com/wsop/2ae8b531-6bbc-453f-a211-5bae2385aec4.pdf" TargetMode="External"/><Relationship Id="rId79" Type="http://schemas.openxmlformats.org/officeDocument/2006/relationships/hyperlink" Target="https://wsop.gg-global-cdn.com/wsop/2ae8b531-6bbc-453f-a211-5bae2385aec4.pdf" TargetMode="External"/><Relationship Id="rId102" Type="http://schemas.openxmlformats.org/officeDocument/2006/relationships/hyperlink" Target="https://wsop.gg-global-cdn.com/wsop/2ae8b531-6bbc-453f-a211-5bae2385aec4.pdf" TargetMode="External"/><Relationship Id="rId123" Type="http://schemas.openxmlformats.org/officeDocument/2006/relationships/hyperlink" Target="https://wsop.gg-global-cdn.com/wsop/2ae8b531-6bbc-453f-a211-5bae2385aec4.pdf" TargetMode="External"/><Relationship Id="rId144" Type="http://schemas.openxmlformats.org/officeDocument/2006/relationships/hyperlink" Target="https://wsop.gg-global-cdn.com/wsop/cc005520-f61f-427d-955f-f92a9e4c1051.pdf" TargetMode="External"/><Relationship Id="rId90" Type="http://schemas.openxmlformats.org/officeDocument/2006/relationships/hyperlink" Target="https://wsop.gg-global-cdn.com/wsop/2ae8b531-6bbc-453f-a211-5bae2385aec4.pdf" TargetMode="External"/><Relationship Id="rId165" Type="http://schemas.openxmlformats.org/officeDocument/2006/relationships/hyperlink" Target="https://wsop.gg-global-cdn.com/wsop/cc005520-f61f-427d-955f-f92a9e4c1051.pdf" TargetMode="External"/><Relationship Id="rId186" Type="http://schemas.openxmlformats.org/officeDocument/2006/relationships/hyperlink" Target="https://wsop.gg-global-cdn.com/wsop/cc005520-f61f-427d-955f-f92a9e4c1051.pdf" TargetMode="External"/><Relationship Id="rId211" Type="http://schemas.openxmlformats.org/officeDocument/2006/relationships/hyperlink" Target="https://wsop.gg-global-cdn.com/wsop/7174f77e-70f1-4526-a298-fe3461807075.pdf" TargetMode="External"/><Relationship Id="rId232" Type="http://schemas.openxmlformats.org/officeDocument/2006/relationships/hyperlink" Target="https://t.co/6VPbbn23ge" TargetMode="External"/><Relationship Id="rId253" Type="http://schemas.openxmlformats.org/officeDocument/2006/relationships/hyperlink" Target="https://www.venetianlasvegas.com/content/dam/vlvweb/casino/poker/deepstack/2026/structures/dscps_2026-structure_28.pdf" TargetMode="External"/><Relationship Id="rId27" Type="http://schemas.openxmlformats.org/officeDocument/2006/relationships/hyperlink" Target="https://wsop.gg-global-cdn.com/wsop/2ae8b531-6bbc-453f-a211-5bae2385aec4.pdf" TargetMode="External"/><Relationship Id="rId48" Type="http://schemas.openxmlformats.org/officeDocument/2006/relationships/hyperlink" Target="https://wsop.gg-global-cdn.com/wsop/2ae8b531-6bbc-453f-a211-5bae2385aec4.pdf" TargetMode="External"/><Relationship Id="rId69" Type="http://schemas.openxmlformats.org/officeDocument/2006/relationships/hyperlink" Target="https://wsop.gg-global-cdn.com/wsop/2ae8b531-6bbc-453f-a211-5bae2385aec4.pdf" TargetMode="External"/><Relationship Id="rId113" Type="http://schemas.openxmlformats.org/officeDocument/2006/relationships/hyperlink" Target="https://wsop.gg-global-cdn.com/wsop/2ae8b531-6bbc-453f-a211-5bae2385aec4.pdf" TargetMode="External"/><Relationship Id="rId134" Type="http://schemas.openxmlformats.org/officeDocument/2006/relationships/hyperlink" Target="https://wsop.gg-global-cdn.com/wsop/2ae8b531-6bbc-453f-a211-5bae2385aec4.pdf" TargetMode="External"/><Relationship Id="rId80" Type="http://schemas.openxmlformats.org/officeDocument/2006/relationships/hyperlink" Target="https://wsop.gg-global-cdn.com/wsop/2ae8b531-6bbc-453f-a211-5bae2385aec4.pdf" TargetMode="External"/><Relationship Id="rId155" Type="http://schemas.openxmlformats.org/officeDocument/2006/relationships/hyperlink" Target="https://wsop.gg-global-cdn.com/wsop/cc005520-f61f-427d-955f-f92a9e4c1051.pdf" TargetMode="External"/><Relationship Id="rId176" Type="http://schemas.openxmlformats.org/officeDocument/2006/relationships/hyperlink" Target="https://wsop.gg-global-cdn.com/wsop/cc005520-f61f-427d-955f-f92a9e4c1051.pdf" TargetMode="External"/><Relationship Id="rId197" Type="http://schemas.openxmlformats.org/officeDocument/2006/relationships/hyperlink" Target="https://wsop.gg-global-cdn.com/wsop/cc005520-f61f-427d-955f-f92a9e4c1051.pdf" TargetMode="External"/><Relationship Id="rId201" Type="http://schemas.openxmlformats.org/officeDocument/2006/relationships/hyperlink" Target="https://wsop.gg-global-cdn.com/wsop/2ae8b531-6bbc-453f-a211-5bae2385aec4.pdf" TargetMode="External"/><Relationship Id="rId222" Type="http://schemas.openxmlformats.org/officeDocument/2006/relationships/hyperlink" Target="https://www.venetianlasvegas.com/content/dam/vlvweb/casino/poker/deepstack/2026/structures/dscps_2026-structure_54.pdf" TargetMode="External"/><Relationship Id="rId243" Type="http://schemas.openxmlformats.org/officeDocument/2006/relationships/hyperlink" Target="https://t.co/6VPbbn23ge" TargetMode="External"/><Relationship Id="rId17" Type="http://schemas.openxmlformats.org/officeDocument/2006/relationships/hyperlink" Target="https://wsop.gg-global-cdn.com/wsop/2ae8b531-6bbc-453f-a211-5bae2385aec4.pdf" TargetMode="External"/><Relationship Id="rId38" Type="http://schemas.openxmlformats.org/officeDocument/2006/relationships/hyperlink" Target="https://wsop.gg-global-cdn.com/wsop/2ae8b531-6bbc-453f-a211-5bae2385aec4.pdf" TargetMode="External"/><Relationship Id="rId59" Type="http://schemas.openxmlformats.org/officeDocument/2006/relationships/hyperlink" Target="https://wsop.gg-global-cdn.com/wsop/2ae8b531-6bbc-453f-a211-5bae2385aec4.pdf" TargetMode="External"/><Relationship Id="rId103" Type="http://schemas.openxmlformats.org/officeDocument/2006/relationships/hyperlink" Target="https://wsop.gg-global-cdn.com/wsop/2ae8b531-6bbc-453f-a211-5bae2385aec4.pdf" TargetMode="External"/><Relationship Id="rId124" Type="http://schemas.openxmlformats.org/officeDocument/2006/relationships/hyperlink" Target="https://wsop.gg-global-cdn.com/wsop/2ae8b531-6bbc-453f-a211-5bae2385aec4.pdf" TargetMode="External"/><Relationship Id="rId70" Type="http://schemas.openxmlformats.org/officeDocument/2006/relationships/hyperlink" Target="https://wsop.gg-global-cdn.com/wsop/2ae8b531-6bbc-453f-a211-5bae2385aec4.pdf" TargetMode="External"/><Relationship Id="rId91" Type="http://schemas.openxmlformats.org/officeDocument/2006/relationships/hyperlink" Target="https://wsop.gg-global-cdn.com/wsop/2ae8b531-6bbc-453f-a211-5bae2385aec4.pdf" TargetMode="External"/><Relationship Id="rId145" Type="http://schemas.openxmlformats.org/officeDocument/2006/relationships/hyperlink" Target="https://wsop.gg-global-cdn.com/wsop/cc005520-f61f-427d-955f-f92a9e4c1051.pdf" TargetMode="External"/><Relationship Id="rId166" Type="http://schemas.openxmlformats.org/officeDocument/2006/relationships/hyperlink" Target="https://wsop.gg-global-cdn.com/wsop/cc005520-f61f-427d-955f-f92a9e4c1051.pdf" TargetMode="External"/><Relationship Id="rId187" Type="http://schemas.openxmlformats.org/officeDocument/2006/relationships/hyperlink" Target="https://wsop.gg-global-cdn.com/wsop/cc005520-f61f-427d-955f-f92a9e4c1051.pdf" TargetMode="External"/><Relationship Id="rId1" Type="http://schemas.openxmlformats.org/officeDocument/2006/relationships/hyperlink" Target="https://wsop.gg-global-cdn.com/wsop/2ae8b531-6bbc-453f-a211-5bae2385aec4.pdf" TargetMode="External"/><Relationship Id="rId212" Type="http://schemas.openxmlformats.org/officeDocument/2006/relationships/hyperlink" Target="https://wsop.gg-global-cdn.com/wsop/cc005520-f61f-427d-955f-f92a9e4c1051.pdf" TargetMode="External"/><Relationship Id="rId233" Type="http://schemas.openxmlformats.org/officeDocument/2006/relationships/hyperlink" Target="https://t.co/6VPbbn23ge" TargetMode="External"/><Relationship Id="rId254" Type="http://schemas.openxmlformats.org/officeDocument/2006/relationships/hyperlink" Target="https://www.venetianlasvegas.com/content/dam/vlvweb/casino/poker/deepstack/2026/structures/dscps_2026-structure_28.pdf" TargetMode="External"/><Relationship Id="rId28" Type="http://schemas.openxmlformats.org/officeDocument/2006/relationships/hyperlink" Target="https://wsop.gg-global-cdn.com/wsop/2ae8b531-6bbc-453f-a211-5bae2385aec4.pdf" TargetMode="External"/><Relationship Id="rId49" Type="http://schemas.openxmlformats.org/officeDocument/2006/relationships/hyperlink" Target="https://wsop.gg-global-cdn.com/wsop/2ae8b531-6bbc-453f-a211-5bae2385aec4.pdf" TargetMode="External"/><Relationship Id="rId114" Type="http://schemas.openxmlformats.org/officeDocument/2006/relationships/hyperlink" Target="https://wsop.gg-global-cdn.com/wsop/2ae8b531-6bbc-453f-a211-5bae2385aec4.pdf" TargetMode="External"/><Relationship Id="rId60" Type="http://schemas.openxmlformats.org/officeDocument/2006/relationships/hyperlink" Target="https://wsop.gg-global-cdn.com/wsop/2ae8b531-6bbc-453f-a211-5bae2385aec4.pdf" TargetMode="External"/><Relationship Id="rId81" Type="http://schemas.openxmlformats.org/officeDocument/2006/relationships/hyperlink" Target="https://wsop.gg-global-cdn.com/wsop/2ae8b531-6bbc-453f-a211-5bae2385aec4.pdf" TargetMode="External"/><Relationship Id="rId135" Type="http://schemas.openxmlformats.org/officeDocument/2006/relationships/hyperlink" Target="https://wsop.gg-global-cdn.com/wsop/2ae8b531-6bbc-453f-a211-5bae2385aec4.pdf" TargetMode="External"/><Relationship Id="rId156" Type="http://schemas.openxmlformats.org/officeDocument/2006/relationships/hyperlink" Target="https://wsop.gg-global-cdn.com/wsop/cc005520-f61f-427d-955f-f92a9e4c1051.pdf" TargetMode="External"/><Relationship Id="rId177" Type="http://schemas.openxmlformats.org/officeDocument/2006/relationships/hyperlink" Target="https://wsop.gg-global-cdn.com/wsop/cc005520-f61f-427d-955f-f92a9e4c1051.pdf" TargetMode="External"/><Relationship Id="rId198" Type="http://schemas.openxmlformats.org/officeDocument/2006/relationships/hyperlink" Target="https://wsop.gg-global-cdn.com/wsop/cc005520-f61f-427d-955f-f92a9e4c1051.pdf" TargetMode="External"/><Relationship Id="rId202" Type="http://schemas.openxmlformats.org/officeDocument/2006/relationships/hyperlink" Target="https://wsop.gg-global-cdn.com/wsop/2ae8b531-6bbc-453f-a211-5bae2385aec4.pdf" TargetMode="External"/><Relationship Id="rId223" Type="http://schemas.openxmlformats.org/officeDocument/2006/relationships/hyperlink" Target="https://southpointcasino.com/casino/poker-room/summer-events-may-26-july-12" TargetMode="External"/><Relationship Id="rId244" Type="http://schemas.openxmlformats.org/officeDocument/2006/relationships/hyperlink" Target="https://t.co/6VPbbn23ge" TargetMode="External"/><Relationship Id="rId18" Type="http://schemas.openxmlformats.org/officeDocument/2006/relationships/hyperlink" Target="https://wsop.gg-global-cdn.com/wsop/2ae8b531-6bbc-453f-a211-5bae2385aec4.pdf" TargetMode="External"/><Relationship Id="rId39" Type="http://schemas.openxmlformats.org/officeDocument/2006/relationships/hyperlink" Target="https://wsop.gg-global-cdn.com/wsop/2ae8b531-6bbc-453f-a211-5bae2385aec4.pdf" TargetMode="External"/><Relationship Id="rId50" Type="http://schemas.openxmlformats.org/officeDocument/2006/relationships/hyperlink" Target="https://wsop.gg-global-cdn.com/wsop/2ae8b531-6bbc-453f-a211-5bae2385aec4.pdf" TargetMode="External"/><Relationship Id="rId104" Type="http://schemas.openxmlformats.org/officeDocument/2006/relationships/hyperlink" Target="https://wsop.gg-global-cdn.com/wsop/2ae8b531-6bbc-453f-a211-5bae2385aec4.pdf" TargetMode="External"/><Relationship Id="rId125" Type="http://schemas.openxmlformats.org/officeDocument/2006/relationships/hyperlink" Target="https://wsop.gg-global-cdn.com/wsop/2ae8b531-6bbc-453f-a211-5bae2385aec4.pdf" TargetMode="External"/><Relationship Id="rId146" Type="http://schemas.openxmlformats.org/officeDocument/2006/relationships/hyperlink" Target="https://wsop.gg-global-cdn.com/wsop/cc005520-f61f-427d-955f-f92a9e4c1051.pdf" TargetMode="External"/><Relationship Id="rId167" Type="http://schemas.openxmlformats.org/officeDocument/2006/relationships/hyperlink" Target="https://wsop.gg-global-cdn.com/wsop/cc005520-f61f-427d-955f-f92a9e4c1051.pdf" TargetMode="External"/><Relationship Id="rId188" Type="http://schemas.openxmlformats.org/officeDocument/2006/relationships/hyperlink" Target="https://wsop.gg-global-cdn.com/wsop/cc005520-f61f-427d-955f-f92a9e4c1051.pdf" TargetMode="External"/><Relationship Id="rId71" Type="http://schemas.openxmlformats.org/officeDocument/2006/relationships/hyperlink" Target="https://wsop.gg-global-cdn.com/wsop/2ae8b531-6bbc-453f-a211-5bae2385aec4.pdf" TargetMode="External"/><Relationship Id="rId92" Type="http://schemas.openxmlformats.org/officeDocument/2006/relationships/hyperlink" Target="https://wsop.gg-global-cdn.com/wsop/2ae8b531-6bbc-453f-a211-5bae2385aec4.pdf" TargetMode="External"/><Relationship Id="rId213" Type="http://schemas.openxmlformats.org/officeDocument/2006/relationships/hyperlink" Target="https://wsop.gg-global-cdn.com/wsop/cc005520-f61f-427d-955f-f92a9e4c1051.pdf" TargetMode="External"/><Relationship Id="rId234" Type="http://schemas.openxmlformats.org/officeDocument/2006/relationships/hyperlink" Target="https://t.co/6VPbbn23ge" TargetMode="External"/><Relationship Id="rId2" Type="http://schemas.openxmlformats.org/officeDocument/2006/relationships/hyperlink" Target="https://wsop.gg-global-cdn.com/wsop/2ae8b531-6bbc-453f-a211-5bae2385aec4.pdf" TargetMode="External"/><Relationship Id="rId29" Type="http://schemas.openxmlformats.org/officeDocument/2006/relationships/hyperlink" Target="https://wsop.gg-global-cdn.com/wsop/2ae8b531-6bbc-453f-a211-5bae2385aec4.pdf" TargetMode="External"/><Relationship Id="rId255" Type="http://schemas.openxmlformats.org/officeDocument/2006/relationships/hyperlink" Target="https://www.venetianlasvegas.com/content/dam/vlvweb/casino/poker/deepstack/2026/structures/dscps_2026-structure_30.pdf" TargetMode="External"/><Relationship Id="rId40" Type="http://schemas.openxmlformats.org/officeDocument/2006/relationships/hyperlink" Target="https://wsop.gg-global-cdn.com/wsop/2ae8b531-6bbc-453f-a211-5bae2385aec4.pdf" TargetMode="External"/><Relationship Id="rId115" Type="http://schemas.openxmlformats.org/officeDocument/2006/relationships/hyperlink" Target="https://wsop.gg-global-cdn.com/wsop/2ae8b531-6bbc-453f-a211-5bae2385aec4.pdf" TargetMode="External"/><Relationship Id="rId136" Type="http://schemas.openxmlformats.org/officeDocument/2006/relationships/hyperlink" Target="https://wsop.gg-global-cdn.com/wsop/2ae8b531-6bbc-453f-a211-5bae2385aec4.pdf" TargetMode="External"/><Relationship Id="rId157" Type="http://schemas.openxmlformats.org/officeDocument/2006/relationships/hyperlink" Target="https://wsop.gg-global-cdn.com/wsop/cc005520-f61f-427d-955f-f92a9e4c1051.pdf" TargetMode="External"/><Relationship Id="rId178" Type="http://schemas.openxmlformats.org/officeDocument/2006/relationships/hyperlink" Target="https://wsop.gg-global-cdn.com/wsop/cc005520-f61f-427d-955f-f92a9e4c1051.pdf" TargetMode="External"/><Relationship Id="rId61" Type="http://schemas.openxmlformats.org/officeDocument/2006/relationships/hyperlink" Target="https://wsop.gg-global-cdn.com/wsop/2ae8b531-6bbc-453f-a211-5bae2385aec4.pdf" TargetMode="External"/><Relationship Id="rId82" Type="http://schemas.openxmlformats.org/officeDocument/2006/relationships/hyperlink" Target="https://wsop.gg-global-cdn.com/wsop/2ae8b531-6bbc-453f-a211-5bae2385aec4.pdf" TargetMode="External"/><Relationship Id="rId199" Type="http://schemas.openxmlformats.org/officeDocument/2006/relationships/hyperlink" Target="https://wsop.gg-global-cdn.com/wsop/cc005520-f61f-427d-955f-f92a9e4c1051.pdf" TargetMode="External"/><Relationship Id="rId203" Type="http://schemas.openxmlformats.org/officeDocument/2006/relationships/hyperlink" Target="https://wsop.gg-global-cdn.com/wsop/2ae8b531-6bbc-453f-a211-5bae2385aec4.pdf" TargetMode="External"/><Relationship Id="rId19" Type="http://schemas.openxmlformats.org/officeDocument/2006/relationships/hyperlink" Target="https://wsop.gg-global-cdn.com/wsop/2ae8b531-6bbc-453f-a211-5bae2385aec4.pdf" TargetMode="External"/><Relationship Id="rId224" Type="http://schemas.openxmlformats.org/officeDocument/2006/relationships/hyperlink" Target="https://t.co/6VPbbn23ge" TargetMode="External"/><Relationship Id="rId245" Type="http://schemas.openxmlformats.org/officeDocument/2006/relationships/hyperlink" Target="https://t.co/6VPbbn23ge" TargetMode="External"/><Relationship Id="rId30" Type="http://schemas.openxmlformats.org/officeDocument/2006/relationships/hyperlink" Target="https://wsop.gg-global-cdn.com/wsop/2ae8b531-6bbc-453f-a211-5bae2385aec4.pdf" TargetMode="External"/><Relationship Id="rId105" Type="http://schemas.openxmlformats.org/officeDocument/2006/relationships/hyperlink" Target="https://wsop.gg-global-cdn.com/wsop/2ae8b531-6bbc-453f-a211-5bae2385aec4.pdf" TargetMode="External"/><Relationship Id="rId126" Type="http://schemas.openxmlformats.org/officeDocument/2006/relationships/hyperlink" Target="https://wsop.gg-global-cdn.com/wsop/2ae8b531-6bbc-453f-a211-5bae2385aec4.pdf" TargetMode="External"/><Relationship Id="rId147" Type="http://schemas.openxmlformats.org/officeDocument/2006/relationships/hyperlink" Target="https://wsop.gg-global-cdn.com/wsop/cc005520-f61f-427d-955f-f92a9e4c1051.pdf" TargetMode="External"/><Relationship Id="rId168" Type="http://schemas.openxmlformats.org/officeDocument/2006/relationships/hyperlink" Target="https://wsop.gg-global-cdn.com/wsop/cc005520-f61f-427d-955f-f92a9e4c1051.pdf" TargetMode="External"/><Relationship Id="rId51" Type="http://schemas.openxmlformats.org/officeDocument/2006/relationships/hyperlink" Target="https://wsop.gg-global-cdn.com/wsop/2ae8b531-6bbc-453f-a211-5bae2385aec4.pdf" TargetMode="External"/><Relationship Id="rId72" Type="http://schemas.openxmlformats.org/officeDocument/2006/relationships/hyperlink" Target="https://wsop.gg-global-cdn.com/wsop/2ae8b531-6bbc-453f-a211-5bae2385aec4.pdf" TargetMode="External"/><Relationship Id="rId93" Type="http://schemas.openxmlformats.org/officeDocument/2006/relationships/hyperlink" Target="https://wsop.gg-global-cdn.com/wsop/2ae8b531-6bbc-453f-a211-5bae2385aec4.pdf" TargetMode="External"/><Relationship Id="rId189" Type="http://schemas.openxmlformats.org/officeDocument/2006/relationships/hyperlink" Target="https://wsop.gg-global-cdn.com/wsop/cc005520-f61f-427d-955f-f92a9e4c1051.pdf" TargetMode="External"/><Relationship Id="rId3" Type="http://schemas.openxmlformats.org/officeDocument/2006/relationships/hyperlink" Target="https://wsop.gg-global-cdn.com/wsop/2ae8b531-6bbc-453f-a211-5bae2385aec4.pdf" TargetMode="External"/><Relationship Id="rId214" Type="http://schemas.openxmlformats.org/officeDocument/2006/relationships/hyperlink" Target="https://wsop.gg-global-cdn.com/wsop/cc005520-f61f-427d-955f-f92a9e4c1051.pdf" TargetMode="External"/><Relationship Id="rId235" Type="http://schemas.openxmlformats.org/officeDocument/2006/relationships/hyperlink" Target="https://t.co/6VPbbn23ge" TargetMode="External"/><Relationship Id="rId256" Type="http://schemas.openxmlformats.org/officeDocument/2006/relationships/hyperlink" Target="https://www.venetianlasvegas.com/content/dam/vlvweb/casino/poker/deepstack/2026/structures/dscps_2026-structure_30.pdf" TargetMode="External"/><Relationship Id="rId116" Type="http://schemas.openxmlformats.org/officeDocument/2006/relationships/hyperlink" Target="https://wsop.gg-global-cdn.com/wsop/2ae8b531-6bbc-453f-a211-5bae2385aec4.pdf" TargetMode="External"/><Relationship Id="rId137" Type="http://schemas.openxmlformats.org/officeDocument/2006/relationships/hyperlink" Target="https://wsop.gg-global-cdn.com/wsop/2ae8b531-6bbc-453f-a211-5bae2385aec4.pdf" TargetMode="External"/><Relationship Id="rId158" Type="http://schemas.openxmlformats.org/officeDocument/2006/relationships/hyperlink" Target="https://wsop.gg-global-cdn.com/wsop/cc005520-f61f-427d-955f-f92a9e4c1051.pdf" TargetMode="External"/><Relationship Id="rId20" Type="http://schemas.openxmlformats.org/officeDocument/2006/relationships/hyperlink" Target="https://wsop.gg-global-cdn.com/wsop/2ae8b531-6bbc-453f-a211-5bae2385aec4.pdf" TargetMode="External"/><Relationship Id="rId41" Type="http://schemas.openxmlformats.org/officeDocument/2006/relationships/hyperlink" Target="https://wsop.gg-global-cdn.com/wsop/2ae8b531-6bbc-453f-a211-5bae2385aec4.pdf" TargetMode="External"/><Relationship Id="rId62" Type="http://schemas.openxmlformats.org/officeDocument/2006/relationships/hyperlink" Target="https://wsop.gg-global-cdn.com/wsop/2ae8b531-6bbc-453f-a211-5bae2385aec4.pdf" TargetMode="External"/><Relationship Id="rId83" Type="http://schemas.openxmlformats.org/officeDocument/2006/relationships/hyperlink" Target="https://wsop.gg-global-cdn.com/wsop/2ae8b531-6bbc-453f-a211-5bae2385aec4.pdf" TargetMode="External"/><Relationship Id="rId179" Type="http://schemas.openxmlformats.org/officeDocument/2006/relationships/hyperlink" Target="https://wsop.gg-global-cdn.com/wsop/cc005520-f61f-427d-955f-f92a9e4c1051.pdf" TargetMode="External"/><Relationship Id="rId190" Type="http://schemas.openxmlformats.org/officeDocument/2006/relationships/hyperlink" Target="https://wsop.gg-global-cdn.com/wsop/cc005520-f61f-427d-955f-f92a9e4c1051.pdf" TargetMode="External"/><Relationship Id="rId204" Type="http://schemas.openxmlformats.org/officeDocument/2006/relationships/hyperlink" Target="https://drive.google.com/file/d/1xnvBcIziWXyG8s8cd9hABJlKOLeC7cC_/view?usp=drive_link" TargetMode="External"/><Relationship Id="rId225" Type="http://schemas.openxmlformats.org/officeDocument/2006/relationships/hyperlink" Target="https://t.co/6VPbbn23ge" TargetMode="External"/><Relationship Id="rId246" Type="http://schemas.openxmlformats.org/officeDocument/2006/relationships/hyperlink" Target="https://t.co/6VPbbn23ge" TargetMode="External"/><Relationship Id="rId106" Type="http://schemas.openxmlformats.org/officeDocument/2006/relationships/hyperlink" Target="https://wsop.gg-global-cdn.com/wsop/2ae8b531-6bbc-453f-a211-5bae2385aec4.pdf" TargetMode="External"/><Relationship Id="rId127" Type="http://schemas.openxmlformats.org/officeDocument/2006/relationships/hyperlink" Target="https://wsop.gg-global-cdn.com/wsop/2ae8b531-6bbc-453f-a211-5bae2385aec4.pdf" TargetMode="External"/><Relationship Id="rId10" Type="http://schemas.openxmlformats.org/officeDocument/2006/relationships/hyperlink" Target="https://wsop.gg-global-cdn.com/wsop/2ae8b531-6bbc-453f-a211-5bae2385aec4.pdf" TargetMode="External"/><Relationship Id="rId31" Type="http://schemas.openxmlformats.org/officeDocument/2006/relationships/hyperlink" Target="https://wsop.gg-global-cdn.com/wsop/2ae8b531-6bbc-453f-a211-5bae2385aec4.pdf" TargetMode="External"/><Relationship Id="rId52" Type="http://schemas.openxmlformats.org/officeDocument/2006/relationships/hyperlink" Target="https://wsop.gg-global-cdn.com/wsop/2ae8b531-6bbc-453f-a211-5bae2385aec4.pdf" TargetMode="External"/><Relationship Id="rId73" Type="http://schemas.openxmlformats.org/officeDocument/2006/relationships/hyperlink" Target="https://wsop.gg-global-cdn.com/wsop/2ae8b531-6bbc-453f-a211-5bae2385aec4.pdf" TargetMode="External"/><Relationship Id="rId94" Type="http://schemas.openxmlformats.org/officeDocument/2006/relationships/hyperlink" Target="https://wsop.gg-global-cdn.com/wsop/2ae8b531-6bbc-453f-a211-5bae2385aec4.pdf" TargetMode="External"/><Relationship Id="rId148" Type="http://schemas.openxmlformats.org/officeDocument/2006/relationships/hyperlink" Target="https://wsop.gg-global-cdn.com/wsop/cc005520-f61f-427d-955f-f92a9e4c1051.pdf" TargetMode="External"/><Relationship Id="rId169" Type="http://schemas.openxmlformats.org/officeDocument/2006/relationships/hyperlink" Target="https://wsop.gg-global-cdn.com/wsop/cc005520-f61f-427d-955f-f92a9e4c1051.pdf" TargetMode="External"/><Relationship Id="rId4" Type="http://schemas.openxmlformats.org/officeDocument/2006/relationships/hyperlink" Target="https://wsop.gg-global-cdn.com/wsop/2ae8b531-6bbc-453f-a211-5bae2385aec4.pdf" TargetMode="External"/><Relationship Id="rId180" Type="http://schemas.openxmlformats.org/officeDocument/2006/relationships/hyperlink" Target="https://wsop.gg-global-cdn.com/wsop/cc005520-f61f-427d-955f-f92a9e4c1051.pdf" TargetMode="External"/><Relationship Id="rId215" Type="http://schemas.openxmlformats.org/officeDocument/2006/relationships/hyperlink" Target="https://wsop.gg-global-cdn.com/wsop/cc005520-f61f-427d-955f-f92a9e4c1051.pdf" TargetMode="External"/><Relationship Id="rId236" Type="http://schemas.openxmlformats.org/officeDocument/2006/relationships/hyperlink" Target="https://t.co/6VPbbn23ge" TargetMode="External"/><Relationship Id="rId257" Type="http://schemas.openxmlformats.org/officeDocument/2006/relationships/hyperlink" Target="https://www.venetianlasvegas.com/content/dam/vlvweb/casino/poker/deepstack/2026/structures/dscps_2026-structure_32.pdf" TargetMode="External"/><Relationship Id="rId42" Type="http://schemas.openxmlformats.org/officeDocument/2006/relationships/hyperlink" Target="https://wsop.gg-global-cdn.com/wsop/2ae8b531-6bbc-453f-a211-5bae2385aec4.pdf" TargetMode="External"/><Relationship Id="rId84" Type="http://schemas.openxmlformats.org/officeDocument/2006/relationships/hyperlink" Target="https://wsop.gg-global-cdn.com/wsop/2ae8b531-6bbc-453f-a211-5bae2385aec4.pdf" TargetMode="External"/><Relationship Id="rId138" Type="http://schemas.openxmlformats.org/officeDocument/2006/relationships/hyperlink" Target="https://wsop.gg-global-cdn.com/wsop/2ae8b531-6bbc-453f-a211-5bae2385aec4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sop.com/pdfs/structuresheets/structure_5771_24622.pdf" TargetMode="External"/><Relationship Id="rId3" Type="http://schemas.openxmlformats.org/officeDocument/2006/relationships/hyperlink" Target="https://www.wsop.com/pdfs/structuresheets/structure_5771_24618.pdf" TargetMode="External"/><Relationship Id="rId7" Type="http://schemas.openxmlformats.org/officeDocument/2006/relationships/hyperlink" Target="https://www.wsop.com/pdfs/structuresheets/structure_5771_24621.pdf" TargetMode="External"/><Relationship Id="rId2" Type="http://schemas.openxmlformats.org/officeDocument/2006/relationships/hyperlink" Target="https://www.wsop.com/pdfs/structuresheets/structure_5771_24618.pdf" TargetMode="External"/><Relationship Id="rId1" Type="http://schemas.openxmlformats.org/officeDocument/2006/relationships/hyperlink" Target="https://www.wsop.com/pdfs/structuresheets/structure_5771_24618.pdf" TargetMode="External"/><Relationship Id="rId6" Type="http://schemas.openxmlformats.org/officeDocument/2006/relationships/hyperlink" Target="https://www.wsop.com/pdfs/structuresheets/structure_5771_24620.pdf" TargetMode="External"/><Relationship Id="rId11" Type="http://schemas.openxmlformats.org/officeDocument/2006/relationships/hyperlink" Target="https://www.wsop.com/pdfs/structuresheets/structure_5771_24621.pdf" TargetMode="External"/><Relationship Id="rId5" Type="http://schemas.openxmlformats.org/officeDocument/2006/relationships/hyperlink" Target="https://www.wsop.com/pdfs/structuresheets/structure_5771_24619.pdf" TargetMode="External"/><Relationship Id="rId10" Type="http://schemas.openxmlformats.org/officeDocument/2006/relationships/hyperlink" Target="https://www.wsop.com/pdfs/structuresheets/structure_5771_24620.pdf" TargetMode="External"/><Relationship Id="rId4" Type="http://schemas.openxmlformats.org/officeDocument/2006/relationships/hyperlink" Target="https://www.wsop.com/pdfs/structuresheets/structure_5771_24655.pdf" TargetMode="External"/><Relationship Id="rId9" Type="http://schemas.openxmlformats.org/officeDocument/2006/relationships/hyperlink" Target="https://www.wsop.com/pdfs/structuresheets/structure_5771_2461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AD6C-5075-4C1B-869E-52838ACCA583}">
  <dimension ref="A1:E93"/>
  <sheetViews>
    <sheetView topLeftCell="A64" workbookViewId="0">
      <selection activeCell="D86" sqref="D86"/>
    </sheetView>
  </sheetViews>
  <sheetFormatPr defaultColWidth="8.88671875" defaultRowHeight="14.4"/>
  <cols>
    <col min="1" max="3" width="8.88671875" style="2"/>
    <col min="4" max="4" width="9.44140625" style="2" bestFit="1" customWidth="1"/>
    <col min="5" max="16384" width="8.88671875" style="2"/>
  </cols>
  <sheetData>
    <row r="1" spans="1:5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</row>
    <row r="2" spans="1:5">
      <c r="A2" s="2">
        <v>1</v>
      </c>
      <c r="B2" s="2" t="s">
        <v>72</v>
      </c>
      <c r="C2" s="2" t="s">
        <v>47</v>
      </c>
      <c r="D2" s="4">
        <v>46143</v>
      </c>
      <c r="E2" s="2" t="s">
        <v>50</v>
      </c>
    </row>
    <row r="3" spans="1:5">
      <c r="A3" s="2">
        <v>1</v>
      </c>
      <c r="B3" s="2" t="s">
        <v>72</v>
      </c>
      <c r="C3" s="2" t="s">
        <v>52</v>
      </c>
      <c r="D3" s="4">
        <v>46144</v>
      </c>
      <c r="E3" s="2" t="s">
        <v>50</v>
      </c>
    </row>
    <row r="4" spans="1:5">
      <c r="A4" s="2">
        <v>1</v>
      </c>
      <c r="B4" s="2" t="s">
        <v>72</v>
      </c>
      <c r="C4" s="2" t="s">
        <v>53</v>
      </c>
      <c r="D4" s="4">
        <v>46145</v>
      </c>
      <c r="E4" s="2" t="s">
        <v>50</v>
      </c>
    </row>
    <row r="5" spans="1:5">
      <c r="A5" s="2">
        <v>1</v>
      </c>
      <c r="B5" s="2" t="s">
        <v>72</v>
      </c>
      <c r="C5" s="2" t="s">
        <v>56</v>
      </c>
      <c r="D5" s="4">
        <v>46146</v>
      </c>
      <c r="E5" s="2" t="s">
        <v>50</v>
      </c>
    </row>
    <row r="6" spans="1:5">
      <c r="A6" s="2">
        <v>1</v>
      </c>
      <c r="B6" s="2" t="s">
        <v>72</v>
      </c>
      <c r="C6" s="2" t="s">
        <v>58</v>
      </c>
      <c r="D6" s="4">
        <v>46147</v>
      </c>
      <c r="E6" s="2" t="s">
        <v>50</v>
      </c>
    </row>
    <row r="7" spans="1:5">
      <c r="A7" s="2">
        <v>1</v>
      </c>
      <c r="B7" s="2" t="s">
        <v>72</v>
      </c>
      <c r="C7" s="2" t="s">
        <v>59</v>
      </c>
      <c r="D7" s="4">
        <v>46148</v>
      </c>
      <c r="E7" s="2" t="s">
        <v>50</v>
      </c>
    </row>
    <row r="8" spans="1:5">
      <c r="A8" s="2">
        <v>1</v>
      </c>
      <c r="B8" s="2" t="s">
        <v>72</v>
      </c>
      <c r="C8" s="2" t="s">
        <v>60</v>
      </c>
      <c r="D8" s="4">
        <v>46149</v>
      </c>
      <c r="E8" s="2" t="s">
        <v>50</v>
      </c>
    </row>
    <row r="9" spans="1:5">
      <c r="A9" s="2">
        <v>1</v>
      </c>
      <c r="B9" s="2" t="s">
        <v>72</v>
      </c>
      <c r="C9" s="2" t="s">
        <v>47</v>
      </c>
      <c r="D9" s="4">
        <v>46150</v>
      </c>
      <c r="E9" s="2" t="s">
        <v>50</v>
      </c>
    </row>
    <row r="10" spans="1:5">
      <c r="A10" s="2">
        <v>1</v>
      </c>
      <c r="B10" s="2" t="s">
        <v>72</v>
      </c>
      <c r="C10" s="2" t="s">
        <v>52</v>
      </c>
      <c r="D10" s="4">
        <v>46151</v>
      </c>
      <c r="E10" s="2" t="s">
        <v>50</v>
      </c>
    </row>
    <row r="11" spans="1:5">
      <c r="A11" s="2">
        <v>1</v>
      </c>
      <c r="B11" s="2" t="s">
        <v>72</v>
      </c>
      <c r="C11" s="2" t="s">
        <v>53</v>
      </c>
      <c r="D11" s="4">
        <v>46152</v>
      </c>
      <c r="E11" s="2" t="s">
        <v>50</v>
      </c>
    </row>
    <row r="12" spans="1:5">
      <c r="A12" s="2">
        <v>1</v>
      </c>
      <c r="B12" s="2" t="s">
        <v>72</v>
      </c>
      <c r="C12" s="2" t="s">
        <v>56</v>
      </c>
      <c r="D12" s="4">
        <v>46153</v>
      </c>
      <c r="E12" s="2" t="s">
        <v>50</v>
      </c>
    </row>
    <row r="13" spans="1:5">
      <c r="A13" s="2">
        <v>1</v>
      </c>
      <c r="B13" s="2" t="s">
        <v>72</v>
      </c>
      <c r="C13" s="2" t="s">
        <v>58</v>
      </c>
      <c r="D13" s="4">
        <v>46154</v>
      </c>
      <c r="E13" s="2" t="s">
        <v>50</v>
      </c>
    </row>
    <row r="14" spans="1:5">
      <c r="A14" s="2">
        <v>1</v>
      </c>
      <c r="B14" s="2" t="s">
        <v>72</v>
      </c>
      <c r="C14" s="2" t="s">
        <v>59</v>
      </c>
      <c r="D14" s="4">
        <v>46155</v>
      </c>
      <c r="E14" s="2" t="s">
        <v>50</v>
      </c>
    </row>
    <row r="15" spans="1:5">
      <c r="A15" s="2">
        <v>1</v>
      </c>
      <c r="B15" s="2" t="s">
        <v>72</v>
      </c>
      <c r="C15" s="2" t="s">
        <v>60</v>
      </c>
      <c r="D15" s="4">
        <v>46156</v>
      </c>
      <c r="E15" s="2" t="s">
        <v>50</v>
      </c>
    </row>
    <row r="16" spans="1:5">
      <c r="A16" s="2">
        <v>1</v>
      </c>
      <c r="B16" s="2" t="s">
        <v>72</v>
      </c>
      <c r="C16" s="2" t="s">
        <v>47</v>
      </c>
      <c r="D16" s="4">
        <v>46157</v>
      </c>
      <c r="E16" s="2" t="s">
        <v>50</v>
      </c>
    </row>
    <row r="17" spans="1:5">
      <c r="A17" s="2">
        <v>1</v>
      </c>
      <c r="B17" s="2" t="s">
        <v>72</v>
      </c>
      <c r="C17" s="2" t="s">
        <v>52</v>
      </c>
      <c r="D17" s="4">
        <v>46158</v>
      </c>
      <c r="E17" s="2" t="s">
        <v>50</v>
      </c>
    </row>
    <row r="18" spans="1:5">
      <c r="A18" s="2">
        <v>1</v>
      </c>
      <c r="B18" s="2" t="s">
        <v>72</v>
      </c>
      <c r="C18" s="2" t="s">
        <v>53</v>
      </c>
      <c r="D18" s="4">
        <v>46159</v>
      </c>
      <c r="E18" s="2" t="s">
        <v>50</v>
      </c>
    </row>
    <row r="19" spans="1:5">
      <c r="A19" s="2">
        <v>1</v>
      </c>
      <c r="B19" s="2" t="s">
        <v>72</v>
      </c>
      <c r="C19" s="2" t="s">
        <v>56</v>
      </c>
      <c r="D19" s="4">
        <v>46160</v>
      </c>
      <c r="E19" s="2" t="s">
        <v>50</v>
      </c>
    </row>
    <row r="20" spans="1:5">
      <c r="A20" s="2">
        <v>1</v>
      </c>
      <c r="B20" s="2" t="s">
        <v>72</v>
      </c>
      <c r="C20" s="2" t="s">
        <v>58</v>
      </c>
      <c r="D20" s="4">
        <v>46161</v>
      </c>
      <c r="E20" s="2" t="s">
        <v>50</v>
      </c>
    </row>
    <row r="21" spans="1:5">
      <c r="A21" s="2">
        <v>1</v>
      </c>
      <c r="B21" s="2" t="s">
        <v>72</v>
      </c>
      <c r="C21" s="2" t="s">
        <v>59</v>
      </c>
      <c r="D21" s="4">
        <v>46162</v>
      </c>
      <c r="E21" s="2" t="s">
        <v>50</v>
      </c>
    </row>
    <row r="22" spans="1:5">
      <c r="A22" s="2">
        <v>1</v>
      </c>
      <c r="B22" s="2" t="s">
        <v>72</v>
      </c>
      <c r="C22" s="2" t="s">
        <v>60</v>
      </c>
      <c r="D22" s="4">
        <v>46163</v>
      </c>
      <c r="E22" s="2" t="s">
        <v>50</v>
      </c>
    </row>
    <row r="23" spans="1:5">
      <c r="A23" s="2">
        <v>1</v>
      </c>
      <c r="B23" s="2" t="s">
        <v>72</v>
      </c>
      <c r="C23" s="2" t="s">
        <v>47</v>
      </c>
      <c r="D23" s="4">
        <v>46164</v>
      </c>
      <c r="E23" s="2" t="s">
        <v>50</v>
      </c>
    </row>
    <row r="24" spans="1:5">
      <c r="A24" s="2">
        <v>1</v>
      </c>
      <c r="B24" s="2" t="s">
        <v>72</v>
      </c>
      <c r="C24" s="2" t="s">
        <v>52</v>
      </c>
      <c r="D24" s="4">
        <v>46165</v>
      </c>
      <c r="E24" s="2" t="s">
        <v>50</v>
      </c>
    </row>
    <row r="25" spans="1:5">
      <c r="A25" s="2">
        <v>1</v>
      </c>
      <c r="B25" s="2" t="s">
        <v>72</v>
      </c>
      <c r="C25" s="2" t="s">
        <v>53</v>
      </c>
      <c r="D25" s="4">
        <v>46166</v>
      </c>
      <c r="E25" s="2" t="s">
        <v>50</v>
      </c>
    </row>
    <row r="26" spans="1:5">
      <c r="A26" s="2">
        <v>1</v>
      </c>
      <c r="B26" s="2" t="s">
        <v>72</v>
      </c>
      <c r="C26" s="2" t="s">
        <v>56</v>
      </c>
      <c r="D26" s="4">
        <v>46167</v>
      </c>
      <c r="E26" s="2" t="s">
        <v>50</v>
      </c>
    </row>
    <row r="27" spans="1:5">
      <c r="A27" s="2">
        <v>1</v>
      </c>
      <c r="B27" s="2" t="s">
        <v>72</v>
      </c>
      <c r="C27" s="2" t="s">
        <v>58</v>
      </c>
      <c r="D27" s="4">
        <v>46168</v>
      </c>
      <c r="E27" s="2" t="s">
        <v>50</v>
      </c>
    </row>
    <row r="28" spans="1:5">
      <c r="A28" s="2">
        <v>1</v>
      </c>
      <c r="B28" s="2" t="s">
        <v>72</v>
      </c>
      <c r="C28" s="2" t="s">
        <v>59</v>
      </c>
      <c r="D28" s="4">
        <v>46169</v>
      </c>
      <c r="E28" s="2" t="s">
        <v>50</v>
      </c>
    </row>
    <row r="29" spans="1:5">
      <c r="A29" s="2">
        <v>1</v>
      </c>
      <c r="B29" s="2" t="s">
        <v>72</v>
      </c>
      <c r="C29" s="2" t="s">
        <v>60</v>
      </c>
      <c r="D29" s="4">
        <v>46170</v>
      </c>
      <c r="E29" s="2" t="s">
        <v>50</v>
      </c>
    </row>
    <row r="30" spans="1:5">
      <c r="A30" s="2">
        <v>1</v>
      </c>
      <c r="B30" s="2" t="s">
        <v>72</v>
      </c>
      <c r="C30" s="2" t="s">
        <v>47</v>
      </c>
      <c r="D30" s="4">
        <v>46171</v>
      </c>
      <c r="E30" s="2" t="s">
        <v>50</v>
      </c>
    </row>
    <row r="31" spans="1:5">
      <c r="A31" s="2">
        <v>1</v>
      </c>
      <c r="B31" s="2" t="s">
        <v>72</v>
      </c>
      <c r="C31" s="2" t="s">
        <v>52</v>
      </c>
      <c r="D31" s="4">
        <v>46172</v>
      </c>
      <c r="E31" s="2" t="s">
        <v>50</v>
      </c>
    </row>
    <row r="32" spans="1:5">
      <c r="A32" s="2">
        <v>1</v>
      </c>
      <c r="B32" s="2" t="s">
        <v>72</v>
      </c>
      <c r="C32" s="2" t="s">
        <v>53</v>
      </c>
      <c r="D32" s="4">
        <v>46173</v>
      </c>
      <c r="E32" s="2" t="s">
        <v>50</v>
      </c>
    </row>
    <row r="33" spans="1:5">
      <c r="A33" s="2">
        <v>2</v>
      </c>
      <c r="B33" s="2" t="s">
        <v>73</v>
      </c>
      <c r="C33" s="2" t="s">
        <v>56</v>
      </c>
      <c r="D33" s="4">
        <v>46174</v>
      </c>
      <c r="E33" s="2" t="s">
        <v>65</v>
      </c>
    </row>
    <row r="34" spans="1:5">
      <c r="A34" s="2">
        <v>2</v>
      </c>
      <c r="B34" s="2" t="s">
        <v>73</v>
      </c>
      <c r="C34" s="2" t="s">
        <v>58</v>
      </c>
      <c r="D34" s="4">
        <v>46175</v>
      </c>
      <c r="E34" s="2" t="s">
        <v>65</v>
      </c>
    </row>
    <row r="35" spans="1:5">
      <c r="A35" s="2">
        <v>2</v>
      </c>
      <c r="B35" s="2" t="s">
        <v>73</v>
      </c>
      <c r="C35" s="2" t="s">
        <v>59</v>
      </c>
      <c r="D35" s="4">
        <v>46176</v>
      </c>
      <c r="E35" s="2" t="s">
        <v>65</v>
      </c>
    </row>
    <row r="36" spans="1:5">
      <c r="A36" s="2">
        <v>2</v>
      </c>
      <c r="B36" s="2" t="s">
        <v>73</v>
      </c>
      <c r="C36" s="2" t="s">
        <v>60</v>
      </c>
      <c r="D36" s="4">
        <v>46177</v>
      </c>
      <c r="E36" s="2" t="s">
        <v>65</v>
      </c>
    </row>
    <row r="37" spans="1:5">
      <c r="A37" s="2">
        <v>2</v>
      </c>
      <c r="B37" s="2" t="s">
        <v>73</v>
      </c>
      <c r="C37" s="2" t="s">
        <v>47</v>
      </c>
      <c r="D37" s="4">
        <v>46178</v>
      </c>
      <c r="E37" s="2" t="s">
        <v>65</v>
      </c>
    </row>
    <row r="38" spans="1:5">
      <c r="A38" s="2">
        <v>2</v>
      </c>
      <c r="B38" s="2" t="s">
        <v>73</v>
      </c>
      <c r="C38" s="2" t="s">
        <v>52</v>
      </c>
      <c r="D38" s="4">
        <v>46179</v>
      </c>
      <c r="E38" s="2" t="s">
        <v>65</v>
      </c>
    </row>
    <row r="39" spans="1:5">
      <c r="A39" s="2">
        <v>2</v>
      </c>
      <c r="B39" s="2" t="s">
        <v>73</v>
      </c>
      <c r="C39" s="2" t="s">
        <v>53</v>
      </c>
      <c r="D39" s="4">
        <v>46180</v>
      </c>
      <c r="E39" s="2" t="s">
        <v>65</v>
      </c>
    </row>
    <row r="40" spans="1:5">
      <c r="A40" s="2">
        <v>2</v>
      </c>
      <c r="B40" s="2" t="s">
        <v>73</v>
      </c>
      <c r="C40" s="2" t="s">
        <v>56</v>
      </c>
      <c r="D40" s="4">
        <v>46181</v>
      </c>
      <c r="E40" s="2" t="s">
        <v>65</v>
      </c>
    </row>
    <row r="41" spans="1:5">
      <c r="A41" s="2">
        <v>2</v>
      </c>
      <c r="B41" s="2" t="s">
        <v>73</v>
      </c>
      <c r="C41" s="2" t="s">
        <v>58</v>
      </c>
      <c r="D41" s="4">
        <v>46182</v>
      </c>
      <c r="E41" s="2" t="s">
        <v>65</v>
      </c>
    </row>
    <row r="42" spans="1:5">
      <c r="A42" s="2">
        <v>2</v>
      </c>
      <c r="B42" s="2" t="s">
        <v>73</v>
      </c>
      <c r="C42" s="2" t="s">
        <v>59</v>
      </c>
      <c r="D42" s="4">
        <v>46183</v>
      </c>
      <c r="E42" s="2" t="s">
        <v>65</v>
      </c>
    </row>
    <row r="43" spans="1:5">
      <c r="A43" s="2">
        <v>2</v>
      </c>
      <c r="B43" s="2" t="s">
        <v>73</v>
      </c>
      <c r="C43" s="2" t="s">
        <v>60</v>
      </c>
      <c r="D43" s="4">
        <v>46184</v>
      </c>
      <c r="E43" s="2" t="s">
        <v>65</v>
      </c>
    </row>
    <row r="44" spans="1:5">
      <c r="A44" s="2">
        <v>2</v>
      </c>
      <c r="B44" s="2" t="s">
        <v>73</v>
      </c>
      <c r="C44" s="2" t="s">
        <v>47</v>
      </c>
      <c r="D44" s="4">
        <v>46185</v>
      </c>
      <c r="E44" s="2" t="s">
        <v>65</v>
      </c>
    </row>
    <row r="45" spans="1:5">
      <c r="A45" s="2">
        <v>2</v>
      </c>
      <c r="B45" s="2" t="s">
        <v>73</v>
      </c>
      <c r="C45" s="2" t="s">
        <v>52</v>
      </c>
      <c r="D45" s="4">
        <v>46186</v>
      </c>
      <c r="E45" s="2" t="s">
        <v>65</v>
      </c>
    </row>
    <row r="46" spans="1:5">
      <c r="A46" s="2">
        <v>2</v>
      </c>
      <c r="B46" s="2" t="s">
        <v>73</v>
      </c>
      <c r="C46" s="2" t="s">
        <v>53</v>
      </c>
      <c r="D46" s="4">
        <v>46187</v>
      </c>
      <c r="E46" s="2" t="s">
        <v>65</v>
      </c>
    </row>
    <row r="47" spans="1:5">
      <c r="A47" s="2">
        <v>2</v>
      </c>
      <c r="B47" s="2" t="s">
        <v>73</v>
      </c>
      <c r="C47" s="2" t="s">
        <v>56</v>
      </c>
      <c r="D47" s="4">
        <v>46188</v>
      </c>
      <c r="E47" s="2" t="s">
        <v>65</v>
      </c>
    </row>
    <row r="48" spans="1:5">
      <c r="A48" s="2">
        <v>2</v>
      </c>
      <c r="B48" s="2" t="s">
        <v>73</v>
      </c>
      <c r="C48" s="2" t="s">
        <v>58</v>
      </c>
      <c r="D48" s="4">
        <v>46189</v>
      </c>
      <c r="E48" s="2" t="s">
        <v>65</v>
      </c>
    </row>
    <row r="49" spans="1:5">
      <c r="A49" s="2">
        <v>2</v>
      </c>
      <c r="B49" s="2" t="s">
        <v>73</v>
      </c>
      <c r="C49" s="2" t="s">
        <v>59</v>
      </c>
      <c r="D49" s="4">
        <v>46190</v>
      </c>
      <c r="E49" s="2" t="s">
        <v>65</v>
      </c>
    </row>
    <row r="50" spans="1:5">
      <c r="A50" s="2">
        <v>2</v>
      </c>
      <c r="B50" s="2" t="s">
        <v>73</v>
      </c>
      <c r="C50" s="2" t="s">
        <v>60</v>
      </c>
      <c r="D50" s="4">
        <v>46191</v>
      </c>
      <c r="E50" s="2" t="s">
        <v>65</v>
      </c>
    </row>
    <row r="51" spans="1:5">
      <c r="A51" s="2">
        <v>2</v>
      </c>
      <c r="B51" s="2" t="s">
        <v>73</v>
      </c>
      <c r="C51" s="2" t="s">
        <v>47</v>
      </c>
      <c r="D51" s="4">
        <v>46192</v>
      </c>
      <c r="E51" s="2" t="s">
        <v>65</v>
      </c>
    </row>
    <row r="52" spans="1:5">
      <c r="A52" s="2">
        <v>2</v>
      </c>
      <c r="B52" s="2" t="s">
        <v>73</v>
      </c>
      <c r="C52" s="2" t="s">
        <v>52</v>
      </c>
      <c r="D52" s="4">
        <v>46193</v>
      </c>
      <c r="E52" s="2" t="s">
        <v>65</v>
      </c>
    </row>
    <row r="53" spans="1:5">
      <c r="A53" s="2">
        <v>2</v>
      </c>
      <c r="B53" s="2" t="s">
        <v>73</v>
      </c>
      <c r="C53" s="2" t="s">
        <v>53</v>
      </c>
      <c r="D53" s="4">
        <v>46194</v>
      </c>
      <c r="E53" s="2" t="s">
        <v>65</v>
      </c>
    </row>
    <row r="54" spans="1:5">
      <c r="A54" s="2">
        <v>2</v>
      </c>
      <c r="B54" s="2" t="s">
        <v>73</v>
      </c>
      <c r="C54" s="2" t="s">
        <v>56</v>
      </c>
      <c r="D54" s="4">
        <v>46195</v>
      </c>
      <c r="E54" s="2" t="s">
        <v>65</v>
      </c>
    </row>
    <row r="55" spans="1:5">
      <c r="A55" s="2">
        <v>2</v>
      </c>
      <c r="B55" s="2" t="s">
        <v>73</v>
      </c>
      <c r="C55" s="2" t="s">
        <v>58</v>
      </c>
      <c r="D55" s="4">
        <v>46196</v>
      </c>
      <c r="E55" s="2" t="s">
        <v>65</v>
      </c>
    </row>
    <row r="56" spans="1:5">
      <c r="A56" s="2">
        <v>2</v>
      </c>
      <c r="B56" s="2" t="s">
        <v>73</v>
      </c>
      <c r="C56" s="2" t="s">
        <v>59</v>
      </c>
      <c r="D56" s="4">
        <v>46197</v>
      </c>
      <c r="E56" s="2" t="s">
        <v>65</v>
      </c>
    </row>
    <row r="57" spans="1:5">
      <c r="A57" s="2">
        <v>2</v>
      </c>
      <c r="B57" s="2" t="s">
        <v>73</v>
      </c>
      <c r="C57" s="2" t="s">
        <v>60</v>
      </c>
      <c r="D57" s="4">
        <v>46198</v>
      </c>
      <c r="E57" s="2" t="s">
        <v>65</v>
      </c>
    </row>
    <row r="58" spans="1:5">
      <c r="A58" s="2">
        <v>2</v>
      </c>
      <c r="B58" s="2" t="s">
        <v>73</v>
      </c>
      <c r="C58" s="2" t="s">
        <v>47</v>
      </c>
      <c r="D58" s="4">
        <v>46199</v>
      </c>
      <c r="E58" s="2" t="s">
        <v>65</v>
      </c>
    </row>
    <row r="59" spans="1:5">
      <c r="A59" s="2">
        <v>2</v>
      </c>
      <c r="B59" s="2" t="s">
        <v>73</v>
      </c>
      <c r="C59" s="2" t="s">
        <v>52</v>
      </c>
      <c r="D59" s="4">
        <v>46200</v>
      </c>
      <c r="E59" s="2" t="s">
        <v>65</v>
      </c>
    </row>
    <row r="60" spans="1:5">
      <c r="A60" s="2">
        <v>2</v>
      </c>
      <c r="B60" s="2" t="s">
        <v>73</v>
      </c>
      <c r="C60" s="2" t="s">
        <v>53</v>
      </c>
      <c r="D60" s="4">
        <v>46201</v>
      </c>
      <c r="E60" s="2" t="s">
        <v>65</v>
      </c>
    </row>
    <row r="61" spans="1:5">
      <c r="A61" s="2">
        <v>2</v>
      </c>
      <c r="B61" s="2" t="s">
        <v>73</v>
      </c>
      <c r="C61" s="2" t="s">
        <v>56</v>
      </c>
      <c r="D61" s="4">
        <v>46202</v>
      </c>
      <c r="E61" s="2" t="s">
        <v>65</v>
      </c>
    </row>
    <row r="62" spans="1:5">
      <c r="A62" s="2">
        <v>2</v>
      </c>
      <c r="B62" s="2" t="s">
        <v>73</v>
      </c>
      <c r="C62" s="2" t="s">
        <v>58</v>
      </c>
      <c r="D62" s="4">
        <v>46203</v>
      </c>
      <c r="E62" s="2" t="s">
        <v>65</v>
      </c>
    </row>
    <row r="63" spans="1:5">
      <c r="A63" s="2">
        <v>3</v>
      </c>
      <c r="B63" s="2" t="s">
        <v>74</v>
      </c>
      <c r="C63" s="2" t="s">
        <v>59</v>
      </c>
      <c r="D63" s="4">
        <v>46204</v>
      </c>
      <c r="E63" s="2" t="s">
        <v>66</v>
      </c>
    </row>
    <row r="64" spans="1:5">
      <c r="A64" s="2">
        <v>3</v>
      </c>
      <c r="B64" s="2" t="s">
        <v>74</v>
      </c>
      <c r="C64" s="2" t="s">
        <v>60</v>
      </c>
      <c r="D64" s="4">
        <v>46205</v>
      </c>
      <c r="E64" s="2" t="s">
        <v>66</v>
      </c>
    </row>
    <row r="65" spans="1:5">
      <c r="A65" s="2">
        <v>3</v>
      </c>
      <c r="B65" s="2" t="s">
        <v>74</v>
      </c>
      <c r="C65" s="2" t="s">
        <v>47</v>
      </c>
      <c r="D65" s="4">
        <v>46206</v>
      </c>
      <c r="E65" s="2" t="s">
        <v>66</v>
      </c>
    </row>
    <row r="66" spans="1:5">
      <c r="A66" s="2">
        <v>3</v>
      </c>
      <c r="B66" s="2" t="s">
        <v>74</v>
      </c>
      <c r="C66" s="2" t="s">
        <v>52</v>
      </c>
      <c r="D66" s="4">
        <v>46207</v>
      </c>
      <c r="E66" s="2" t="s">
        <v>66</v>
      </c>
    </row>
    <row r="67" spans="1:5">
      <c r="A67" s="2">
        <v>3</v>
      </c>
      <c r="B67" s="2" t="s">
        <v>74</v>
      </c>
      <c r="C67" s="2" t="s">
        <v>53</v>
      </c>
      <c r="D67" s="4">
        <v>46208</v>
      </c>
      <c r="E67" s="2" t="s">
        <v>66</v>
      </c>
    </row>
    <row r="68" spans="1:5">
      <c r="A68" s="2">
        <v>3</v>
      </c>
      <c r="B68" s="2" t="s">
        <v>74</v>
      </c>
      <c r="C68" s="2" t="s">
        <v>56</v>
      </c>
      <c r="D68" s="4">
        <v>46209</v>
      </c>
      <c r="E68" s="2" t="s">
        <v>66</v>
      </c>
    </row>
    <row r="69" spans="1:5">
      <c r="A69" s="2">
        <v>3</v>
      </c>
      <c r="B69" s="2" t="s">
        <v>74</v>
      </c>
      <c r="C69" s="2" t="s">
        <v>58</v>
      </c>
      <c r="D69" s="4">
        <v>46210</v>
      </c>
      <c r="E69" s="2" t="s">
        <v>66</v>
      </c>
    </row>
    <row r="70" spans="1:5">
      <c r="A70" s="2">
        <v>3</v>
      </c>
      <c r="B70" s="2" t="s">
        <v>74</v>
      </c>
      <c r="C70" s="2" t="s">
        <v>59</v>
      </c>
      <c r="D70" s="4">
        <v>46211</v>
      </c>
      <c r="E70" s="2" t="s">
        <v>66</v>
      </c>
    </row>
    <row r="71" spans="1:5">
      <c r="A71" s="2">
        <v>3</v>
      </c>
      <c r="B71" s="2" t="s">
        <v>74</v>
      </c>
      <c r="C71" s="2" t="s">
        <v>60</v>
      </c>
      <c r="D71" s="4">
        <v>46212</v>
      </c>
      <c r="E71" s="2" t="s">
        <v>66</v>
      </c>
    </row>
    <row r="72" spans="1:5">
      <c r="A72" s="2">
        <v>3</v>
      </c>
      <c r="B72" s="2" t="s">
        <v>74</v>
      </c>
      <c r="C72" s="2" t="s">
        <v>47</v>
      </c>
      <c r="D72" s="4">
        <v>46213</v>
      </c>
      <c r="E72" s="2" t="s">
        <v>66</v>
      </c>
    </row>
    <row r="73" spans="1:5">
      <c r="A73" s="2">
        <v>3</v>
      </c>
      <c r="B73" s="2" t="s">
        <v>74</v>
      </c>
      <c r="C73" s="2" t="s">
        <v>52</v>
      </c>
      <c r="D73" s="4">
        <v>46214</v>
      </c>
      <c r="E73" s="2" t="s">
        <v>66</v>
      </c>
    </row>
    <row r="74" spans="1:5">
      <c r="A74" s="2">
        <v>3</v>
      </c>
      <c r="B74" s="2" t="s">
        <v>74</v>
      </c>
      <c r="C74" s="2" t="s">
        <v>53</v>
      </c>
      <c r="D74" s="4">
        <v>46215</v>
      </c>
      <c r="E74" s="2" t="s">
        <v>66</v>
      </c>
    </row>
    <row r="75" spans="1:5">
      <c r="A75" s="2">
        <v>3</v>
      </c>
      <c r="B75" s="2" t="s">
        <v>74</v>
      </c>
      <c r="C75" s="2" t="s">
        <v>56</v>
      </c>
      <c r="D75" s="4">
        <v>46216</v>
      </c>
      <c r="E75" s="2" t="s">
        <v>66</v>
      </c>
    </row>
    <row r="76" spans="1:5">
      <c r="A76" s="2">
        <v>3</v>
      </c>
      <c r="B76" s="2" t="s">
        <v>74</v>
      </c>
      <c r="C76" s="2" t="s">
        <v>58</v>
      </c>
      <c r="D76" s="4">
        <v>46217</v>
      </c>
      <c r="E76" s="2" t="s">
        <v>66</v>
      </c>
    </row>
    <row r="77" spans="1:5">
      <c r="A77" s="2">
        <v>3</v>
      </c>
      <c r="B77" s="2" t="s">
        <v>74</v>
      </c>
      <c r="C77" s="2" t="s">
        <v>59</v>
      </c>
      <c r="D77" s="4">
        <v>46218</v>
      </c>
      <c r="E77" s="2" t="s">
        <v>66</v>
      </c>
    </row>
    <row r="78" spans="1:5">
      <c r="A78" s="2">
        <v>3</v>
      </c>
      <c r="B78" s="2" t="s">
        <v>74</v>
      </c>
      <c r="C78" s="2" t="s">
        <v>60</v>
      </c>
      <c r="D78" s="4">
        <v>46219</v>
      </c>
      <c r="E78" s="2" t="s">
        <v>66</v>
      </c>
    </row>
    <row r="79" spans="1:5">
      <c r="A79" s="2">
        <v>3</v>
      </c>
      <c r="B79" s="2" t="s">
        <v>74</v>
      </c>
      <c r="C79" s="2" t="s">
        <v>47</v>
      </c>
      <c r="D79" s="4">
        <v>46220</v>
      </c>
      <c r="E79" s="2" t="s">
        <v>66</v>
      </c>
    </row>
    <row r="80" spans="1:5">
      <c r="A80" s="2">
        <v>3</v>
      </c>
      <c r="B80" s="2" t="s">
        <v>74</v>
      </c>
      <c r="C80" s="2" t="s">
        <v>52</v>
      </c>
      <c r="D80" s="4">
        <v>46221</v>
      </c>
      <c r="E80" s="2" t="s">
        <v>66</v>
      </c>
    </row>
    <row r="81" spans="1:5">
      <c r="A81" s="2">
        <v>3</v>
      </c>
      <c r="B81" s="2" t="s">
        <v>74</v>
      </c>
      <c r="C81" s="2" t="s">
        <v>53</v>
      </c>
      <c r="D81" s="4">
        <v>46222</v>
      </c>
      <c r="E81" s="2" t="s">
        <v>66</v>
      </c>
    </row>
    <row r="82" spans="1:5">
      <c r="A82" s="2">
        <v>3</v>
      </c>
      <c r="B82" s="2" t="s">
        <v>74</v>
      </c>
      <c r="C82" s="2" t="s">
        <v>56</v>
      </c>
      <c r="D82" s="4">
        <v>46223</v>
      </c>
      <c r="E82" s="2" t="s">
        <v>66</v>
      </c>
    </row>
    <row r="83" spans="1:5">
      <c r="A83" s="2">
        <v>3</v>
      </c>
      <c r="B83" s="2" t="s">
        <v>74</v>
      </c>
      <c r="C83" s="2" t="s">
        <v>58</v>
      </c>
      <c r="D83" s="4">
        <v>46224</v>
      </c>
      <c r="E83" s="2" t="s">
        <v>66</v>
      </c>
    </row>
    <row r="84" spans="1:5">
      <c r="A84" s="2">
        <v>3</v>
      </c>
      <c r="B84" s="2" t="s">
        <v>74</v>
      </c>
      <c r="C84" s="2" t="s">
        <v>59</v>
      </c>
      <c r="D84" s="4">
        <v>46225</v>
      </c>
      <c r="E84" s="2" t="s">
        <v>66</v>
      </c>
    </row>
    <row r="85" spans="1:5">
      <c r="A85" s="2">
        <v>3</v>
      </c>
      <c r="B85" s="2" t="s">
        <v>74</v>
      </c>
      <c r="C85" s="2" t="s">
        <v>60</v>
      </c>
      <c r="D85" s="4">
        <v>46226</v>
      </c>
      <c r="E85" s="2" t="s">
        <v>66</v>
      </c>
    </row>
    <row r="86" spans="1:5">
      <c r="A86" s="2">
        <v>3</v>
      </c>
      <c r="B86" s="2" t="s">
        <v>74</v>
      </c>
      <c r="C86" s="2" t="s">
        <v>47</v>
      </c>
      <c r="D86" s="4">
        <v>46227</v>
      </c>
      <c r="E86" s="2" t="s">
        <v>66</v>
      </c>
    </row>
    <row r="87" spans="1:5">
      <c r="A87" s="2">
        <v>3</v>
      </c>
      <c r="B87" s="2" t="s">
        <v>74</v>
      </c>
      <c r="C87" s="2" t="s">
        <v>52</v>
      </c>
      <c r="D87" s="4">
        <v>46228</v>
      </c>
      <c r="E87" s="2" t="s">
        <v>66</v>
      </c>
    </row>
    <row r="88" spans="1:5">
      <c r="A88" s="2">
        <v>3</v>
      </c>
      <c r="B88" s="2" t="s">
        <v>74</v>
      </c>
      <c r="C88" s="2" t="s">
        <v>53</v>
      </c>
      <c r="D88" s="4">
        <v>46229</v>
      </c>
      <c r="E88" s="2" t="s">
        <v>66</v>
      </c>
    </row>
    <row r="89" spans="1:5">
      <c r="A89" s="2">
        <v>3</v>
      </c>
      <c r="B89" s="2" t="s">
        <v>74</v>
      </c>
      <c r="C89" s="2" t="s">
        <v>56</v>
      </c>
      <c r="D89" s="4">
        <v>46230</v>
      </c>
      <c r="E89" s="2" t="s">
        <v>66</v>
      </c>
    </row>
    <row r="90" spans="1:5">
      <c r="A90" s="2">
        <v>3</v>
      </c>
      <c r="B90" s="2" t="s">
        <v>74</v>
      </c>
      <c r="C90" s="2" t="s">
        <v>58</v>
      </c>
      <c r="D90" s="4">
        <v>46231</v>
      </c>
      <c r="E90" s="2" t="s">
        <v>66</v>
      </c>
    </row>
    <row r="91" spans="1:5">
      <c r="A91" s="2">
        <v>3</v>
      </c>
      <c r="B91" s="2" t="s">
        <v>74</v>
      </c>
      <c r="C91" s="2" t="s">
        <v>59</v>
      </c>
      <c r="D91" s="4">
        <v>46232</v>
      </c>
      <c r="E91" s="2" t="s">
        <v>66</v>
      </c>
    </row>
    <row r="92" spans="1:5">
      <c r="A92" s="2">
        <v>3</v>
      </c>
      <c r="B92" s="2" t="s">
        <v>74</v>
      </c>
      <c r="C92" s="2" t="s">
        <v>60</v>
      </c>
      <c r="D92" s="4">
        <v>46233</v>
      </c>
      <c r="E92" s="2" t="s">
        <v>66</v>
      </c>
    </row>
    <row r="93" spans="1:5">
      <c r="A93" s="2">
        <v>3</v>
      </c>
      <c r="B93" s="2" t="s">
        <v>74</v>
      </c>
      <c r="C93" s="2" t="s">
        <v>47</v>
      </c>
      <c r="D93" s="4">
        <v>46234</v>
      </c>
      <c r="E93" s="2" t="s">
        <v>66</v>
      </c>
    </row>
  </sheetData>
  <phoneticPr fontId="6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A6F2-57C1-4EE4-908F-0C420D2AD6F5}">
  <dimension ref="A1:AH1048334"/>
  <sheetViews>
    <sheetView tabSelected="1" zoomScale="115" zoomScaleNormal="115" workbookViewId="0">
      <pane ySplit="1" topLeftCell="A2" activePane="bottomLeft" state="frozen"/>
      <selection activeCell="G1" sqref="G1"/>
      <selection pane="bottomLeft" sqref="A1:XFD1048576"/>
    </sheetView>
  </sheetViews>
  <sheetFormatPr defaultColWidth="9.77734375" defaultRowHeight="14.4"/>
  <cols>
    <col min="1" max="1" width="21.88671875" style="2" bestFit="1" customWidth="1"/>
    <col min="2" max="2" width="24" style="2" customWidth="1"/>
    <col min="3" max="3" width="15.77734375" style="4" customWidth="1"/>
    <col min="4" max="4" width="12.21875" style="143" bestFit="1" customWidth="1"/>
    <col min="5" max="5" width="9.77734375" style="31" customWidth="1"/>
    <col min="6" max="6" width="52.5546875" style="2" customWidth="1"/>
    <col min="7" max="7" width="7.109375" style="2" customWidth="1"/>
    <col min="8" max="8" width="8.44140625" style="2" customWidth="1"/>
    <col min="9" max="9" width="9.77734375" style="37" customWidth="1"/>
    <col min="10" max="10" width="19.109375" style="2" customWidth="1"/>
    <col min="11" max="11" width="13.33203125" style="2" customWidth="1"/>
    <col min="12" max="12" width="14.109375" style="89" customWidth="1"/>
    <col min="13" max="13" width="14.77734375" style="54" customWidth="1"/>
    <col min="14" max="14" width="20.109375" style="2" customWidth="1"/>
    <col min="15" max="15" width="22" style="2" customWidth="1"/>
    <col min="16" max="16" width="12.44140625" style="129" customWidth="1"/>
    <col min="17" max="17" width="14.21875" style="19" customWidth="1"/>
    <col min="18" max="18" width="9.77734375" style="15" customWidth="1"/>
    <col min="19" max="20" width="9.77734375" style="5" customWidth="1"/>
    <col min="21" max="24" width="9.77734375" style="2" customWidth="1"/>
    <col min="25" max="16384" width="9.77734375" style="2"/>
  </cols>
  <sheetData>
    <row r="1" spans="1:34">
      <c r="A1" s="2" t="s">
        <v>39</v>
      </c>
      <c r="B1" s="107" t="s">
        <v>42</v>
      </c>
      <c r="C1" s="4" t="s">
        <v>0</v>
      </c>
      <c r="D1" s="143" t="s">
        <v>44</v>
      </c>
      <c r="E1" s="104" t="s">
        <v>34</v>
      </c>
      <c r="F1" s="2" t="s">
        <v>33</v>
      </c>
      <c r="G1" s="2" t="s">
        <v>23</v>
      </c>
      <c r="H1" s="2" t="s">
        <v>31</v>
      </c>
      <c r="I1" s="57" t="s">
        <v>109</v>
      </c>
      <c r="J1" s="2" t="s">
        <v>114</v>
      </c>
      <c r="K1" s="54" t="s">
        <v>38</v>
      </c>
      <c r="L1" s="89" t="s">
        <v>45</v>
      </c>
      <c r="M1" s="54" t="s">
        <v>32</v>
      </c>
      <c r="N1" s="2" t="s">
        <v>35</v>
      </c>
      <c r="O1" s="2" t="s">
        <v>36</v>
      </c>
      <c r="P1" s="129" t="s">
        <v>37</v>
      </c>
      <c r="Q1" s="19" t="s">
        <v>41</v>
      </c>
      <c r="R1" s="58" t="s">
        <v>99</v>
      </c>
      <c r="S1" s="5" t="s">
        <v>76</v>
      </c>
      <c r="U1" s="2" t="s">
        <v>43</v>
      </c>
      <c r="V1" s="2" t="s">
        <v>46</v>
      </c>
      <c r="W1" s="2" t="s">
        <v>40</v>
      </c>
      <c r="Y1" s="54">
        <v>6</v>
      </c>
      <c r="Z1" s="54">
        <v>10</v>
      </c>
      <c r="AA1" s="54">
        <v>14</v>
      </c>
      <c r="AB1" s="54">
        <v>18</v>
      </c>
      <c r="AC1" s="108" t="s">
        <v>395</v>
      </c>
      <c r="AD1" s="108" t="s">
        <v>396</v>
      </c>
      <c r="AE1" s="94" t="s">
        <v>397</v>
      </c>
      <c r="AF1" s="94" t="s">
        <v>398</v>
      </c>
      <c r="AG1" s="94" t="s">
        <v>399</v>
      </c>
      <c r="AH1" s="94" t="s">
        <v>400</v>
      </c>
    </row>
    <row r="2" spans="1:34">
      <c r="A2" s="114" t="s">
        <v>720</v>
      </c>
      <c r="B2" s="114" t="s">
        <v>721</v>
      </c>
      <c r="C2" s="192">
        <v>46150</v>
      </c>
      <c r="D2" s="42">
        <v>0.5</v>
      </c>
      <c r="E2" s="43"/>
      <c r="F2" s="198" t="s">
        <v>722</v>
      </c>
      <c r="G2" s="2">
        <v>1</v>
      </c>
      <c r="I2" s="45">
        <v>600</v>
      </c>
      <c r="J2" s="2" t="s">
        <v>766</v>
      </c>
      <c r="K2" s="109" t="s">
        <v>767</v>
      </c>
      <c r="L2" s="89">
        <v>40000</v>
      </c>
      <c r="M2" s="202">
        <v>30</v>
      </c>
      <c r="N2" s="39" t="s">
        <v>48</v>
      </c>
      <c r="O2" s="39" t="s">
        <v>57</v>
      </c>
      <c r="P2" s="19"/>
      <c r="Q2" s="2">
        <v>80</v>
      </c>
      <c r="R2" s="15">
        <f>Q2/I2</f>
        <v>0.13333333333333333</v>
      </c>
      <c r="S2" s="176" t="s">
        <v>110</v>
      </c>
      <c r="T2" s="176"/>
      <c r="U2" s="109" t="s">
        <v>767</v>
      </c>
      <c r="W2" s="198" t="s">
        <v>734</v>
      </c>
    </row>
    <row r="3" spans="1:34">
      <c r="A3" s="114" t="s">
        <v>720</v>
      </c>
      <c r="B3" s="114" t="s">
        <v>721</v>
      </c>
      <c r="C3" s="192">
        <v>46151</v>
      </c>
      <c r="D3" s="42">
        <v>0.5</v>
      </c>
      <c r="E3" s="43"/>
      <c r="F3" s="198" t="s">
        <v>732</v>
      </c>
      <c r="G3" s="2">
        <v>1</v>
      </c>
      <c r="I3" s="37">
        <v>600</v>
      </c>
      <c r="J3" s="2" t="s">
        <v>766</v>
      </c>
      <c r="K3" s="109" t="s">
        <v>767</v>
      </c>
      <c r="L3" s="89">
        <v>40000</v>
      </c>
      <c r="M3" s="202">
        <v>30</v>
      </c>
      <c r="N3" s="39" t="s">
        <v>48</v>
      </c>
      <c r="O3" s="39" t="s">
        <v>122</v>
      </c>
      <c r="P3" s="19"/>
      <c r="Q3" s="2">
        <v>80</v>
      </c>
      <c r="R3" s="15">
        <f>Q3/I3</f>
        <v>0.13333333333333333</v>
      </c>
      <c r="S3" s="176" t="s">
        <v>110</v>
      </c>
      <c r="T3" s="176"/>
      <c r="U3" s="109" t="s">
        <v>767</v>
      </c>
      <c r="V3" s="10"/>
      <c r="W3" s="198" t="s">
        <v>734</v>
      </c>
    </row>
    <row r="4" spans="1:34">
      <c r="A4" s="114" t="s">
        <v>720</v>
      </c>
      <c r="B4" s="114" t="s">
        <v>721</v>
      </c>
      <c r="C4" s="192">
        <v>46152</v>
      </c>
      <c r="D4" s="42">
        <v>0.5</v>
      </c>
      <c r="E4" s="43"/>
      <c r="F4" s="198" t="s">
        <v>723</v>
      </c>
      <c r="G4" s="2">
        <v>1</v>
      </c>
      <c r="I4" s="37">
        <v>600</v>
      </c>
      <c r="J4" s="2" t="s">
        <v>766</v>
      </c>
      <c r="K4" s="109" t="s">
        <v>767</v>
      </c>
      <c r="L4" s="89">
        <v>40000</v>
      </c>
      <c r="M4" s="202">
        <v>30</v>
      </c>
      <c r="N4" s="39" t="s">
        <v>48</v>
      </c>
      <c r="O4" s="39" t="s">
        <v>451</v>
      </c>
      <c r="P4" s="19"/>
      <c r="Q4" s="2">
        <v>80</v>
      </c>
      <c r="R4" s="15">
        <f>Q4/I4</f>
        <v>0.13333333333333333</v>
      </c>
      <c r="S4" s="176" t="s">
        <v>110</v>
      </c>
      <c r="T4" s="176"/>
      <c r="U4" s="109" t="s">
        <v>767</v>
      </c>
      <c r="V4" s="205"/>
      <c r="W4" s="198" t="s">
        <v>734</v>
      </c>
    </row>
    <row r="5" spans="1:34">
      <c r="A5" s="114" t="s">
        <v>720</v>
      </c>
      <c r="B5" s="114" t="s">
        <v>721</v>
      </c>
      <c r="C5" s="192">
        <v>46153</v>
      </c>
      <c r="D5" s="42">
        <v>0.5</v>
      </c>
      <c r="E5" s="43"/>
      <c r="F5" s="198" t="s">
        <v>724</v>
      </c>
      <c r="G5" s="2">
        <v>1</v>
      </c>
      <c r="I5" s="37">
        <v>600</v>
      </c>
      <c r="J5" s="2" t="s">
        <v>766</v>
      </c>
      <c r="K5" s="109" t="s">
        <v>767</v>
      </c>
      <c r="L5" s="89">
        <v>40000</v>
      </c>
      <c r="M5" s="202">
        <v>30</v>
      </c>
      <c r="N5" s="39" t="s">
        <v>48</v>
      </c>
      <c r="O5" s="39" t="s">
        <v>452</v>
      </c>
      <c r="P5" s="19"/>
      <c r="Q5" s="2">
        <v>80</v>
      </c>
      <c r="R5" s="15">
        <f>Q5/I5</f>
        <v>0.13333333333333333</v>
      </c>
      <c r="S5" s="176" t="s">
        <v>110</v>
      </c>
      <c r="T5" s="176"/>
      <c r="U5" s="109" t="s">
        <v>767</v>
      </c>
      <c r="V5" s="10"/>
      <c r="W5" s="198" t="s">
        <v>734</v>
      </c>
    </row>
    <row r="6" spans="1:34">
      <c r="A6" s="114" t="s">
        <v>720</v>
      </c>
      <c r="B6" s="114" t="s">
        <v>721</v>
      </c>
      <c r="C6" s="192">
        <v>46154</v>
      </c>
      <c r="D6" s="42">
        <v>0.5</v>
      </c>
      <c r="E6" s="43"/>
      <c r="F6" s="198" t="s">
        <v>725</v>
      </c>
      <c r="G6" s="2">
        <v>1</v>
      </c>
      <c r="I6" s="37">
        <v>600</v>
      </c>
      <c r="J6" s="2" t="s">
        <v>766</v>
      </c>
      <c r="K6" s="109" t="s">
        <v>767</v>
      </c>
      <c r="L6" s="89">
        <v>40000</v>
      </c>
      <c r="M6" s="202">
        <v>30</v>
      </c>
      <c r="N6" s="39" t="s">
        <v>48</v>
      </c>
      <c r="O6" s="39" t="s">
        <v>222</v>
      </c>
      <c r="P6" s="19"/>
      <c r="Q6" s="2">
        <v>80</v>
      </c>
      <c r="R6" s="15">
        <f>Q6/I6</f>
        <v>0.13333333333333333</v>
      </c>
      <c r="S6" s="176" t="s">
        <v>110</v>
      </c>
      <c r="T6" s="176"/>
      <c r="U6" s="109" t="s">
        <v>767</v>
      </c>
      <c r="W6" s="198" t="s">
        <v>734</v>
      </c>
    </row>
    <row r="7" spans="1:34">
      <c r="A7" s="114" t="s">
        <v>720</v>
      </c>
      <c r="B7" s="114" t="s">
        <v>721</v>
      </c>
      <c r="C7" s="192">
        <v>46155</v>
      </c>
      <c r="D7" s="42">
        <v>0.5</v>
      </c>
      <c r="E7" s="43"/>
      <c r="F7" s="198" t="s">
        <v>726</v>
      </c>
      <c r="G7" s="2">
        <v>1</v>
      </c>
      <c r="I7" s="37">
        <v>600</v>
      </c>
      <c r="J7" s="2" t="s">
        <v>766</v>
      </c>
      <c r="K7" s="109" t="s">
        <v>767</v>
      </c>
      <c r="L7" s="89">
        <v>40000</v>
      </c>
      <c r="M7" s="202">
        <v>30</v>
      </c>
      <c r="N7" s="39" t="s">
        <v>48</v>
      </c>
      <c r="O7" s="39" t="s">
        <v>123</v>
      </c>
      <c r="P7" s="19"/>
      <c r="Q7" s="2">
        <v>80</v>
      </c>
      <c r="R7" s="15">
        <f>Q7/I7</f>
        <v>0.13333333333333333</v>
      </c>
      <c r="S7" s="176" t="s">
        <v>110</v>
      </c>
      <c r="T7" s="176"/>
      <c r="U7" s="109" t="s">
        <v>767</v>
      </c>
      <c r="W7" s="198" t="s">
        <v>734</v>
      </c>
    </row>
    <row r="8" spans="1:34">
      <c r="A8" s="114" t="s">
        <v>720</v>
      </c>
      <c r="B8" s="114" t="s">
        <v>721</v>
      </c>
      <c r="C8" s="192">
        <v>46156</v>
      </c>
      <c r="D8" s="42">
        <v>0.5</v>
      </c>
      <c r="E8" s="43"/>
      <c r="F8" s="198" t="s">
        <v>727</v>
      </c>
      <c r="G8" s="2">
        <v>1</v>
      </c>
      <c r="I8" s="37">
        <v>600</v>
      </c>
      <c r="J8" s="2" t="s">
        <v>766</v>
      </c>
      <c r="K8" s="109" t="s">
        <v>767</v>
      </c>
      <c r="L8" s="89">
        <v>40000</v>
      </c>
      <c r="M8" s="202">
        <v>30</v>
      </c>
      <c r="N8" s="39" t="s">
        <v>48</v>
      </c>
      <c r="O8" s="39" t="s">
        <v>739</v>
      </c>
      <c r="P8" s="19"/>
      <c r="Q8" s="2">
        <v>80</v>
      </c>
      <c r="R8" s="15">
        <f>Q8/I8</f>
        <v>0.13333333333333333</v>
      </c>
      <c r="S8" s="176" t="s">
        <v>110</v>
      </c>
      <c r="T8" s="176"/>
      <c r="U8" s="109" t="s">
        <v>767</v>
      </c>
      <c r="W8" s="198" t="s">
        <v>734</v>
      </c>
    </row>
    <row r="9" spans="1:34">
      <c r="A9" s="114" t="s">
        <v>720</v>
      </c>
      <c r="B9" s="114" t="s">
        <v>721</v>
      </c>
      <c r="C9" s="192">
        <v>46157</v>
      </c>
      <c r="D9" s="42">
        <v>0.5</v>
      </c>
      <c r="E9" s="43"/>
      <c r="F9" s="198" t="s">
        <v>728</v>
      </c>
      <c r="G9" s="2">
        <v>1</v>
      </c>
      <c r="I9" s="37">
        <v>600</v>
      </c>
      <c r="J9" s="2" t="s">
        <v>766</v>
      </c>
      <c r="K9" s="109" t="s">
        <v>767</v>
      </c>
      <c r="L9" s="89">
        <v>40000</v>
      </c>
      <c r="M9" s="202">
        <v>30</v>
      </c>
      <c r="N9" s="39" t="s">
        <v>48</v>
      </c>
      <c r="O9" s="39" t="s">
        <v>377</v>
      </c>
      <c r="P9" s="19"/>
      <c r="Q9" s="2">
        <v>80</v>
      </c>
      <c r="R9" s="15">
        <f>Q9/I9</f>
        <v>0.13333333333333333</v>
      </c>
      <c r="S9" s="176" t="s">
        <v>110</v>
      </c>
      <c r="T9" s="176"/>
      <c r="U9" s="109" t="s">
        <v>767</v>
      </c>
      <c r="W9" s="198" t="s">
        <v>734</v>
      </c>
    </row>
    <row r="10" spans="1:34">
      <c r="A10" s="114" t="s">
        <v>720</v>
      </c>
      <c r="B10" s="114" t="s">
        <v>721</v>
      </c>
      <c r="C10" s="192">
        <v>46158</v>
      </c>
      <c r="D10" s="42">
        <v>0.5</v>
      </c>
      <c r="E10" s="43"/>
      <c r="F10" s="198" t="s">
        <v>474</v>
      </c>
      <c r="G10" s="2">
        <v>1</v>
      </c>
      <c r="I10" s="37">
        <v>600</v>
      </c>
      <c r="J10" s="2" t="s">
        <v>766</v>
      </c>
      <c r="K10" s="109" t="s">
        <v>767</v>
      </c>
      <c r="L10" s="89">
        <v>40000</v>
      </c>
      <c r="M10" s="202">
        <v>30</v>
      </c>
      <c r="N10" s="39" t="s">
        <v>48</v>
      </c>
      <c r="O10" s="39" t="s">
        <v>373</v>
      </c>
      <c r="P10" s="19"/>
      <c r="Q10" s="2">
        <v>80</v>
      </c>
      <c r="R10" s="15">
        <f>Q10/I10</f>
        <v>0.13333333333333333</v>
      </c>
      <c r="S10" s="176" t="s">
        <v>110</v>
      </c>
      <c r="T10" s="176"/>
      <c r="U10" s="109" t="s">
        <v>767</v>
      </c>
      <c r="V10" s="205"/>
      <c r="W10" s="198" t="s">
        <v>734</v>
      </c>
    </row>
    <row r="11" spans="1:34">
      <c r="A11" s="114" t="s">
        <v>720</v>
      </c>
      <c r="B11" s="114" t="s">
        <v>721</v>
      </c>
      <c r="C11" s="192">
        <v>46159</v>
      </c>
      <c r="D11" s="42">
        <v>0.5</v>
      </c>
      <c r="E11" s="43"/>
      <c r="F11" s="198" t="s">
        <v>729</v>
      </c>
      <c r="G11" s="2">
        <v>2</v>
      </c>
      <c r="I11" s="37">
        <v>1200</v>
      </c>
      <c r="J11" s="2" t="s">
        <v>766</v>
      </c>
      <c r="K11" s="109" t="s">
        <v>767</v>
      </c>
      <c r="L11" s="89">
        <v>40000</v>
      </c>
      <c r="M11" s="202">
        <v>40</v>
      </c>
      <c r="N11" s="39" t="s">
        <v>48</v>
      </c>
      <c r="O11" s="39" t="s">
        <v>122</v>
      </c>
      <c r="P11" s="19"/>
      <c r="Q11" s="2">
        <v>120</v>
      </c>
      <c r="R11" s="15">
        <f>Q11/I11</f>
        <v>0.1</v>
      </c>
      <c r="S11" s="176" t="s">
        <v>110</v>
      </c>
      <c r="T11" s="176"/>
      <c r="U11" s="109" t="s">
        <v>767</v>
      </c>
      <c r="V11" s="205"/>
      <c r="W11" s="198" t="s">
        <v>734</v>
      </c>
    </row>
    <row r="12" spans="1:34">
      <c r="A12" s="68" t="s">
        <v>357</v>
      </c>
      <c r="B12" s="68" t="s">
        <v>358</v>
      </c>
      <c r="C12" s="48">
        <v>46160</v>
      </c>
      <c r="D12" s="42">
        <v>0.46527777777777779</v>
      </c>
      <c r="E12" s="194">
        <v>1</v>
      </c>
      <c r="F12" s="63" t="s">
        <v>277</v>
      </c>
      <c r="G12" s="2">
        <v>2</v>
      </c>
      <c r="H12" s="2">
        <v>9</v>
      </c>
      <c r="I12" s="125">
        <v>600</v>
      </c>
      <c r="J12" s="2" t="s">
        <v>766</v>
      </c>
      <c r="K12" s="137" t="s">
        <v>598</v>
      </c>
      <c r="L12" s="89">
        <v>40000</v>
      </c>
      <c r="M12" s="202">
        <v>40</v>
      </c>
      <c r="N12" s="39" t="s">
        <v>48</v>
      </c>
      <c r="O12" s="39" t="s">
        <v>49</v>
      </c>
      <c r="P12" s="212" t="s">
        <v>839</v>
      </c>
      <c r="Q12" s="19">
        <v>95</v>
      </c>
      <c r="R12" s="15">
        <f>Q12/I12</f>
        <v>0.15833333333333333</v>
      </c>
      <c r="S12" s="5">
        <f>($AC12*$AD12)/(($Z12/$Y12)+($AA12/$Z12)+($AB12/$AA12))</f>
        <v>102.59605399792316</v>
      </c>
      <c r="U12" s="109" t="s">
        <v>767</v>
      </c>
      <c r="V12" s="71" t="s">
        <v>650</v>
      </c>
      <c r="W12" s="205"/>
      <c r="Y12" s="2">
        <v>2</v>
      </c>
      <c r="Z12" s="2">
        <v>5</v>
      </c>
      <c r="AA12" s="2">
        <v>13</v>
      </c>
      <c r="AB12" s="2">
        <v>30</v>
      </c>
      <c r="AC12" s="2">
        <v>40</v>
      </c>
      <c r="AD12" s="2">
        <v>19</v>
      </c>
      <c r="AE12" s="2">
        <f>AC12*AD12</f>
        <v>760</v>
      </c>
      <c r="AF12" s="2">
        <f>Z12/Y12</f>
        <v>2.5</v>
      </c>
      <c r="AG12" s="2">
        <f>AA12/Z12</f>
        <v>2.6</v>
      </c>
      <c r="AH12" s="2">
        <f>AB12/AA12</f>
        <v>2.3076923076923075</v>
      </c>
    </row>
    <row r="13" spans="1:34">
      <c r="A13" s="114" t="s">
        <v>720</v>
      </c>
      <c r="B13" s="114" t="s">
        <v>721</v>
      </c>
      <c r="C13" s="192">
        <v>46160</v>
      </c>
      <c r="D13" s="42">
        <v>0.5</v>
      </c>
      <c r="E13" s="43"/>
      <c r="F13" s="198" t="s">
        <v>730</v>
      </c>
      <c r="G13" s="2">
        <v>2</v>
      </c>
      <c r="I13" s="37">
        <v>1200</v>
      </c>
      <c r="J13" s="2" t="s">
        <v>766</v>
      </c>
      <c r="K13" s="109" t="s">
        <v>767</v>
      </c>
      <c r="L13" s="89">
        <v>40000</v>
      </c>
      <c r="M13" s="202">
        <v>40</v>
      </c>
      <c r="N13" s="39" t="s">
        <v>48</v>
      </c>
      <c r="O13" s="39" t="s">
        <v>123</v>
      </c>
      <c r="P13" s="19"/>
      <c r="Q13" s="2">
        <v>120</v>
      </c>
      <c r="R13" s="15">
        <f>Q13/I13</f>
        <v>0.1</v>
      </c>
      <c r="S13" s="176" t="s">
        <v>110</v>
      </c>
      <c r="T13" s="176"/>
      <c r="U13" s="109" t="s">
        <v>767</v>
      </c>
      <c r="V13" s="205"/>
      <c r="W13" s="198" t="s">
        <v>734</v>
      </c>
    </row>
    <row r="14" spans="1:34">
      <c r="A14" s="114" t="s">
        <v>720</v>
      </c>
      <c r="B14" s="114" t="s">
        <v>721</v>
      </c>
      <c r="C14" s="192">
        <v>46160</v>
      </c>
      <c r="D14" s="42">
        <v>0.58333333333333337</v>
      </c>
      <c r="E14" s="43"/>
      <c r="F14" s="200" t="s">
        <v>1341</v>
      </c>
      <c r="G14" s="2">
        <v>2</v>
      </c>
      <c r="I14" s="37">
        <v>1200</v>
      </c>
      <c r="J14" s="2" t="s">
        <v>766</v>
      </c>
      <c r="K14" s="109" t="s">
        <v>767</v>
      </c>
      <c r="L14" s="89">
        <v>40000</v>
      </c>
      <c r="M14" s="202">
        <v>40</v>
      </c>
      <c r="N14" s="39" t="s">
        <v>48</v>
      </c>
      <c r="O14" s="39" t="s">
        <v>122</v>
      </c>
      <c r="P14" s="213"/>
      <c r="Q14" s="2">
        <v>120</v>
      </c>
      <c r="R14" s="15">
        <f>Q14/I14</f>
        <v>0.1</v>
      </c>
      <c r="S14" s="176" t="s">
        <v>110</v>
      </c>
      <c r="T14" s="176"/>
      <c r="U14" s="109" t="s">
        <v>767</v>
      </c>
      <c r="W14" s="114" t="s">
        <v>734</v>
      </c>
    </row>
    <row r="15" spans="1:34">
      <c r="A15" s="68" t="s">
        <v>357</v>
      </c>
      <c r="B15" s="68" t="s">
        <v>358</v>
      </c>
      <c r="C15" s="48">
        <v>46160</v>
      </c>
      <c r="D15" s="42">
        <v>0.75694444444444442</v>
      </c>
      <c r="E15" s="194">
        <v>2</v>
      </c>
      <c r="F15" s="63" t="s">
        <v>278</v>
      </c>
      <c r="G15" s="2">
        <v>1</v>
      </c>
      <c r="H15" s="2">
        <v>9</v>
      </c>
      <c r="I15" s="125">
        <v>200</v>
      </c>
      <c r="J15" s="2" t="s">
        <v>766</v>
      </c>
      <c r="K15" s="137" t="s">
        <v>603</v>
      </c>
      <c r="L15" s="89">
        <v>25000</v>
      </c>
      <c r="M15" s="54">
        <v>30</v>
      </c>
      <c r="N15" s="39" t="s">
        <v>48</v>
      </c>
      <c r="O15" s="39" t="s">
        <v>49</v>
      </c>
      <c r="P15" s="212" t="s">
        <v>831</v>
      </c>
      <c r="Q15" s="19">
        <v>40</v>
      </c>
      <c r="R15" s="15">
        <f>Q15/I15</f>
        <v>0.2</v>
      </c>
      <c r="S15" s="5">
        <f>($AC15*$AD15)/(($Z15/$Y15)+($AA15/$Z15)+($AB15/$AA15))</f>
        <v>55.03292568203198</v>
      </c>
      <c r="U15" s="109" t="s">
        <v>219</v>
      </c>
      <c r="V15" s="205" t="s">
        <v>651</v>
      </c>
      <c r="W15" s="218" t="s">
        <v>652</v>
      </c>
      <c r="Y15" s="2">
        <v>2.5</v>
      </c>
      <c r="Z15" s="2">
        <v>6.5</v>
      </c>
      <c r="AA15" s="2">
        <v>20</v>
      </c>
      <c r="AB15" s="2">
        <v>50</v>
      </c>
      <c r="AC15" s="2">
        <v>30</v>
      </c>
      <c r="AD15" s="2">
        <v>15</v>
      </c>
      <c r="AE15" s="2">
        <f>AC15*AD15</f>
        <v>450</v>
      </c>
      <c r="AF15" s="2">
        <f>Z15/Y15</f>
        <v>2.6</v>
      </c>
      <c r="AG15" s="2">
        <f>AA15/Z15</f>
        <v>3.0769230769230771</v>
      </c>
      <c r="AH15" s="2">
        <f>AB15/AA15</f>
        <v>2.5</v>
      </c>
    </row>
    <row r="16" spans="1:34">
      <c r="A16" s="68" t="s">
        <v>357</v>
      </c>
      <c r="B16" s="68" t="s">
        <v>358</v>
      </c>
      <c r="C16" s="48">
        <v>46161</v>
      </c>
      <c r="D16" s="42">
        <v>0.46527777777777779</v>
      </c>
      <c r="E16" s="194">
        <v>1</v>
      </c>
      <c r="F16" s="63" t="s">
        <v>279</v>
      </c>
      <c r="G16" s="2">
        <v>2</v>
      </c>
      <c r="H16" s="2">
        <v>9</v>
      </c>
      <c r="I16" s="125">
        <v>600</v>
      </c>
      <c r="J16" s="2" t="s">
        <v>766</v>
      </c>
      <c r="K16" s="137" t="s">
        <v>598</v>
      </c>
      <c r="L16" s="89">
        <v>40000</v>
      </c>
      <c r="M16" s="202">
        <v>40</v>
      </c>
      <c r="N16" s="39" t="s">
        <v>48</v>
      </c>
      <c r="O16" s="39" t="s">
        <v>49</v>
      </c>
      <c r="P16" s="212" t="s">
        <v>839</v>
      </c>
      <c r="Q16" s="19">
        <v>95</v>
      </c>
      <c r="R16" s="15">
        <f>Q16/I16</f>
        <v>0.15833333333333333</v>
      </c>
      <c r="S16" s="5">
        <f>($AC16*$AD16)/(($Z16/$Y16)+($AA16/$Z16)+($AB16/$AA16))</f>
        <v>102.59605399792316</v>
      </c>
      <c r="U16" s="109" t="s">
        <v>767</v>
      </c>
      <c r="V16" s="71" t="s">
        <v>650</v>
      </c>
      <c r="W16" s="205"/>
      <c r="Y16" s="2">
        <v>2</v>
      </c>
      <c r="Z16" s="2">
        <v>5</v>
      </c>
      <c r="AA16" s="2">
        <v>13</v>
      </c>
      <c r="AB16" s="2">
        <v>30</v>
      </c>
      <c r="AC16" s="2">
        <v>40</v>
      </c>
      <c r="AD16" s="2">
        <v>19</v>
      </c>
      <c r="AE16" s="2">
        <f>AC16*AD16</f>
        <v>760</v>
      </c>
      <c r="AF16" s="2">
        <f>Z16/Y16</f>
        <v>2.5</v>
      </c>
      <c r="AG16" s="2">
        <f>AA16/Z16</f>
        <v>2.6</v>
      </c>
      <c r="AH16" s="2">
        <f>AB16/AA16</f>
        <v>2.3076923076923075</v>
      </c>
    </row>
    <row r="17" spans="1:34">
      <c r="A17" s="114" t="s">
        <v>720</v>
      </c>
      <c r="B17" s="114" t="s">
        <v>721</v>
      </c>
      <c r="C17" s="192">
        <v>46161</v>
      </c>
      <c r="D17" s="42">
        <v>0.5</v>
      </c>
      <c r="E17" s="43"/>
      <c r="F17" s="198" t="s">
        <v>731</v>
      </c>
      <c r="G17" s="2">
        <v>1</v>
      </c>
      <c r="I17" s="37">
        <v>600</v>
      </c>
      <c r="J17" s="2" t="s">
        <v>766</v>
      </c>
      <c r="K17" s="109" t="s">
        <v>767</v>
      </c>
      <c r="L17" s="89">
        <v>40000</v>
      </c>
      <c r="M17" s="202">
        <v>30</v>
      </c>
      <c r="N17" s="39" t="s">
        <v>48</v>
      </c>
      <c r="O17" s="39" t="s">
        <v>733</v>
      </c>
      <c r="P17" s="19"/>
      <c r="Q17" s="2">
        <v>80</v>
      </c>
      <c r="R17" s="15">
        <f>Q17/I17</f>
        <v>0.13333333333333333</v>
      </c>
      <c r="S17" s="176" t="s">
        <v>110</v>
      </c>
      <c r="T17" s="176"/>
      <c r="U17" s="109" t="s">
        <v>767</v>
      </c>
      <c r="W17" s="198" t="s">
        <v>734</v>
      </c>
    </row>
    <row r="18" spans="1:34">
      <c r="A18" s="114" t="s">
        <v>720</v>
      </c>
      <c r="B18" s="114" t="s">
        <v>721</v>
      </c>
      <c r="C18" s="192">
        <v>46161</v>
      </c>
      <c r="D18" s="42">
        <v>0.58333333333333337</v>
      </c>
      <c r="E18" s="43"/>
      <c r="F18" s="200" t="s">
        <v>1346</v>
      </c>
      <c r="G18" s="2">
        <v>2</v>
      </c>
      <c r="I18" s="37">
        <v>1200</v>
      </c>
      <c r="J18" s="2" t="s">
        <v>766</v>
      </c>
      <c r="K18" s="109" t="s">
        <v>767</v>
      </c>
      <c r="L18" s="89">
        <v>40000</v>
      </c>
      <c r="M18" s="202">
        <v>40</v>
      </c>
      <c r="N18" s="39" t="s">
        <v>48</v>
      </c>
      <c r="O18" s="39" t="s">
        <v>123</v>
      </c>
      <c r="P18" s="213"/>
      <c r="Q18" s="2">
        <v>120</v>
      </c>
      <c r="R18" s="15">
        <f>Q18/I18</f>
        <v>0.1</v>
      </c>
      <c r="S18" s="176" t="s">
        <v>110</v>
      </c>
      <c r="T18" s="176"/>
      <c r="U18" s="109" t="s">
        <v>767</v>
      </c>
      <c r="W18" s="114" t="s">
        <v>734</v>
      </c>
    </row>
    <row r="19" spans="1:34">
      <c r="A19" s="68" t="s">
        <v>357</v>
      </c>
      <c r="B19" s="68" t="s">
        <v>358</v>
      </c>
      <c r="C19" s="48">
        <v>46161</v>
      </c>
      <c r="D19" s="42">
        <v>0.75694444444444442</v>
      </c>
      <c r="E19" s="194">
        <v>3</v>
      </c>
      <c r="F19" s="63" t="s">
        <v>278</v>
      </c>
      <c r="G19" s="2">
        <v>1</v>
      </c>
      <c r="H19" s="2">
        <v>9</v>
      </c>
      <c r="I19" s="125">
        <v>200</v>
      </c>
      <c r="J19" s="2" t="s">
        <v>766</v>
      </c>
      <c r="K19" s="137" t="s">
        <v>603</v>
      </c>
      <c r="L19" s="89">
        <v>25000</v>
      </c>
      <c r="M19" s="54">
        <v>30</v>
      </c>
      <c r="N19" s="39" t="s">
        <v>48</v>
      </c>
      <c r="O19" s="39" t="s">
        <v>49</v>
      </c>
      <c r="P19" s="212" t="s">
        <v>831</v>
      </c>
      <c r="Q19" s="19">
        <v>40</v>
      </c>
      <c r="R19" s="15">
        <f>Q19/I19</f>
        <v>0.2</v>
      </c>
      <c r="S19" s="5">
        <f>($AC19*$AD19)/(($Z19/$Y19)+($AA19/$Z19)+($AB19/$AA19))</f>
        <v>55.03292568203198</v>
      </c>
      <c r="U19" s="109" t="s">
        <v>219</v>
      </c>
      <c r="V19" s="205" t="s">
        <v>651</v>
      </c>
      <c r="W19" s="218" t="s">
        <v>652</v>
      </c>
      <c r="Y19" s="2">
        <v>2.5</v>
      </c>
      <c r="Z19" s="2">
        <v>6.5</v>
      </c>
      <c r="AA19" s="2">
        <v>20</v>
      </c>
      <c r="AB19" s="2">
        <v>50</v>
      </c>
      <c r="AC19" s="2">
        <v>30</v>
      </c>
      <c r="AD19" s="2">
        <v>15</v>
      </c>
      <c r="AE19" s="2">
        <f>AC19*AD19</f>
        <v>450</v>
      </c>
      <c r="AF19" s="2">
        <f>Z19/Y19</f>
        <v>2.6</v>
      </c>
      <c r="AG19" s="2">
        <f>AA19/Z19</f>
        <v>3.0769230769230771</v>
      </c>
      <c r="AH19" s="2">
        <f>AB19/AA19</f>
        <v>2.5</v>
      </c>
    </row>
    <row r="20" spans="1:34">
      <c r="A20" s="52" t="s">
        <v>220</v>
      </c>
      <c r="B20" s="52" t="s">
        <v>221</v>
      </c>
      <c r="C20" s="48">
        <v>46162</v>
      </c>
      <c r="D20" s="42">
        <v>0.45833333333333331</v>
      </c>
      <c r="E20" s="43"/>
      <c r="F20" s="8" t="s">
        <v>1078</v>
      </c>
      <c r="G20" s="2">
        <v>1</v>
      </c>
      <c r="H20" s="2">
        <v>9</v>
      </c>
      <c r="I20" s="125">
        <v>600</v>
      </c>
      <c r="J20" s="2" t="s">
        <v>766</v>
      </c>
      <c r="K20" s="88" t="s">
        <v>777</v>
      </c>
      <c r="L20" s="90">
        <v>30000</v>
      </c>
      <c r="M20" s="64">
        <v>30</v>
      </c>
      <c r="N20" s="39" t="s">
        <v>48</v>
      </c>
      <c r="O20" s="39" t="s">
        <v>49</v>
      </c>
      <c r="P20" s="212" t="s">
        <v>837</v>
      </c>
      <c r="Q20" s="19">
        <v>85</v>
      </c>
      <c r="R20" s="15">
        <f>Q20/I20</f>
        <v>0.14166666666666666</v>
      </c>
      <c r="S20" s="5">
        <f>($AC20*$AD20)/(($Z20/$Y20)+($AA20/$Z20)+($AB20/$AA20))</f>
        <v>62.448979591836739</v>
      </c>
      <c r="U20" s="109" t="s">
        <v>54</v>
      </c>
      <c r="V20" s="2" t="s">
        <v>738</v>
      </c>
      <c r="Y20" s="2">
        <v>2</v>
      </c>
      <c r="Z20" s="2">
        <v>5</v>
      </c>
      <c r="AA20" s="2">
        <v>15</v>
      </c>
      <c r="AB20" s="2">
        <v>40</v>
      </c>
      <c r="AC20" s="2">
        <v>30</v>
      </c>
      <c r="AD20" s="2">
        <v>17</v>
      </c>
      <c r="AE20" s="2">
        <f>AC20*AD20</f>
        <v>510</v>
      </c>
      <c r="AF20" s="2">
        <f>Z20/Y20</f>
        <v>2.5</v>
      </c>
      <c r="AG20" s="2">
        <f>AA20/Z20</f>
        <v>3</v>
      </c>
      <c r="AH20" s="2">
        <f>AB20/AA20</f>
        <v>2.6666666666666665</v>
      </c>
    </row>
    <row r="21" spans="1:34">
      <c r="A21" s="68" t="s">
        <v>357</v>
      </c>
      <c r="B21" s="68" t="s">
        <v>358</v>
      </c>
      <c r="C21" s="48">
        <v>46162</v>
      </c>
      <c r="D21" s="42">
        <v>0.46527777777777779</v>
      </c>
      <c r="E21" s="194">
        <v>1</v>
      </c>
      <c r="F21" s="63" t="s">
        <v>353</v>
      </c>
      <c r="G21" s="2">
        <v>2</v>
      </c>
      <c r="H21" s="2">
        <v>9</v>
      </c>
      <c r="I21" s="125">
        <v>600</v>
      </c>
      <c r="J21" s="2" t="s">
        <v>766</v>
      </c>
      <c r="K21" s="137" t="s">
        <v>598</v>
      </c>
      <c r="L21" s="89">
        <v>40000</v>
      </c>
      <c r="M21" s="202">
        <v>40</v>
      </c>
      <c r="N21" s="39" t="s">
        <v>48</v>
      </c>
      <c r="O21" s="39" t="s">
        <v>49</v>
      </c>
      <c r="P21" s="212" t="s">
        <v>839</v>
      </c>
      <c r="Q21" s="19">
        <v>95</v>
      </c>
      <c r="R21" s="15">
        <f>Q21/I21</f>
        <v>0.15833333333333333</v>
      </c>
      <c r="S21" s="5">
        <f>($AC21*$AD21)/(($Z21/$Y21)+($AA21/$Z21)+($AB21/$AA21))</f>
        <v>102.59605399792316</v>
      </c>
      <c r="U21" s="109" t="s">
        <v>767</v>
      </c>
      <c r="V21" s="71" t="s">
        <v>650</v>
      </c>
      <c r="W21" s="205"/>
      <c r="Y21" s="2">
        <v>2</v>
      </c>
      <c r="Z21" s="2">
        <v>5</v>
      </c>
      <c r="AA21" s="2">
        <v>13</v>
      </c>
      <c r="AB21" s="2">
        <v>30</v>
      </c>
      <c r="AC21" s="2">
        <v>40</v>
      </c>
      <c r="AD21" s="2">
        <v>19</v>
      </c>
      <c r="AE21" s="2">
        <f>AC21*AD21</f>
        <v>760</v>
      </c>
      <c r="AF21" s="2">
        <f>Z21/Y21</f>
        <v>2.5</v>
      </c>
      <c r="AG21" s="2">
        <f>AA21/Z21</f>
        <v>2.6</v>
      </c>
      <c r="AH21" s="2">
        <f>AB21/AA21</f>
        <v>2.3076923076923075</v>
      </c>
    </row>
    <row r="22" spans="1:34">
      <c r="A22" s="52" t="s">
        <v>220</v>
      </c>
      <c r="B22" s="52" t="s">
        <v>221</v>
      </c>
      <c r="C22" s="48">
        <v>46162</v>
      </c>
      <c r="D22" s="42">
        <v>0.5</v>
      </c>
      <c r="E22" s="43"/>
      <c r="F22" s="8" t="s">
        <v>880</v>
      </c>
      <c r="G22" s="2">
        <v>1</v>
      </c>
      <c r="H22" s="2">
        <v>6</v>
      </c>
      <c r="I22" s="125">
        <v>600</v>
      </c>
      <c r="J22" s="2" t="s">
        <v>766</v>
      </c>
      <c r="K22" s="88" t="s">
        <v>780</v>
      </c>
      <c r="L22" s="90">
        <v>30000</v>
      </c>
      <c r="M22" s="64">
        <v>30</v>
      </c>
      <c r="N22" s="39" t="s">
        <v>48</v>
      </c>
      <c r="O22" s="39" t="s">
        <v>224</v>
      </c>
      <c r="P22" s="63">
        <v>30000</v>
      </c>
      <c r="Q22" s="2">
        <v>90</v>
      </c>
      <c r="R22" s="15">
        <f>Q22/I22</f>
        <v>0.15</v>
      </c>
      <c r="S22" s="149" t="s">
        <v>110</v>
      </c>
      <c r="T22" s="149"/>
      <c r="U22" s="109" t="s">
        <v>767</v>
      </c>
      <c r="V22" s="205" t="s">
        <v>738</v>
      </c>
      <c r="W22" s="205"/>
      <c r="AE22" s="2">
        <f>AC22*AD22</f>
        <v>0</v>
      </c>
      <c r="AF22" s="2" t="e">
        <f>Z22/Y22</f>
        <v>#DIV/0!</v>
      </c>
      <c r="AG22" s="2" t="e">
        <f>AA22/Z22</f>
        <v>#DIV/0!</v>
      </c>
      <c r="AH22" s="2" t="e">
        <f>AB22/AA22</f>
        <v>#DIV/0!</v>
      </c>
    </row>
    <row r="23" spans="1:34">
      <c r="A23" s="68" t="s">
        <v>357</v>
      </c>
      <c r="B23" s="68" t="s">
        <v>358</v>
      </c>
      <c r="C23" s="48">
        <v>46162</v>
      </c>
      <c r="D23" s="42">
        <v>0.75694444444444442</v>
      </c>
      <c r="E23" s="194">
        <v>4</v>
      </c>
      <c r="F23" s="63" t="s">
        <v>278</v>
      </c>
      <c r="G23" s="2">
        <v>1</v>
      </c>
      <c r="H23" s="2">
        <v>9</v>
      </c>
      <c r="I23" s="125">
        <v>200</v>
      </c>
      <c r="J23" s="2" t="s">
        <v>766</v>
      </c>
      <c r="K23" s="137" t="s">
        <v>603</v>
      </c>
      <c r="L23" s="89">
        <v>25000</v>
      </c>
      <c r="M23" s="54">
        <v>30</v>
      </c>
      <c r="N23" s="39" t="s">
        <v>48</v>
      </c>
      <c r="O23" s="39" t="s">
        <v>49</v>
      </c>
      <c r="P23" s="212" t="s">
        <v>831</v>
      </c>
      <c r="Q23" s="19">
        <v>40</v>
      </c>
      <c r="R23" s="15">
        <f>Q23/I23</f>
        <v>0.2</v>
      </c>
      <c r="S23" s="5">
        <f>($AC23*$AD23)/(($Z23/$Y23)+($AA23/$Z23)+($AB23/$AA23))</f>
        <v>55.03292568203198</v>
      </c>
      <c r="U23" s="109" t="s">
        <v>219</v>
      </c>
      <c r="V23" s="205" t="s">
        <v>651</v>
      </c>
      <c r="W23" s="218" t="s">
        <v>652</v>
      </c>
      <c r="Y23" s="2">
        <v>2.5</v>
      </c>
      <c r="Z23" s="2">
        <v>6.5</v>
      </c>
      <c r="AA23" s="2">
        <v>20</v>
      </c>
      <c r="AB23" s="2">
        <v>50</v>
      </c>
      <c r="AC23" s="2">
        <v>30</v>
      </c>
      <c r="AD23" s="2">
        <v>15</v>
      </c>
      <c r="AE23" s="2">
        <f>AC23*AD23</f>
        <v>450</v>
      </c>
      <c r="AF23" s="2">
        <f>Z23/Y23</f>
        <v>2.6</v>
      </c>
      <c r="AG23" s="2">
        <f>AA23/Z23</f>
        <v>3.0769230769230771</v>
      </c>
      <c r="AH23" s="2">
        <f>AB23/AA23</f>
        <v>2.5</v>
      </c>
    </row>
    <row r="24" spans="1:34">
      <c r="A24" s="68" t="s">
        <v>357</v>
      </c>
      <c r="B24" s="68" t="s">
        <v>358</v>
      </c>
      <c r="C24" s="48">
        <v>46163</v>
      </c>
      <c r="D24" s="42">
        <v>0.45833333333333331</v>
      </c>
      <c r="E24" s="194">
        <v>1</v>
      </c>
      <c r="F24" s="63" t="s">
        <v>1328</v>
      </c>
      <c r="G24" s="2">
        <v>2</v>
      </c>
      <c r="H24" s="2">
        <v>9</v>
      </c>
      <c r="I24" s="125">
        <v>600</v>
      </c>
      <c r="J24" s="2" t="s">
        <v>766</v>
      </c>
      <c r="K24" s="137" t="s">
        <v>598</v>
      </c>
      <c r="L24" s="89">
        <v>40000</v>
      </c>
      <c r="M24" s="54">
        <v>40</v>
      </c>
      <c r="N24" s="39" t="s">
        <v>48</v>
      </c>
      <c r="O24" s="39" t="s">
        <v>49</v>
      </c>
      <c r="P24" s="212" t="s">
        <v>839</v>
      </c>
      <c r="Q24" s="19">
        <v>95</v>
      </c>
      <c r="R24" s="15">
        <f>Q24/I24</f>
        <v>0.15833333333333333</v>
      </c>
      <c r="S24" s="5">
        <f>($AC24*$AD24)/(($Z24/$Y24)+($AA24/$Z24)+($AB24/$AA24))</f>
        <v>102.59605399792316</v>
      </c>
      <c r="U24" s="109" t="s">
        <v>767</v>
      </c>
      <c r="V24" s="71" t="s">
        <v>650</v>
      </c>
      <c r="Y24" s="2">
        <v>2</v>
      </c>
      <c r="Z24" s="2">
        <v>5</v>
      </c>
      <c r="AA24" s="2">
        <v>13</v>
      </c>
      <c r="AB24" s="2">
        <v>30</v>
      </c>
      <c r="AC24" s="2">
        <v>40</v>
      </c>
      <c r="AD24" s="2">
        <v>19</v>
      </c>
      <c r="AE24" s="2">
        <f>AC24*AD24</f>
        <v>760</v>
      </c>
      <c r="AF24" s="2">
        <f>Z24/Y24</f>
        <v>2.5</v>
      </c>
      <c r="AG24" s="2">
        <f>AA24/Z24</f>
        <v>2.6</v>
      </c>
      <c r="AH24" s="2">
        <f>AB24/AA24</f>
        <v>2.3076923076923075</v>
      </c>
    </row>
    <row r="25" spans="1:34">
      <c r="A25" s="52" t="s">
        <v>220</v>
      </c>
      <c r="B25" s="52" t="s">
        <v>221</v>
      </c>
      <c r="C25" s="48">
        <v>46163</v>
      </c>
      <c r="D25" s="42">
        <v>0.45833333333333331</v>
      </c>
      <c r="E25" s="43"/>
      <c r="F25" s="8" t="s">
        <v>1039</v>
      </c>
      <c r="G25" s="2">
        <v>2</v>
      </c>
      <c r="H25" s="2">
        <v>6</v>
      </c>
      <c r="I25" s="125">
        <v>1100</v>
      </c>
      <c r="J25" s="2" t="s">
        <v>766</v>
      </c>
      <c r="K25" s="88" t="s">
        <v>791</v>
      </c>
      <c r="L25" s="90">
        <v>35000</v>
      </c>
      <c r="M25" s="64">
        <v>40</v>
      </c>
      <c r="N25" s="39" t="s">
        <v>48</v>
      </c>
      <c r="O25" s="39" t="s">
        <v>123</v>
      </c>
      <c r="P25" s="63">
        <v>50000</v>
      </c>
      <c r="Q25" s="2">
        <v>135</v>
      </c>
      <c r="R25" s="15">
        <f>Q25/I25</f>
        <v>0.12272727272727273</v>
      </c>
      <c r="S25" s="149" t="s">
        <v>110</v>
      </c>
      <c r="T25" s="149"/>
      <c r="U25" s="109" t="s">
        <v>767</v>
      </c>
      <c r="V25" s="205" t="s">
        <v>738</v>
      </c>
      <c r="W25" s="205"/>
      <c r="AE25" s="2">
        <f>AC25*AD25</f>
        <v>0</v>
      </c>
      <c r="AF25" s="2" t="e">
        <f>Z25/Y25</f>
        <v>#DIV/0!</v>
      </c>
      <c r="AG25" s="2" t="e">
        <f>AA25/Z25</f>
        <v>#DIV/0!</v>
      </c>
      <c r="AH25" s="2" t="e">
        <f>AB25/AA25</f>
        <v>#DIV/0!</v>
      </c>
    </row>
    <row r="26" spans="1:34">
      <c r="A26" s="68" t="s">
        <v>357</v>
      </c>
      <c r="B26" s="68" t="s">
        <v>358</v>
      </c>
      <c r="C26" s="48">
        <v>46163</v>
      </c>
      <c r="D26" s="42">
        <v>0.46527777777777779</v>
      </c>
      <c r="E26" s="194">
        <v>5</v>
      </c>
      <c r="F26" s="63" t="s">
        <v>281</v>
      </c>
      <c r="G26" s="2">
        <v>1</v>
      </c>
      <c r="H26" s="2">
        <v>9</v>
      </c>
      <c r="I26" s="125">
        <v>600</v>
      </c>
      <c r="J26" s="2" t="s">
        <v>766</v>
      </c>
      <c r="K26" s="137" t="s">
        <v>815</v>
      </c>
      <c r="L26" s="89">
        <v>30000</v>
      </c>
      <c r="M26" s="202">
        <v>30</v>
      </c>
      <c r="N26" s="39" t="s">
        <v>48</v>
      </c>
      <c r="O26" s="39" t="s">
        <v>49</v>
      </c>
      <c r="P26" s="212" t="s">
        <v>835</v>
      </c>
      <c r="Q26" s="19">
        <v>90</v>
      </c>
      <c r="R26" s="15">
        <f>Q26/I26</f>
        <v>0.15</v>
      </c>
      <c r="S26" s="5">
        <f>($AC26*$AD26)/(($Z26/$Y26)+($AA26/$Z26)+($AB26/$AA26))</f>
        <v>67.332430602572785</v>
      </c>
      <c r="U26" s="109" t="s">
        <v>767</v>
      </c>
      <c r="V26" s="2" t="s">
        <v>653</v>
      </c>
      <c r="W26" s="205"/>
      <c r="Y26" s="2">
        <v>2.5</v>
      </c>
      <c r="Z26" s="2">
        <v>6.5</v>
      </c>
      <c r="AA26" s="2">
        <v>15</v>
      </c>
      <c r="AB26" s="2">
        <v>40</v>
      </c>
      <c r="AC26" s="2">
        <v>30</v>
      </c>
      <c r="AD26" s="2">
        <v>17</v>
      </c>
      <c r="AE26" s="2">
        <f>AC26*AD26</f>
        <v>510</v>
      </c>
      <c r="AF26" s="2">
        <f>Z26/Y26</f>
        <v>2.6</v>
      </c>
      <c r="AG26" s="2">
        <f>AA26/Z26</f>
        <v>2.3076923076923075</v>
      </c>
      <c r="AH26" s="2">
        <f>AB26/AA26</f>
        <v>2.6666666666666665</v>
      </c>
    </row>
    <row r="27" spans="1:34">
      <c r="A27" s="52" t="s">
        <v>220</v>
      </c>
      <c r="B27" s="52" t="s">
        <v>221</v>
      </c>
      <c r="C27" s="48">
        <v>46163</v>
      </c>
      <c r="D27" s="42">
        <v>0.5</v>
      </c>
      <c r="E27" s="43"/>
      <c r="F27" s="8" t="s">
        <v>1044</v>
      </c>
      <c r="G27" s="2">
        <v>2</v>
      </c>
      <c r="H27" s="2">
        <v>9</v>
      </c>
      <c r="I27" s="125">
        <v>600</v>
      </c>
      <c r="J27" s="2" t="s">
        <v>766</v>
      </c>
      <c r="K27" s="88" t="s">
        <v>780</v>
      </c>
      <c r="L27" s="90">
        <v>40000</v>
      </c>
      <c r="M27" s="64" t="s">
        <v>22</v>
      </c>
      <c r="N27" s="39" t="s">
        <v>48</v>
      </c>
      <c r="O27" s="39" t="s">
        <v>49</v>
      </c>
      <c r="P27" s="135" t="s">
        <v>843</v>
      </c>
      <c r="Q27" s="19">
        <v>90</v>
      </c>
      <c r="R27" s="15">
        <f>Q27/I27</f>
        <v>0.15</v>
      </c>
      <c r="S27" s="5">
        <f>($AC27*$AD27)/(($Z27/$Y27)+($AA27/$Z27)+($AB27/$AA27))</f>
        <v>66.122448979591837</v>
      </c>
      <c r="U27" s="109" t="s">
        <v>767</v>
      </c>
      <c r="V27" s="205" t="s">
        <v>738</v>
      </c>
      <c r="W27" s="205"/>
      <c r="Y27" s="2">
        <v>2</v>
      </c>
      <c r="Z27" s="2">
        <v>5</v>
      </c>
      <c r="AA27" s="2">
        <v>15</v>
      </c>
      <c r="AB27" s="2">
        <v>40</v>
      </c>
      <c r="AC27" s="2">
        <v>30</v>
      </c>
      <c r="AD27" s="2">
        <v>18</v>
      </c>
      <c r="AE27" s="2">
        <f>AC27*AD27</f>
        <v>540</v>
      </c>
      <c r="AF27" s="2">
        <f>Z27/Y27</f>
        <v>2.5</v>
      </c>
      <c r="AG27" s="2">
        <f>AA27/Z27</f>
        <v>3</v>
      </c>
      <c r="AH27" s="2">
        <f>AB27/AA27</f>
        <v>2.6666666666666665</v>
      </c>
    </row>
    <row r="28" spans="1:34">
      <c r="A28" s="52" t="s">
        <v>220</v>
      </c>
      <c r="B28" s="52" t="s">
        <v>221</v>
      </c>
      <c r="C28" s="48">
        <v>46163</v>
      </c>
      <c r="D28" s="42">
        <v>0.75</v>
      </c>
      <c r="E28" s="43"/>
      <c r="F28" s="8" t="s">
        <v>1041</v>
      </c>
      <c r="G28" s="2">
        <v>2</v>
      </c>
      <c r="H28" s="2">
        <v>9</v>
      </c>
      <c r="I28" s="125">
        <v>600</v>
      </c>
      <c r="J28" s="2" t="s">
        <v>766</v>
      </c>
      <c r="K28" s="88" t="s">
        <v>799</v>
      </c>
      <c r="L28" s="90">
        <v>40000</v>
      </c>
      <c r="M28" s="64" t="s">
        <v>113</v>
      </c>
      <c r="N28" s="39" t="s">
        <v>48</v>
      </c>
      <c r="O28" s="39" t="s">
        <v>49</v>
      </c>
      <c r="P28" s="135" t="s">
        <v>843</v>
      </c>
      <c r="Q28" s="19">
        <v>90</v>
      </c>
      <c r="R28" s="15">
        <f>Q28/I28</f>
        <v>0.15</v>
      </c>
      <c r="S28" s="5">
        <f>($AC28*$AD28)/(($Z28/$Y28)+($AA28/$Z28)+($AB28/$AA28))</f>
        <v>44.081632653061227</v>
      </c>
      <c r="U28" s="109" t="s">
        <v>129</v>
      </c>
      <c r="V28" s="205" t="s">
        <v>738</v>
      </c>
      <c r="W28" s="205"/>
      <c r="Y28" s="2">
        <v>2</v>
      </c>
      <c r="Z28" s="2">
        <v>5</v>
      </c>
      <c r="AA28" s="2">
        <v>15</v>
      </c>
      <c r="AB28" s="2">
        <v>40</v>
      </c>
      <c r="AC28" s="2">
        <v>20</v>
      </c>
      <c r="AD28" s="2">
        <v>18</v>
      </c>
      <c r="AE28" s="2">
        <f>AC28*AD28</f>
        <v>360</v>
      </c>
      <c r="AF28" s="2">
        <f>Z28/Y28</f>
        <v>2.5</v>
      </c>
      <c r="AG28" s="2">
        <f>AA28/Z28</f>
        <v>3</v>
      </c>
      <c r="AH28" s="2">
        <f>AB28/AA28</f>
        <v>2.6666666666666665</v>
      </c>
    </row>
    <row r="29" spans="1:34">
      <c r="A29" s="68" t="s">
        <v>357</v>
      </c>
      <c r="B29" s="68" t="s">
        <v>358</v>
      </c>
      <c r="C29" s="48">
        <v>46163</v>
      </c>
      <c r="D29" s="42">
        <v>0.75694444444444442</v>
      </c>
      <c r="E29" s="194">
        <v>6</v>
      </c>
      <c r="F29" s="63" t="s">
        <v>278</v>
      </c>
      <c r="G29" s="2">
        <v>1</v>
      </c>
      <c r="H29" s="2">
        <v>9</v>
      </c>
      <c r="I29" s="125">
        <v>200</v>
      </c>
      <c r="J29" s="2" t="s">
        <v>766</v>
      </c>
      <c r="K29" s="137" t="s">
        <v>603</v>
      </c>
      <c r="L29" s="89">
        <v>25000</v>
      </c>
      <c r="M29" s="54">
        <v>30</v>
      </c>
      <c r="N29" s="39" t="s">
        <v>48</v>
      </c>
      <c r="O29" s="39" t="s">
        <v>49</v>
      </c>
      <c r="P29" s="212" t="s">
        <v>831</v>
      </c>
      <c r="Q29" s="19">
        <v>40</v>
      </c>
      <c r="R29" s="15">
        <f>Q29/I29</f>
        <v>0.2</v>
      </c>
      <c r="S29" s="5">
        <f>($AC29*$AD29)/(($Z29/$Y29)+($AA29/$Z29)+($AB29/$AA29))</f>
        <v>55.03292568203198</v>
      </c>
      <c r="U29" s="109" t="s">
        <v>219</v>
      </c>
      <c r="V29" s="205" t="s">
        <v>651</v>
      </c>
      <c r="W29" s="218" t="s">
        <v>652</v>
      </c>
      <c r="Y29" s="2">
        <v>2.5</v>
      </c>
      <c r="Z29" s="2">
        <v>6.5</v>
      </c>
      <c r="AA29" s="2">
        <v>20</v>
      </c>
      <c r="AB29" s="2">
        <v>50</v>
      </c>
      <c r="AC29" s="2">
        <v>30</v>
      </c>
      <c r="AD29" s="2">
        <v>15</v>
      </c>
      <c r="AE29" s="2">
        <f>AC29*AD29</f>
        <v>450</v>
      </c>
      <c r="AF29" s="2">
        <f>Z29/Y29</f>
        <v>2.6</v>
      </c>
      <c r="AG29" s="2">
        <f>AA29/Z29</f>
        <v>3.0769230769230771</v>
      </c>
      <c r="AH29" s="2">
        <f>AB29/AA29</f>
        <v>2.5</v>
      </c>
    </row>
    <row r="30" spans="1:34">
      <c r="A30" s="52" t="s">
        <v>229</v>
      </c>
      <c r="B30" s="52" t="s">
        <v>230</v>
      </c>
      <c r="C30" s="40">
        <v>46164</v>
      </c>
      <c r="D30" s="42">
        <v>0.45833333333333331</v>
      </c>
      <c r="E30" s="43"/>
      <c r="F30" s="8" t="s">
        <v>242</v>
      </c>
      <c r="G30" s="2">
        <v>1</v>
      </c>
      <c r="I30" s="125">
        <v>200</v>
      </c>
      <c r="J30" s="2" t="s">
        <v>766</v>
      </c>
      <c r="K30" s="88" t="s">
        <v>775</v>
      </c>
      <c r="L30" s="90">
        <v>25000</v>
      </c>
      <c r="M30" s="46" t="s">
        <v>128</v>
      </c>
      <c r="N30" s="39" t="s">
        <v>48</v>
      </c>
      <c r="O30" s="39" t="s">
        <v>49</v>
      </c>
      <c r="P30" s="135" t="s">
        <v>832</v>
      </c>
      <c r="Q30" s="19">
        <v>40</v>
      </c>
      <c r="R30" s="15">
        <f>IF(Q30&gt;0,Q30/I30,"")</f>
        <v>0.2</v>
      </c>
      <c r="S30" s="5">
        <f>($AC30*$AD30)/(($Z30/$Y30)+($AA30/$Z30)+($AB30/$AA30))</f>
        <v>28.333333333333332</v>
      </c>
      <c r="U30" s="109" t="s">
        <v>767</v>
      </c>
      <c r="V30" s="2" t="s">
        <v>719</v>
      </c>
      <c r="Y30" s="2">
        <v>2</v>
      </c>
      <c r="Z30" s="2">
        <v>5</v>
      </c>
      <c r="AA30" s="2">
        <v>20</v>
      </c>
      <c r="AB30" s="2">
        <v>50</v>
      </c>
      <c r="AC30" s="2">
        <v>255</v>
      </c>
      <c r="AD30" s="2">
        <v>1</v>
      </c>
      <c r="AE30" s="2">
        <f>AC30*AD30</f>
        <v>255</v>
      </c>
      <c r="AF30" s="2">
        <f>Z30/Y30</f>
        <v>2.5</v>
      </c>
      <c r="AG30" s="2">
        <f>AA30/Z30</f>
        <v>4</v>
      </c>
      <c r="AH30" s="2">
        <f>AB30/AA30</f>
        <v>2.5</v>
      </c>
    </row>
    <row r="31" spans="1:34">
      <c r="A31" s="52" t="s">
        <v>220</v>
      </c>
      <c r="B31" s="52" t="s">
        <v>221</v>
      </c>
      <c r="C31" s="48">
        <v>46164</v>
      </c>
      <c r="D31" s="42">
        <v>0.45833333333333331</v>
      </c>
      <c r="E31" s="43"/>
      <c r="F31" s="8" t="s">
        <v>1331</v>
      </c>
      <c r="G31" s="2">
        <v>2</v>
      </c>
      <c r="H31" s="2">
        <v>6</v>
      </c>
      <c r="I31" s="125">
        <v>1100</v>
      </c>
      <c r="J31" s="2" t="s">
        <v>766</v>
      </c>
      <c r="K31" s="109" t="s">
        <v>767</v>
      </c>
      <c r="L31" s="90">
        <v>35000</v>
      </c>
      <c r="M31" s="64">
        <v>40</v>
      </c>
      <c r="N31" s="39" t="s">
        <v>48</v>
      </c>
      <c r="O31" s="39" t="s">
        <v>123</v>
      </c>
      <c r="P31" s="63">
        <v>50000</v>
      </c>
      <c r="Q31" s="2">
        <v>135</v>
      </c>
      <c r="R31" s="15">
        <f>Q31/I31</f>
        <v>0.12272727272727273</v>
      </c>
      <c r="S31" s="149" t="s">
        <v>110</v>
      </c>
      <c r="T31" s="149"/>
      <c r="U31" s="109" t="s">
        <v>767</v>
      </c>
      <c r="V31" s="205" t="s">
        <v>738</v>
      </c>
      <c r="W31" s="205"/>
      <c r="AE31" s="2">
        <f>AC31*AD31</f>
        <v>0</v>
      </c>
      <c r="AF31" s="2" t="e">
        <f>Z31/Y31</f>
        <v>#DIV/0!</v>
      </c>
      <c r="AG31" s="2" t="e">
        <f>AA31/Z31</f>
        <v>#DIV/0!</v>
      </c>
      <c r="AH31" s="2" t="e">
        <f>AB31/AA31</f>
        <v>#DIV/0!</v>
      </c>
    </row>
    <row r="32" spans="1:34">
      <c r="A32" s="68" t="s">
        <v>357</v>
      </c>
      <c r="B32" s="68" t="s">
        <v>358</v>
      </c>
      <c r="C32" s="48">
        <v>46164</v>
      </c>
      <c r="D32" s="42">
        <v>0.46527777777777779</v>
      </c>
      <c r="E32" s="194">
        <v>7</v>
      </c>
      <c r="F32" s="63" t="s">
        <v>281</v>
      </c>
      <c r="G32" s="2">
        <v>1</v>
      </c>
      <c r="H32" s="2">
        <v>9</v>
      </c>
      <c r="I32" s="125">
        <v>600</v>
      </c>
      <c r="J32" s="2" t="s">
        <v>766</v>
      </c>
      <c r="K32" s="137" t="s">
        <v>815</v>
      </c>
      <c r="L32" s="89">
        <v>30000</v>
      </c>
      <c r="M32" s="202">
        <v>30</v>
      </c>
      <c r="N32" s="39" t="s">
        <v>48</v>
      </c>
      <c r="O32" s="39" t="s">
        <v>49</v>
      </c>
      <c r="P32" s="212" t="s">
        <v>835</v>
      </c>
      <c r="Q32" s="19">
        <v>90</v>
      </c>
      <c r="R32" s="15">
        <f>Q32/I32</f>
        <v>0.15</v>
      </c>
      <c r="S32" s="5">
        <f>($AC32*$AD32)/(($Z32/$Y32)+($AA32/$Z32)+($AB32/$AA32))</f>
        <v>67.332430602572785</v>
      </c>
      <c r="U32" s="109" t="s">
        <v>767</v>
      </c>
      <c r="V32" s="2" t="s">
        <v>653</v>
      </c>
      <c r="W32" s="205"/>
      <c r="Y32" s="2">
        <v>2.5</v>
      </c>
      <c r="Z32" s="2">
        <v>6.5</v>
      </c>
      <c r="AA32" s="2">
        <v>15</v>
      </c>
      <c r="AB32" s="2">
        <v>40</v>
      </c>
      <c r="AC32" s="2">
        <v>30</v>
      </c>
      <c r="AD32" s="2">
        <v>17</v>
      </c>
      <c r="AE32" s="2">
        <f>AC32*AD32</f>
        <v>510</v>
      </c>
      <c r="AF32" s="2">
        <f>Z32/Y32</f>
        <v>2.6</v>
      </c>
      <c r="AG32" s="2">
        <f>AA32/Z32</f>
        <v>2.3076923076923075</v>
      </c>
      <c r="AH32" s="2">
        <f>AB32/AA32</f>
        <v>2.6666666666666665</v>
      </c>
    </row>
    <row r="33" spans="1:34">
      <c r="A33" s="52" t="s">
        <v>220</v>
      </c>
      <c r="B33" s="52" t="s">
        <v>221</v>
      </c>
      <c r="C33" s="48">
        <v>46164</v>
      </c>
      <c r="D33" s="42">
        <v>0.5</v>
      </c>
      <c r="E33" s="43"/>
      <c r="F33" s="8" t="s">
        <v>1045</v>
      </c>
      <c r="G33" s="2">
        <v>2</v>
      </c>
      <c r="H33" s="2">
        <v>9</v>
      </c>
      <c r="I33" s="125">
        <v>600</v>
      </c>
      <c r="J33" s="2" t="s">
        <v>766</v>
      </c>
      <c r="K33" s="88" t="s">
        <v>780</v>
      </c>
      <c r="L33" s="90">
        <v>40000</v>
      </c>
      <c r="M33" s="64" t="s">
        <v>22</v>
      </c>
      <c r="N33" s="39" t="s">
        <v>48</v>
      </c>
      <c r="O33" s="39" t="s">
        <v>49</v>
      </c>
      <c r="P33" s="135" t="s">
        <v>843</v>
      </c>
      <c r="Q33" s="19">
        <v>90</v>
      </c>
      <c r="R33" s="15">
        <f>Q33/I33</f>
        <v>0.15</v>
      </c>
      <c r="S33" s="5">
        <f>($AC33*$AD33)/(($Z33/$Y33)+($AA33/$Z33)+($AB33/$AA33))</f>
        <v>66.122448979591837</v>
      </c>
      <c r="U33" s="109" t="s">
        <v>767</v>
      </c>
      <c r="V33" s="205" t="s">
        <v>738</v>
      </c>
      <c r="W33" s="205"/>
      <c r="Y33" s="2">
        <v>2</v>
      </c>
      <c r="Z33" s="2">
        <v>5</v>
      </c>
      <c r="AA33" s="2">
        <v>15</v>
      </c>
      <c r="AB33" s="2">
        <v>40</v>
      </c>
      <c r="AC33" s="2">
        <v>30</v>
      </c>
      <c r="AD33" s="2">
        <v>18</v>
      </c>
      <c r="AE33" s="2">
        <f>AC33*AD33</f>
        <v>540</v>
      </c>
      <c r="AF33" s="2">
        <f>Z33/Y33</f>
        <v>2.5</v>
      </c>
      <c r="AG33" s="2">
        <f>AA33/Z33</f>
        <v>3</v>
      </c>
      <c r="AH33" s="2">
        <f>AB33/AA33</f>
        <v>2.6666666666666665</v>
      </c>
    </row>
    <row r="34" spans="1:34">
      <c r="A34" s="52" t="s">
        <v>220</v>
      </c>
      <c r="B34" s="52" t="s">
        <v>221</v>
      </c>
      <c r="C34" s="48">
        <v>46164</v>
      </c>
      <c r="D34" s="42">
        <v>0.5</v>
      </c>
      <c r="E34" s="43"/>
      <c r="F34" s="8" t="s">
        <v>1037</v>
      </c>
      <c r="G34" s="2">
        <v>2</v>
      </c>
      <c r="H34" s="2">
        <v>6</v>
      </c>
      <c r="I34" s="125">
        <v>1100</v>
      </c>
      <c r="J34" s="2" t="s">
        <v>766</v>
      </c>
      <c r="K34" s="88" t="s">
        <v>793</v>
      </c>
      <c r="L34" s="90">
        <v>35000</v>
      </c>
      <c r="M34" s="64">
        <v>40</v>
      </c>
      <c r="N34" s="39" t="s">
        <v>48</v>
      </c>
      <c r="O34" s="39" t="s">
        <v>224</v>
      </c>
      <c r="P34" s="63">
        <v>50000</v>
      </c>
      <c r="Q34" s="2">
        <v>135</v>
      </c>
      <c r="R34" s="15">
        <f>Q34/I34</f>
        <v>0.12272727272727273</v>
      </c>
      <c r="S34" s="149" t="s">
        <v>110</v>
      </c>
      <c r="T34" s="149"/>
      <c r="U34" s="109" t="s">
        <v>767</v>
      </c>
      <c r="V34" s="205" t="s">
        <v>738</v>
      </c>
      <c r="W34" s="205"/>
      <c r="AE34" s="2">
        <f>AC34*AD34</f>
        <v>0</v>
      </c>
      <c r="AF34" s="2" t="e">
        <f>Z34/Y34</f>
        <v>#DIV/0!</v>
      </c>
      <c r="AG34" s="2" t="e">
        <f>AA34/Z34</f>
        <v>#DIV/0!</v>
      </c>
      <c r="AH34" s="2" t="e">
        <f>AB34/AA34</f>
        <v>#DIV/0!</v>
      </c>
    </row>
    <row r="35" spans="1:34">
      <c r="A35" s="68" t="s">
        <v>357</v>
      </c>
      <c r="B35" s="68" t="s">
        <v>358</v>
      </c>
      <c r="C35" s="48">
        <v>46164</v>
      </c>
      <c r="D35" s="42">
        <v>0.50694444444444442</v>
      </c>
      <c r="E35" s="194">
        <v>8</v>
      </c>
      <c r="F35" s="63" t="s">
        <v>282</v>
      </c>
      <c r="G35" s="2">
        <v>2</v>
      </c>
      <c r="H35" s="2">
        <v>8</v>
      </c>
      <c r="I35" s="125">
        <v>600</v>
      </c>
      <c r="J35" s="2" t="s">
        <v>766</v>
      </c>
      <c r="K35" s="137" t="s">
        <v>598</v>
      </c>
      <c r="L35" s="89">
        <v>40000</v>
      </c>
      <c r="M35" s="202">
        <v>40</v>
      </c>
      <c r="N35" s="39" t="s">
        <v>48</v>
      </c>
      <c r="O35" s="39" t="s">
        <v>57</v>
      </c>
      <c r="P35" s="234">
        <v>500000</v>
      </c>
      <c r="Q35" s="2">
        <v>95</v>
      </c>
      <c r="R35" s="15">
        <f>Q35/I35</f>
        <v>0.15833333333333333</v>
      </c>
      <c r="S35" s="149" t="s">
        <v>110</v>
      </c>
      <c r="T35" s="149"/>
      <c r="U35" s="109" t="s">
        <v>219</v>
      </c>
      <c r="V35" s="2" t="s">
        <v>654</v>
      </c>
      <c r="W35" s="218" t="s">
        <v>655</v>
      </c>
      <c r="AE35" s="2">
        <f>AC35*AD35</f>
        <v>0</v>
      </c>
      <c r="AF35" s="2" t="e">
        <f>Z35/Y35</f>
        <v>#DIV/0!</v>
      </c>
      <c r="AG35" s="2" t="e">
        <f>AA35/Z35</f>
        <v>#DIV/0!</v>
      </c>
      <c r="AH35" s="2" t="e">
        <f>AB35/AA35</f>
        <v>#DIV/0!</v>
      </c>
    </row>
    <row r="36" spans="1:34">
      <c r="A36" s="52" t="s">
        <v>229</v>
      </c>
      <c r="B36" s="52" t="s">
        <v>230</v>
      </c>
      <c r="C36" s="40">
        <v>46164</v>
      </c>
      <c r="D36" s="42">
        <v>0.66666666666666663</v>
      </c>
      <c r="E36" s="43"/>
      <c r="F36" s="8" t="s">
        <v>239</v>
      </c>
      <c r="G36" s="2">
        <v>1</v>
      </c>
      <c r="I36" s="125">
        <v>240</v>
      </c>
      <c r="J36" s="2" t="s">
        <v>766</v>
      </c>
      <c r="K36" s="88" t="s">
        <v>795</v>
      </c>
      <c r="L36" s="90">
        <v>30000</v>
      </c>
      <c r="M36" s="8">
        <v>20</v>
      </c>
      <c r="N36" s="39" t="s">
        <v>48</v>
      </c>
      <c r="O36" s="39" t="s">
        <v>870</v>
      </c>
      <c r="P36" s="19">
        <v>10000</v>
      </c>
      <c r="Q36" s="2">
        <v>40</v>
      </c>
      <c r="R36" s="15">
        <f>IF(Q36&gt;0,Q36/I36,"")</f>
        <v>0.16666666666666666</v>
      </c>
      <c r="S36" s="149" t="s">
        <v>110</v>
      </c>
      <c r="T36" s="149"/>
      <c r="U36" s="109" t="s">
        <v>767</v>
      </c>
      <c r="V36" s="205" t="s">
        <v>719</v>
      </c>
      <c r="AE36" s="2">
        <f>AC36*AD36</f>
        <v>0</v>
      </c>
      <c r="AF36" s="2" t="e">
        <f>Z36/Y36</f>
        <v>#DIV/0!</v>
      </c>
      <c r="AG36" s="2" t="e">
        <f>AA36/Z36</f>
        <v>#DIV/0!</v>
      </c>
      <c r="AH36" s="2" t="e">
        <f>AB36/AA36</f>
        <v>#DIV/0!</v>
      </c>
    </row>
    <row r="37" spans="1:34">
      <c r="A37" s="52" t="s">
        <v>229</v>
      </c>
      <c r="B37" s="52" t="s">
        <v>230</v>
      </c>
      <c r="C37" s="40">
        <v>46164</v>
      </c>
      <c r="D37" s="42">
        <v>0.75</v>
      </c>
      <c r="E37" s="43"/>
      <c r="F37" s="8" t="s">
        <v>243</v>
      </c>
      <c r="G37" s="2">
        <v>1</v>
      </c>
      <c r="I37" s="125">
        <v>200</v>
      </c>
      <c r="J37" s="2" t="s">
        <v>766</v>
      </c>
      <c r="K37" s="88" t="s">
        <v>809</v>
      </c>
      <c r="L37" s="90">
        <v>30000</v>
      </c>
      <c r="M37" s="46" t="s">
        <v>128</v>
      </c>
      <c r="N37" s="39" t="s">
        <v>48</v>
      </c>
      <c r="O37" s="39" t="s">
        <v>49</v>
      </c>
      <c r="P37" s="134" t="s">
        <v>835</v>
      </c>
      <c r="Q37" s="19">
        <v>40</v>
      </c>
      <c r="R37" s="15">
        <f>IF(Q37&gt;0,Q37/I37,"")</f>
        <v>0.2</v>
      </c>
      <c r="S37" s="5">
        <f>($AC37*$AD37)/(($Z37/$Y37)+($AA37/$Z37)+($AB37/$AA37))</f>
        <v>48.598130841121502</v>
      </c>
      <c r="U37" s="109" t="s">
        <v>767</v>
      </c>
      <c r="V37" s="205" t="s">
        <v>719</v>
      </c>
      <c r="W37" s="205"/>
      <c r="Y37" s="2">
        <v>2</v>
      </c>
      <c r="Z37" s="2">
        <v>5</v>
      </c>
      <c r="AA37" s="2">
        <v>13</v>
      </c>
      <c r="AB37" s="2">
        <v>30</v>
      </c>
      <c r="AC37" s="2">
        <v>18</v>
      </c>
      <c r="AD37" s="2">
        <v>20</v>
      </c>
      <c r="AE37" s="2">
        <f>AC37*AD37</f>
        <v>360</v>
      </c>
      <c r="AF37" s="2">
        <f>Z37/Y37</f>
        <v>2.5</v>
      </c>
      <c r="AG37" s="2">
        <f>AA37/Z37</f>
        <v>2.6</v>
      </c>
      <c r="AH37" s="2">
        <f>AB37/AA37</f>
        <v>2.3076923076923075</v>
      </c>
    </row>
    <row r="38" spans="1:34">
      <c r="A38" s="52" t="s">
        <v>220</v>
      </c>
      <c r="B38" s="52" t="s">
        <v>221</v>
      </c>
      <c r="C38" s="48">
        <v>46164</v>
      </c>
      <c r="D38" s="42">
        <v>0.75</v>
      </c>
      <c r="E38" s="43"/>
      <c r="F38" s="8" t="s">
        <v>1042</v>
      </c>
      <c r="G38" s="2">
        <v>2</v>
      </c>
      <c r="H38" s="2">
        <v>9</v>
      </c>
      <c r="I38" s="125">
        <v>600</v>
      </c>
      <c r="J38" s="2" t="s">
        <v>766</v>
      </c>
      <c r="K38" s="88" t="s">
        <v>799</v>
      </c>
      <c r="L38" s="90">
        <v>40000</v>
      </c>
      <c r="M38" s="64" t="s">
        <v>113</v>
      </c>
      <c r="N38" s="39" t="s">
        <v>48</v>
      </c>
      <c r="O38" s="39" t="s">
        <v>49</v>
      </c>
      <c r="P38" s="135" t="s">
        <v>843</v>
      </c>
      <c r="Q38" s="19">
        <v>90</v>
      </c>
      <c r="R38" s="15">
        <f>Q38/I38</f>
        <v>0.15</v>
      </c>
      <c r="S38" s="5">
        <f>($AC38*$AD38)/(($Z38/$Y38)+($AA38/$Z38)+($AB38/$AA38))</f>
        <v>44.081632653061227</v>
      </c>
      <c r="U38" s="109" t="s">
        <v>129</v>
      </c>
      <c r="V38" s="205" t="s">
        <v>738</v>
      </c>
      <c r="W38" s="205"/>
      <c r="Y38" s="2">
        <v>2</v>
      </c>
      <c r="Z38" s="2">
        <v>5</v>
      </c>
      <c r="AA38" s="2">
        <v>15</v>
      </c>
      <c r="AB38" s="2">
        <v>40</v>
      </c>
      <c r="AC38" s="2">
        <v>20</v>
      </c>
      <c r="AD38" s="2">
        <v>18</v>
      </c>
      <c r="AE38" s="2">
        <f>AC38*AD38</f>
        <v>360</v>
      </c>
      <c r="AF38" s="2">
        <f>Z38/Y38</f>
        <v>2.5</v>
      </c>
      <c r="AG38" s="2">
        <f>AA38/Z38</f>
        <v>3</v>
      </c>
      <c r="AH38" s="2">
        <f>AB38/AA38</f>
        <v>2.6666666666666665</v>
      </c>
    </row>
    <row r="39" spans="1:34">
      <c r="A39" s="68" t="s">
        <v>357</v>
      </c>
      <c r="B39" s="68" t="s">
        <v>358</v>
      </c>
      <c r="C39" s="48">
        <v>46164</v>
      </c>
      <c r="D39" s="42">
        <v>0.75694444444444442</v>
      </c>
      <c r="E39" s="194">
        <v>9</v>
      </c>
      <c r="F39" s="63" t="s">
        <v>278</v>
      </c>
      <c r="G39" s="2">
        <v>1</v>
      </c>
      <c r="H39" s="2">
        <v>9</v>
      </c>
      <c r="I39" s="125">
        <v>200</v>
      </c>
      <c r="J39" s="2" t="s">
        <v>766</v>
      </c>
      <c r="K39" s="137" t="s">
        <v>603</v>
      </c>
      <c r="L39" s="89">
        <v>25000</v>
      </c>
      <c r="M39" s="54">
        <v>30</v>
      </c>
      <c r="N39" s="39" t="s">
        <v>48</v>
      </c>
      <c r="O39" s="39" t="s">
        <v>49</v>
      </c>
      <c r="P39" s="134" t="s">
        <v>831</v>
      </c>
      <c r="Q39" s="19">
        <v>40</v>
      </c>
      <c r="R39" s="15">
        <f>Q39/I39</f>
        <v>0.2</v>
      </c>
      <c r="S39" s="5">
        <f>($AC39*$AD39)/(($Z39/$Y39)+($AA39/$Z39)+($AB39/$AA39))</f>
        <v>55.03292568203198</v>
      </c>
      <c r="U39" s="109" t="s">
        <v>219</v>
      </c>
      <c r="V39" s="205" t="s">
        <v>651</v>
      </c>
      <c r="W39" s="218" t="s">
        <v>652</v>
      </c>
      <c r="Y39" s="2">
        <v>2.5</v>
      </c>
      <c r="Z39" s="2">
        <v>6.5</v>
      </c>
      <c r="AA39" s="2">
        <v>20</v>
      </c>
      <c r="AB39" s="2">
        <v>50</v>
      </c>
      <c r="AC39" s="2">
        <v>30</v>
      </c>
      <c r="AD39" s="2">
        <v>15</v>
      </c>
      <c r="AE39" s="2">
        <f>AC39*AD39</f>
        <v>450</v>
      </c>
      <c r="AF39" s="2">
        <f>Z39/Y39</f>
        <v>2.6</v>
      </c>
      <c r="AG39" s="2">
        <f>AA39/Z39</f>
        <v>3.0769230769230771</v>
      </c>
      <c r="AH39" s="2">
        <f>AB39/AA39</f>
        <v>2.5</v>
      </c>
    </row>
    <row r="40" spans="1:34">
      <c r="A40" s="68" t="s">
        <v>357</v>
      </c>
      <c r="B40" s="68" t="s">
        <v>358</v>
      </c>
      <c r="C40" s="48">
        <v>46165</v>
      </c>
      <c r="D40" s="42">
        <v>0.4236111111111111</v>
      </c>
      <c r="E40" s="194">
        <v>10</v>
      </c>
      <c r="F40" s="63" t="s">
        <v>283</v>
      </c>
      <c r="G40" s="2">
        <v>2</v>
      </c>
      <c r="H40" s="2">
        <v>9</v>
      </c>
      <c r="I40" s="125">
        <v>600</v>
      </c>
      <c r="J40" s="2" t="s">
        <v>766</v>
      </c>
      <c r="K40" s="137" t="s">
        <v>598</v>
      </c>
      <c r="L40" s="89">
        <v>40000</v>
      </c>
      <c r="M40" s="54">
        <v>40</v>
      </c>
      <c r="N40" s="39" t="s">
        <v>48</v>
      </c>
      <c r="O40" s="39" t="s">
        <v>49</v>
      </c>
      <c r="P40" s="212" t="s">
        <v>839</v>
      </c>
      <c r="Q40" s="19">
        <v>95</v>
      </c>
      <c r="R40" s="15">
        <f>Q40/I40</f>
        <v>0.15833333333333333</v>
      </c>
      <c r="S40" s="5">
        <f>($AC40*$AD40)/(($Z40/$Y40)+($AA40/$Z40)+($AB40/$AA40))</f>
        <v>102.59605399792316</v>
      </c>
      <c r="U40" s="109" t="s">
        <v>54</v>
      </c>
      <c r="V40" s="2" t="s">
        <v>657</v>
      </c>
      <c r="Y40" s="2">
        <v>2</v>
      </c>
      <c r="Z40" s="2">
        <v>5</v>
      </c>
      <c r="AA40" s="2">
        <v>13</v>
      </c>
      <c r="AB40" s="2">
        <v>30</v>
      </c>
      <c r="AC40" s="2">
        <v>40</v>
      </c>
      <c r="AD40" s="2">
        <v>19</v>
      </c>
      <c r="AE40" s="2">
        <f>AC40*AD40</f>
        <v>760</v>
      </c>
      <c r="AF40" s="2">
        <f>Z40/Y40</f>
        <v>2.5</v>
      </c>
      <c r="AG40" s="2">
        <f>AA40/Z40</f>
        <v>2.6</v>
      </c>
      <c r="AH40" s="2">
        <f>AB40/AA40</f>
        <v>2.3076923076923075</v>
      </c>
    </row>
    <row r="41" spans="1:34">
      <c r="A41" s="52" t="s">
        <v>229</v>
      </c>
      <c r="B41" s="52" t="s">
        <v>230</v>
      </c>
      <c r="C41" s="40">
        <v>46165</v>
      </c>
      <c r="D41" s="42">
        <v>0.45833333333333331</v>
      </c>
      <c r="E41" s="43"/>
      <c r="F41" s="8" t="s">
        <v>240</v>
      </c>
      <c r="G41" s="2">
        <v>1</v>
      </c>
      <c r="I41" s="125">
        <v>400</v>
      </c>
      <c r="J41" s="2" t="s">
        <v>766</v>
      </c>
      <c r="K41" s="88" t="s">
        <v>788</v>
      </c>
      <c r="L41" s="90">
        <v>40000</v>
      </c>
      <c r="M41" s="46" t="s">
        <v>22</v>
      </c>
      <c r="N41" s="39" t="s">
        <v>48</v>
      </c>
      <c r="O41" s="39" t="s">
        <v>49</v>
      </c>
      <c r="P41" s="134" t="s">
        <v>836</v>
      </c>
      <c r="Q41" s="19">
        <v>60</v>
      </c>
      <c r="R41" s="15">
        <f>IF(Q41&gt;0,Q41/I41,"")</f>
        <v>0.15</v>
      </c>
      <c r="S41" s="5">
        <f>($AC41*$AD41)/(($Z41/$Y41)+($AA41/$Z41)+($AB41/$AA41))</f>
        <v>76.947040498442377</v>
      </c>
      <c r="U41" s="109" t="s">
        <v>767</v>
      </c>
      <c r="V41" s="2" t="s">
        <v>719</v>
      </c>
      <c r="W41" s="205"/>
      <c r="Y41" s="2">
        <v>2</v>
      </c>
      <c r="Z41" s="2">
        <v>5</v>
      </c>
      <c r="AA41" s="2">
        <v>13</v>
      </c>
      <c r="AB41" s="2">
        <v>30</v>
      </c>
      <c r="AC41" s="2">
        <v>19</v>
      </c>
      <c r="AD41" s="2">
        <v>30</v>
      </c>
      <c r="AE41" s="2">
        <f>AC41*AD41</f>
        <v>570</v>
      </c>
      <c r="AF41" s="2">
        <f>Z41/Y41</f>
        <v>2.5</v>
      </c>
      <c r="AG41" s="2">
        <f>AA41/Z41</f>
        <v>2.6</v>
      </c>
      <c r="AH41" s="2">
        <f>AB41/AA41</f>
        <v>2.3076923076923075</v>
      </c>
    </row>
    <row r="42" spans="1:34">
      <c r="A42" s="52" t="s">
        <v>229</v>
      </c>
      <c r="B42" s="52" t="s">
        <v>230</v>
      </c>
      <c r="C42" s="40">
        <v>46165</v>
      </c>
      <c r="D42" s="42">
        <v>0.5</v>
      </c>
      <c r="E42" s="43"/>
      <c r="F42" s="8" t="s">
        <v>713</v>
      </c>
      <c r="G42" s="2">
        <v>1</v>
      </c>
      <c r="I42" s="37">
        <v>600</v>
      </c>
      <c r="J42" s="2" t="s">
        <v>766</v>
      </c>
      <c r="K42" s="88" t="s">
        <v>788</v>
      </c>
      <c r="L42" s="90">
        <v>40000</v>
      </c>
      <c r="M42" s="46" t="s">
        <v>22</v>
      </c>
      <c r="N42" s="39" t="s">
        <v>48</v>
      </c>
      <c r="O42" s="39" t="s">
        <v>451</v>
      </c>
      <c r="P42" s="19">
        <v>40000</v>
      </c>
      <c r="Q42" s="2">
        <v>85</v>
      </c>
      <c r="R42" s="15">
        <f>IF(Q42&gt;0,Q42/I42,"")</f>
        <v>0.14166666666666666</v>
      </c>
      <c r="S42" s="149" t="s">
        <v>110</v>
      </c>
      <c r="T42" s="149"/>
      <c r="U42" s="109" t="s">
        <v>767</v>
      </c>
      <c r="V42" s="205" t="s">
        <v>719</v>
      </c>
      <c r="W42" s="205"/>
      <c r="AE42" s="2">
        <f>AC42*AD42</f>
        <v>0</v>
      </c>
      <c r="AF42" s="2" t="e">
        <f>Z42/Y42</f>
        <v>#DIV/0!</v>
      </c>
      <c r="AG42" s="2" t="e">
        <f>AA42/Z42</f>
        <v>#DIV/0!</v>
      </c>
      <c r="AH42" s="2" t="e">
        <f>AB42/AA42</f>
        <v>#DIV/0!</v>
      </c>
    </row>
    <row r="43" spans="1:34">
      <c r="A43" s="52" t="s">
        <v>220</v>
      </c>
      <c r="B43" s="52" t="s">
        <v>221</v>
      </c>
      <c r="C43" s="48">
        <v>46165</v>
      </c>
      <c r="D43" s="42">
        <v>0.5</v>
      </c>
      <c r="E43" s="43"/>
      <c r="F43" s="8" t="s">
        <v>1046</v>
      </c>
      <c r="G43" s="2">
        <v>2</v>
      </c>
      <c r="H43" s="2">
        <v>9</v>
      </c>
      <c r="I43" s="125">
        <v>600</v>
      </c>
      <c r="J43" s="2" t="s">
        <v>766</v>
      </c>
      <c r="K43" s="88" t="s">
        <v>780</v>
      </c>
      <c r="L43" s="90">
        <v>40000</v>
      </c>
      <c r="M43" s="64" t="s">
        <v>22</v>
      </c>
      <c r="N43" s="39" t="s">
        <v>48</v>
      </c>
      <c r="O43" s="39" t="s">
        <v>49</v>
      </c>
      <c r="P43" s="135" t="s">
        <v>843</v>
      </c>
      <c r="Q43" s="19">
        <v>90</v>
      </c>
      <c r="R43" s="15">
        <f>Q43/I43</f>
        <v>0.15</v>
      </c>
      <c r="S43" s="5">
        <f>($AC43*$AD43)/(($Z43/$Y43)+($AA43/$Z43)+($AB43/$AA43))</f>
        <v>66.122448979591837</v>
      </c>
      <c r="U43" s="109" t="s">
        <v>767</v>
      </c>
      <c r="V43" s="2" t="s">
        <v>738</v>
      </c>
      <c r="W43" s="205"/>
      <c r="Y43" s="2">
        <v>2</v>
      </c>
      <c r="Z43" s="2">
        <v>5</v>
      </c>
      <c r="AA43" s="2">
        <v>15</v>
      </c>
      <c r="AB43" s="2">
        <v>40</v>
      </c>
      <c r="AC43" s="2">
        <v>30</v>
      </c>
      <c r="AD43" s="2">
        <v>18</v>
      </c>
      <c r="AE43" s="2">
        <f>AC43*AD43</f>
        <v>540</v>
      </c>
      <c r="AF43" s="2">
        <f>Z43/Y43</f>
        <v>2.5</v>
      </c>
      <c r="AG43" s="2">
        <f>AA43/Z43</f>
        <v>3</v>
      </c>
      <c r="AH43" s="2">
        <f>AB43/AA43</f>
        <v>2.6666666666666665</v>
      </c>
    </row>
    <row r="44" spans="1:34">
      <c r="A44" s="52" t="s">
        <v>220</v>
      </c>
      <c r="B44" s="52" t="s">
        <v>221</v>
      </c>
      <c r="C44" s="48">
        <v>46165</v>
      </c>
      <c r="D44" s="42">
        <v>0.5</v>
      </c>
      <c r="E44" s="43"/>
      <c r="F44" s="8" t="s">
        <v>1323</v>
      </c>
      <c r="G44" s="2">
        <v>2</v>
      </c>
      <c r="H44" s="2">
        <v>6</v>
      </c>
      <c r="I44" s="125">
        <v>1100</v>
      </c>
      <c r="J44" s="2" t="s">
        <v>766</v>
      </c>
      <c r="K44" s="109" t="s">
        <v>767</v>
      </c>
      <c r="L44" s="90">
        <v>35000</v>
      </c>
      <c r="M44" s="64">
        <v>40</v>
      </c>
      <c r="N44" s="39" t="s">
        <v>48</v>
      </c>
      <c r="O44" s="39" t="s">
        <v>224</v>
      </c>
      <c r="P44" s="63">
        <v>50000</v>
      </c>
      <c r="Q44" s="2">
        <v>135</v>
      </c>
      <c r="R44" s="15">
        <f>Q44/I44</f>
        <v>0.12272727272727273</v>
      </c>
      <c r="S44" s="149" t="s">
        <v>110</v>
      </c>
      <c r="T44" s="149"/>
      <c r="U44" s="109" t="s">
        <v>767</v>
      </c>
      <c r="V44" s="205" t="s">
        <v>738</v>
      </c>
      <c r="W44" s="205"/>
      <c r="AE44" s="2">
        <f>AC44*AD44</f>
        <v>0</v>
      </c>
      <c r="AF44" s="2" t="e">
        <f>Z44/Y44</f>
        <v>#DIV/0!</v>
      </c>
      <c r="AG44" s="2" t="e">
        <f>AA44/Z44</f>
        <v>#DIV/0!</v>
      </c>
      <c r="AH44" s="2" t="e">
        <f>AB44/AA44</f>
        <v>#DIV/0!</v>
      </c>
    </row>
    <row r="45" spans="1:34">
      <c r="A45" s="52" t="s">
        <v>220</v>
      </c>
      <c r="B45" s="52" t="s">
        <v>221</v>
      </c>
      <c r="C45" s="48">
        <v>46165</v>
      </c>
      <c r="D45" s="42">
        <v>0.5</v>
      </c>
      <c r="E45" s="43"/>
      <c r="F45" s="8" t="s">
        <v>879</v>
      </c>
      <c r="G45" s="2">
        <v>1</v>
      </c>
      <c r="H45" s="2">
        <v>6</v>
      </c>
      <c r="I45" s="125">
        <v>600</v>
      </c>
      <c r="J45" s="2" t="s">
        <v>766</v>
      </c>
      <c r="K45" s="88" t="s">
        <v>780</v>
      </c>
      <c r="L45" s="90">
        <v>30000</v>
      </c>
      <c r="M45" s="64">
        <v>30</v>
      </c>
      <c r="N45" s="39" t="s">
        <v>48</v>
      </c>
      <c r="O45" s="39" t="s">
        <v>226</v>
      </c>
      <c r="P45" s="63">
        <v>30000</v>
      </c>
      <c r="Q45" s="2">
        <v>90</v>
      </c>
      <c r="R45" s="15">
        <f>Q45/I45</f>
        <v>0.15</v>
      </c>
      <c r="S45" s="149" t="s">
        <v>110</v>
      </c>
      <c r="T45" s="149"/>
      <c r="U45" s="109" t="s">
        <v>767</v>
      </c>
      <c r="V45" s="205" t="s">
        <v>738</v>
      </c>
      <c r="W45" s="205"/>
      <c r="AE45" s="2">
        <f>AC45*AD45</f>
        <v>0</v>
      </c>
      <c r="AF45" s="2" t="e">
        <f>Z45/Y45</f>
        <v>#DIV/0!</v>
      </c>
      <c r="AG45" s="2" t="e">
        <f>AA45/Z45</f>
        <v>#DIV/0!</v>
      </c>
      <c r="AH45" s="2" t="e">
        <f>AB45/AA45</f>
        <v>#DIV/0!</v>
      </c>
    </row>
    <row r="46" spans="1:34">
      <c r="A46" s="68" t="s">
        <v>357</v>
      </c>
      <c r="B46" s="68" t="s">
        <v>358</v>
      </c>
      <c r="C46" s="48">
        <v>46165</v>
      </c>
      <c r="D46" s="42">
        <v>0.50694444444444442</v>
      </c>
      <c r="E46" s="194">
        <v>8</v>
      </c>
      <c r="F46" s="63" t="s">
        <v>284</v>
      </c>
      <c r="G46" s="2">
        <v>2</v>
      </c>
      <c r="H46" s="2">
        <v>8</v>
      </c>
      <c r="I46" s="125">
        <v>600</v>
      </c>
      <c r="J46" s="2" t="s">
        <v>766</v>
      </c>
      <c r="K46" s="137" t="s">
        <v>598</v>
      </c>
      <c r="L46" s="89">
        <v>40000</v>
      </c>
      <c r="M46" s="202">
        <v>40</v>
      </c>
      <c r="N46" s="39" t="s">
        <v>48</v>
      </c>
      <c r="O46" s="39" t="s">
        <v>57</v>
      </c>
      <c r="P46" s="234">
        <v>500000</v>
      </c>
      <c r="Q46" s="2">
        <v>95</v>
      </c>
      <c r="R46" s="15">
        <f>Q46/I46</f>
        <v>0.15833333333333333</v>
      </c>
      <c r="S46" s="149" t="s">
        <v>110</v>
      </c>
      <c r="T46" s="149"/>
      <c r="U46" s="109" t="s">
        <v>219</v>
      </c>
      <c r="V46" s="205" t="s">
        <v>654</v>
      </c>
      <c r="W46" s="218" t="s">
        <v>655</v>
      </c>
      <c r="AE46" s="2">
        <f>AC46*AD46</f>
        <v>0</v>
      </c>
      <c r="AF46" s="2" t="e">
        <f>Z46/Y46</f>
        <v>#DIV/0!</v>
      </c>
      <c r="AG46" s="2" t="e">
        <f>AA46/Z46</f>
        <v>#DIV/0!</v>
      </c>
      <c r="AH46" s="2" t="e">
        <f>AB46/AA46</f>
        <v>#DIV/0!</v>
      </c>
    </row>
    <row r="47" spans="1:34">
      <c r="A47" s="52" t="s">
        <v>229</v>
      </c>
      <c r="B47" s="52" t="s">
        <v>230</v>
      </c>
      <c r="C47" s="40">
        <v>46165</v>
      </c>
      <c r="D47" s="42">
        <v>0.66666666666666663</v>
      </c>
      <c r="E47" s="43"/>
      <c r="F47" s="8" t="s">
        <v>123</v>
      </c>
      <c r="G47" s="2">
        <v>1</v>
      </c>
      <c r="I47" s="125">
        <v>240</v>
      </c>
      <c r="J47" s="2" t="s">
        <v>766</v>
      </c>
      <c r="K47" s="88" t="s">
        <v>795</v>
      </c>
      <c r="L47" s="90">
        <v>30000</v>
      </c>
      <c r="M47" s="8">
        <v>20</v>
      </c>
      <c r="N47" s="39" t="s">
        <v>48</v>
      </c>
      <c r="O47" s="39" t="s">
        <v>123</v>
      </c>
      <c r="P47" s="19">
        <v>10000</v>
      </c>
      <c r="Q47" s="2">
        <v>40</v>
      </c>
      <c r="R47" s="15">
        <f>IF(Q47&gt;0,Q47/I47,"")</f>
        <v>0.16666666666666666</v>
      </c>
      <c r="S47" s="149" t="s">
        <v>110</v>
      </c>
      <c r="T47" s="149"/>
      <c r="U47" s="109" t="s">
        <v>767</v>
      </c>
      <c r="V47" s="205" t="s">
        <v>719</v>
      </c>
      <c r="W47" s="205"/>
      <c r="AE47" s="2">
        <f>AC47*AD47</f>
        <v>0</v>
      </c>
      <c r="AF47" s="2" t="e">
        <f>Z47/Y47</f>
        <v>#DIV/0!</v>
      </c>
      <c r="AG47" s="2" t="e">
        <f>AA47/Z47</f>
        <v>#DIV/0!</v>
      </c>
      <c r="AH47" s="2" t="e">
        <f>AB47/AA47</f>
        <v>#DIV/0!</v>
      </c>
    </row>
    <row r="48" spans="1:34">
      <c r="A48" s="52" t="s">
        <v>229</v>
      </c>
      <c r="B48" s="52" t="s">
        <v>230</v>
      </c>
      <c r="C48" s="40">
        <v>46165</v>
      </c>
      <c r="D48" s="42">
        <v>0.75</v>
      </c>
      <c r="E48" s="43"/>
      <c r="F48" s="8" t="s">
        <v>244</v>
      </c>
      <c r="G48" s="2">
        <v>1</v>
      </c>
      <c r="I48" s="125">
        <v>200</v>
      </c>
      <c r="J48" s="2" t="s">
        <v>766</v>
      </c>
      <c r="K48" s="88" t="s">
        <v>804</v>
      </c>
      <c r="L48" s="90">
        <v>30000</v>
      </c>
      <c r="M48" s="8">
        <v>20</v>
      </c>
      <c r="N48" s="39" t="s">
        <v>48</v>
      </c>
      <c r="O48" s="39" t="s">
        <v>49</v>
      </c>
      <c r="P48" s="135" t="s">
        <v>832</v>
      </c>
      <c r="Q48" s="19">
        <v>40</v>
      </c>
      <c r="R48" s="15">
        <f>IF(Q48&gt;0,Q48/I48,"")</f>
        <v>0.2</v>
      </c>
      <c r="S48" s="5">
        <f>($AC48*$AD48)/(($Z48/$Y48)+($AA48/$Z48)+($AB48/$AA48))</f>
        <v>35.555555555555557</v>
      </c>
      <c r="U48" s="109" t="s">
        <v>767</v>
      </c>
      <c r="V48" s="205" t="s">
        <v>719</v>
      </c>
      <c r="W48" s="205"/>
      <c r="Y48" s="2">
        <v>2</v>
      </c>
      <c r="Z48" s="2">
        <v>5</v>
      </c>
      <c r="AA48" s="2">
        <v>20</v>
      </c>
      <c r="AB48" s="2">
        <v>50</v>
      </c>
      <c r="AC48" s="2">
        <v>20</v>
      </c>
      <c r="AD48" s="2">
        <v>16</v>
      </c>
      <c r="AE48" s="2">
        <f>AC48*AD48</f>
        <v>320</v>
      </c>
      <c r="AF48" s="2">
        <f>Z48/Y48</f>
        <v>2.5</v>
      </c>
      <c r="AG48" s="2">
        <f>AA48/Z48</f>
        <v>4</v>
      </c>
      <c r="AH48" s="2">
        <f>AB48/AA48</f>
        <v>2.5</v>
      </c>
    </row>
    <row r="49" spans="1:34">
      <c r="A49" s="52" t="s">
        <v>220</v>
      </c>
      <c r="B49" s="52" t="s">
        <v>221</v>
      </c>
      <c r="C49" s="48">
        <v>46165</v>
      </c>
      <c r="D49" s="42">
        <v>0.75</v>
      </c>
      <c r="E49" s="43"/>
      <c r="F49" s="8" t="s">
        <v>1043</v>
      </c>
      <c r="G49" s="2">
        <v>2</v>
      </c>
      <c r="H49" s="2">
        <v>9</v>
      </c>
      <c r="I49" s="125">
        <v>600</v>
      </c>
      <c r="J49" s="2" t="s">
        <v>766</v>
      </c>
      <c r="K49" s="88" t="s">
        <v>799</v>
      </c>
      <c r="L49" s="90">
        <v>40000</v>
      </c>
      <c r="M49" s="64" t="s">
        <v>113</v>
      </c>
      <c r="N49" s="39" t="s">
        <v>48</v>
      </c>
      <c r="O49" s="39" t="s">
        <v>49</v>
      </c>
      <c r="P49" s="135" t="s">
        <v>843</v>
      </c>
      <c r="Q49" s="19">
        <v>90</v>
      </c>
      <c r="R49" s="15">
        <f>Q49/I49</f>
        <v>0.15</v>
      </c>
      <c r="S49" s="5">
        <f>($AC49*$AD49)/(($Z49/$Y49)+($AA49/$Z49)+($AB49/$AA49))</f>
        <v>44.081632653061227</v>
      </c>
      <c r="U49" s="109" t="s">
        <v>129</v>
      </c>
      <c r="V49" s="205" t="s">
        <v>738</v>
      </c>
      <c r="W49" s="205"/>
      <c r="Y49" s="2">
        <v>2</v>
      </c>
      <c r="Z49" s="2">
        <v>5</v>
      </c>
      <c r="AA49" s="2">
        <v>15</v>
      </c>
      <c r="AB49" s="2">
        <v>40</v>
      </c>
      <c r="AC49" s="2">
        <v>20</v>
      </c>
      <c r="AD49" s="2">
        <v>18</v>
      </c>
      <c r="AE49" s="2">
        <f>AC49*AD49</f>
        <v>360</v>
      </c>
      <c r="AF49" s="2">
        <f>Z49/Y49</f>
        <v>2.5</v>
      </c>
      <c r="AG49" s="2">
        <f>AA49/Z49</f>
        <v>3</v>
      </c>
      <c r="AH49" s="2">
        <f>AB49/AA49</f>
        <v>2.6666666666666665</v>
      </c>
    </row>
    <row r="50" spans="1:34">
      <c r="A50" s="68" t="s">
        <v>357</v>
      </c>
      <c r="B50" s="68" t="s">
        <v>358</v>
      </c>
      <c r="C50" s="48">
        <v>46165</v>
      </c>
      <c r="D50" s="42">
        <v>0.75694444444444442</v>
      </c>
      <c r="E50" s="194">
        <v>11</v>
      </c>
      <c r="F50" s="63" t="s">
        <v>285</v>
      </c>
      <c r="G50" s="2">
        <v>1</v>
      </c>
      <c r="H50" s="2">
        <v>9</v>
      </c>
      <c r="I50" s="125">
        <v>250</v>
      </c>
      <c r="J50" s="2" t="s">
        <v>766</v>
      </c>
      <c r="K50" s="137" t="s">
        <v>603</v>
      </c>
      <c r="L50" s="89">
        <v>25000</v>
      </c>
      <c r="M50" s="54">
        <v>30</v>
      </c>
      <c r="N50" s="39" t="s">
        <v>48</v>
      </c>
      <c r="O50" s="39" t="s">
        <v>49</v>
      </c>
      <c r="P50" s="135" t="s">
        <v>832</v>
      </c>
      <c r="Q50" s="19">
        <v>45</v>
      </c>
      <c r="R50" s="15">
        <f>Q50/I50</f>
        <v>0.18</v>
      </c>
      <c r="S50" s="5">
        <f>($AC50*$AD50)/(($Z50/$Y50)+($AA50/$Z50)+($AB50/$AA50))</f>
        <v>55.03292568203198</v>
      </c>
      <c r="U50" s="109" t="s">
        <v>219</v>
      </c>
      <c r="V50" s="10" t="s">
        <v>658</v>
      </c>
      <c r="W50" s="205"/>
      <c r="Y50" s="2">
        <v>2.5</v>
      </c>
      <c r="Z50" s="2">
        <v>6.5</v>
      </c>
      <c r="AA50" s="2">
        <v>20</v>
      </c>
      <c r="AB50" s="2">
        <v>50</v>
      </c>
      <c r="AC50" s="2">
        <v>30</v>
      </c>
      <c r="AD50" s="2">
        <v>15</v>
      </c>
      <c r="AE50" s="2">
        <f>AC50*AD50</f>
        <v>450</v>
      </c>
      <c r="AF50" s="2">
        <f>Z50/Y50</f>
        <v>2.6</v>
      </c>
      <c r="AG50" s="2">
        <f>AA50/Z50</f>
        <v>3.0769230769230771</v>
      </c>
      <c r="AH50" s="2">
        <f>AB50/AA50</f>
        <v>2.5</v>
      </c>
    </row>
    <row r="51" spans="1:34">
      <c r="A51" s="68" t="s">
        <v>357</v>
      </c>
      <c r="B51" s="68" t="s">
        <v>358</v>
      </c>
      <c r="C51" s="48">
        <v>46166</v>
      </c>
      <c r="D51" s="42">
        <v>0.4236111111111111</v>
      </c>
      <c r="E51" s="194">
        <v>10</v>
      </c>
      <c r="F51" s="63" t="s">
        <v>286</v>
      </c>
      <c r="G51" s="2">
        <v>2</v>
      </c>
      <c r="H51" s="2">
        <v>9</v>
      </c>
      <c r="I51" s="125">
        <v>600</v>
      </c>
      <c r="J51" s="2" t="s">
        <v>766</v>
      </c>
      <c r="K51" s="137" t="s">
        <v>598</v>
      </c>
      <c r="L51" s="89">
        <v>40000</v>
      </c>
      <c r="M51" s="54">
        <v>40</v>
      </c>
      <c r="N51" s="39" t="s">
        <v>48</v>
      </c>
      <c r="O51" s="39" t="s">
        <v>49</v>
      </c>
      <c r="P51" s="134" t="s">
        <v>839</v>
      </c>
      <c r="Q51" s="19">
        <v>95</v>
      </c>
      <c r="R51" s="15">
        <f>Q51/I51</f>
        <v>0.15833333333333333</v>
      </c>
      <c r="S51" s="5">
        <f>($AC51*$AD51)/(($Z51/$Y51)+($AA51/$Z51)+($AB51/$AA51))</f>
        <v>102.59605399792316</v>
      </c>
      <c r="U51" s="109" t="s">
        <v>54</v>
      </c>
      <c r="V51" s="2" t="s">
        <v>657</v>
      </c>
      <c r="Y51" s="2">
        <v>2</v>
      </c>
      <c r="Z51" s="2">
        <v>5</v>
      </c>
      <c r="AA51" s="2">
        <v>13</v>
      </c>
      <c r="AB51" s="2">
        <v>30</v>
      </c>
      <c r="AC51" s="2">
        <v>40</v>
      </c>
      <c r="AD51" s="2">
        <v>19</v>
      </c>
      <c r="AE51" s="2">
        <f>AC51*AD51</f>
        <v>760</v>
      </c>
      <c r="AF51" s="2">
        <f>Z51/Y51</f>
        <v>2.5</v>
      </c>
      <c r="AG51" s="2">
        <f>AA51/Z51</f>
        <v>2.6</v>
      </c>
      <c r="AH51" s="2">
        <f>AB51/AA51</f>
        <v>2.3076923076923075</v>
      </c>
    </row>
    <row r="52" spans="1:34">
      <c r="A52" s="52" t="s">
        <v>229</v>
      </c>
      <c r="B52" s="52" t="s">
        <v>230</v>
      </c>
      <c r="C52" s="40">
        <v>46166</v>
      </c>
      <c r="D52" s="42">
        <v>0.45833333333333331</v>
      </c>
      <c r="E52" s="43"/>
      <c r="F52" s="8" t="s">
        <v>245</v>
      </c>
      <c r="G52" s="2">
        <v>1</v>
      </c>
      <c r="I52" s="125">
        <v>300</v>
      </c>
      <c r="J52" s="2" t="s">
        <v>766</v>
      </c>
      <c r="K52" s="88" t="s">
        <v>788</v>
      </c>
      <c r="L52" s="90">
        <v>25000</v>
      </c>
      <c r="M52" s="8">
        <v>30</v>
      </c>
      <c r="N52" s="39" t="s">
        <v>48</v>
      </c>
      <c r="O52" s="39" t="s">
        <v>49</v>
      </c>
      <c r="P52" s="134" t="s">
        <v>838</v>
      </c>
      <c r="Q52" s="19">
        <v>60</v>
      </c>
      <c r="R52" s="15">
        <f>IF(Q52&gt;0,Q52/I52,"")</f>
        <v>0.2</v>
      </c>
      <c r="S52" s="5">
        <f>($AC52*$AD52)/(($Z52/$Y52)+($AA52/$Z52)+($AB52/$AA52))</f>
        <v>80.996884735202499</v>
      </c>
      <c r="U52" s="109" t="s">
        <v>767</v>
      </c>
      <c r="V52" s="10" t="s">
        <v>719</v>
      </c>
      <c r="W52" s="205"/>
      <c r="Y52" s="2">
        <v>2</v>
      </c>
      <c r="Z52" s="2">
        <v>5</v>
      </c>
      <c r="AA52" s="2">
        <v>13</v>
      </c>
      <c r="AB52" s="2">
        <v>30</v>
      </c>
      <c r="AC52" s="2">
        <v>30</v>
      </c>
      <c r="AD52" s="2">
        <v>20</v>
      </c>
      <c r="AE52" s="2">
        <f>AC52*AD52</f>
        <v>600</v>
      </c>
      <c r="AF52" s="2">
        <f>Z52/Y52</f>
        <v>2.5</v>
      </c>
      <c r="AG52" s="2">
        <f>AA52/Z52</f>
        <v>2.6</v>
      </c>
      <c r="AH52" s="2">
        <f>AB52/AA52</f>
        <v>2.3076923076923075</v>
      </c>
    </row>
    <row r="53" spans="1:34">
      <c r="A53" s="68" t="s">
        <v>357</v>
      </c>
      <c r="B53" s="68" t="s">
        <v>358</v>
      </c>
      <c r="C53" s="48">
        <v>46166</v>
      </c>
      <c r="D53" s="42">
        <v>0.5</v>
      </c>
      <c r="E53" s="194">
        <v>8</v>
      </c>
      <c r="F53" s="63" t="s">
        <v>1332</v>
      </c>
      <c r="G53" s="2">
        <v>2</v>
      </c>
      <c r="H53" s="2">
        <v>8</v>
      </c>
      <c r="I53" s="125">
        <v>600</v>
      </c>
      <c r="J53" s="2" t="s">
        <v>766</v>
      </c>
      <c r="K53" s="137" t="s">
        <v>598</v>
      </c>
      <c r="L53" s="89">
        <v>40000</v>
      </c>
      <c r="M53" s="202">
        <v>40</v>
      </c>
      <c r="N53" s="39" t="s">
        <v>48</v>
      </c>
      <c r="O53" s="39" t="s">
        <v>57</v>
      </c>
      <c r="P53" s="234">
        <v>500000</v>
      </c>
      <c r="Q53" s="2">
        <v>95</v>
      </c>
      <c r="R53" s="15">
        <f>Q53/I53</f>
        <v>0.15833333333333333</v>
      </c>
      <c r="S53" s="149" t="s">
        <v>110</v>
      </c>
      <c r="T53" s="149"/>
      <c r="U53" s="109" t="s">
        <v>219</v>
      </c>
      <c r="V53" s="2" t="s">
        <v>654</v>
      </c>
      <c r="W53" s="218" t="s">
        <v>655</v>
      </c>
      <c r="AE53" s="2">
        <f>AC53*AD53</f>
        <v>0</v>
      </c>
      <c r="AF53" s="2" t="e">
        <f>Z53/Y53</f>
        <v>#DIV/0!</v>
      </c>
      <c r="AG53" s="2" t="e">
        <f>AA53/Z53</f>
        <v>#DIV/0!</v>
      </c>
      <c r="AH53" s="2" t="e">
        <f>AB53/AA53</f>
        <v>#DIV/0!</v>
      </c>
    </row>
    <row r="54" spans="1:34">
      <c r="A54" s="52" t="s">
        <v>220</v>
      </c>
      <c r="B54" s="52" t="s">
        <v>221</v>
      </c>
      <c r="C54" s="48">
        <v>46166</v>
      </c>
      <c r="D54" s="42">
        <v>0.5</v>
      </c>
      <c r="E54" s="43"/>
      <c r="F54" s="8" t="s">
        <v>1044</v>
      </c>
      <c r="G54" s="2">
        <v>2</v>
      </c>
      <c r="H54" s="2">
        <v>9</v>
      </c>
      <c r="I54" s="125">
        <v>1100</v>
      </c>
      <c r="J54" s="2" t="s">
        <v>766</v>
      </c>
      <c r="K54" s="88" t="s">
        <v>780</v>
      </c>
      <c r="L54" s="90">
        <v>40000</v>
      </c>
      <c r="M54" s="64" t="s">
        <v>22</v>
      </c>
      <c r="N54" s="39" t="s">
        <v>48</v>
      </c>
      <c r="O54" s="39" t="s">
        <v>49</v>
      </c>
      <c r="P54" s="135" t="s">
        <v>848</v>
      </c>
      <c r="Q54" s="19">
        <v>135</v>
      </c>
      <c r="R54" s="15">
        <f>Q54/I54</f>
        <v>0.12272727272727273</v>
      </c>
      <c r="S54" s="5">
        <f>($AC54*$AD54)/(($Z54/$Y54)+($AA54/$Z54)+($AB54/$AA54))</f>
        <v>66.122448979591837</v>
      </c>
      <c r="U54" s="109" t="s">
        <v>767</v>
      </c>
      <c r="V54" s="205" t="s">
        <v>738</v>
      </c>
      <c r="W54" s="205"/>
      <c r="Y54" s="2">
        <v>2</v>
      </c>
      <c r="Z54" s="2">
        <v>5</v>
      </c>
      <c r="AA54" s="2">
        <v>15</v>
      </c>
      <c r="AB54" s="2">
        <v>40</v>
      </c>
      <c r="AC54" s="2">
        <v>18</v>
      </c>
      <c r="AD54" s="2">
        <v>30</v>
      </c>
      <c r="AE54" s="2">
        <f>AC54*AD54</f>
        <v>540</v>
      </c>
      <c r="AF54" s="2">
        <f>Z54/Y54</f>
        <v>2.5</v>
      </c>
      <c r="AG54" s="2">
        <f>AA54/Z54</f>
        <v>3</v>
      </c>
      <c r="AH54" s="2">
        <f>AB54/AA54</f>
        <v>2.6666666666666665</v>
      </c>
    </row>
    <row r="55" spans="1:34">
      <c r="A55" s="52" t="s">
        <v>220</v>
      </c>
      <c r="B55" s="52" t="s">
        <v>221</v>
      </c>
      <c r="C55" s="48">
        <v>46166</v>
      </c>
      <c r="D55" s="42">
        <v>0.5</v>
      </c>
      <c r="E55" s="43"/>
      <c r="F55" s="8" t="s">
        <v>1036</v>
      </c>
      <c r="G55" s="2">
        <v>2</v>
      </c>
      <c r="H55" s="2">
        <v>8</v>
      </c>
      <c r="I55" s="125">
        <v>1100</v>
      </c>
      <c r="J55" s="2" t="s">
        <v>766</v>
      </c>
      <c r="K55" s="88" t="s">
        <v>793</v>
      </c>
      <c r="L55" s="90">
        <v>35000</v>
      </c>
      <c r="M55" s="64">
        <v>40</v>
      </c>
      <c r="N55" s="39" t="s">
        <v>48</v>
      </c>
      <c r="O55" s="39" t="s">
        <v>859</v>
      </c>
      <c r="P55" s="63">
        <v>50000</v>
      </c>
      <c r="Q55" s="2">
        <v>135</v>
      </c>
      <c r="R55" s="15">
        <f>Q55/I55</f>
        <v>0.12272727272727273</v>
      </c>
      <c r="S55" s="149" t="s">
        <v>110</v>
      </c>
      <c r="T55" s="149"/>
      <c r="U55" s="109" t="s">
        <v>767</v>
      </c>
      <c r="V55" s="205" t="s">
        <v>738</v>
      </c>
      <c r="W55" s="205"/>
      <c r="AE55" s="2">
        <f>AC55*AD55</f>
        <v>0</v>
      </c>
      <c r="AF55" s="2" t="e">
        <f>Z55/Y55</f>
        <v>#DIV/0!</v>
      </c>
      <c r="AG55" s="2" t="e">
        <f>AA55/Z55</f>
        <v>#DIV/0!</v>
      </c>
      <c r="AH55" s="2" t="e">
        <f>AB55/AA55</f>
        <v>#DIV/0!</v>
      </c>
    </row>
    <row r="56" spans="1:34">
      <c r="A56" s="52" t="s">
        <v>220</v>
      </c>
      <c r="B56" s="52" t="s">
        <v>221</v>
      </c>
      <c r="C56" s="48">
        <v>46166</v>
      </c>
      <c r="D56" s="42">
        <v>0.54166666666666663</v>
      </c>
      <c r="E56" s="43"/>
      <c r="F56" s="8" t="s">
        <v>1300</v>
      </c>
      <c r="G56" s="2">
        <v>2</v>
      </c>
      <c r="H56" s="2">
        <v>9</v>
      </c>
      <c r="I56" s="125">
        <v>600</v>
      </c>
      <c r="J56" s="2" t="s">
        <v>766</v>
      </c>
      <c r="K56" s="109" t="s">
        <v>767</v>
      </c>
      <c r="L56" s="90">
        <v>40000</v>
      </c>
      <c r="M56" s="64" t="s">
        <v>113</v>
      </c>
      <c r="N56" s="39" t="s">
        <v>48</v>
      </c>
      <c r="O56" s="39" t="s">
        <v>49</v>
      </c>
      <c r="P56" s="135" t="s">
        <v>846</v>
      </c>
      <c r="Q56" s="19">
        <v>90</v>
      </c>
      <c r="R56" s="15">
        <f>Q56/I56</f>
        <v>0.15</v>
      </c>
      <c r="S56" s="5">
        <f>($AC56*$AD56)/(($Z56/$Y56)+($AA56/$Z56)+($AB56/$AA56))</f>
        <v>44.081632653061227</v>
      </c>
      <c r="U56" s="109" t="s">
        <v>767</v>
      </c>
      <c r="V56" s="10" t="s">
        <v>738</v>
      </c>
      <c r="Y56" s="2">
        <v>2</v>
      </c>
      <c r="Z56" s="2">
        <v>5</v>
      </c>
      <c r="AA56" s="2">
        <v>15</v>
      </c>
      <c r="AB56" s="2">
        <v>40</v>
      </c>
      <c r="AC56" s="2">
        <v>20</v>
      </c>
      <c r="AD56" s="2">
        <v>18</v>
      </c>
      <c r="AE56" s="2">
        <f>AC56*AD56</f>
        <v>360</v>
      </c>
      <c r="AF56" s="2">
        <f>Z56/Y56</f>
        <v>2.5</v>
      </c>
      <c r="AG56" s="2">
        <f>AA56/Z56</f>
        <v>3</v>
      </c>
      <c r="AH56" s="2">
        <f>AB56/AA56</f>
        <v>2.6666666666666665</v>
      </c>
    </row>
    <row r="57" spans="1:34">
      <c r="A57" s="52" t="s">
        <v>229</v>
      </c>
      <c r="B57" s="52" t="s">
        <v>230</v>
      </c>
      <c r="C57" s="40">
        <v>46166</v>
      </c>
      <c r="D57" s="42">
        <v>0.75</v>
      </c>
      <c r="E57" s="43"/>
      <c r="F57" s="8" t="s">
        <v>264</v>
      </c>
      <c r="G57" s="2">
        <v>1</v>
      </c>
      <c r="I57" s="125">
        <v>240</v>
      </c>
      <c r="J57" s="2" t="s">
        <v>766</v>
      </c>
      <c r="K57" s="88" t="s">
        <v>804</v>
      </c>
      <c r="L57" s="90">
        <v>30000</v>
      </c>
      <c r="M57" s="8">
        <v>20</v>
      </c>
      <c r="N57" s="39" t="s">
        <v>48</v>
      </c>
      <c r="O57" s="39" t="s">
        <v>373</v>
      </c>
      <c r="P57" s="19">
        <v>10000</v>
      </c>
      <c r="Q57" s="2">
        <v>40</v>
      </c>
      <c r="R57" s="15">
        <f>IF(Q57&gt;0,Q57/I57,"")</f>
        <v>0.16666666666666666</v>
      </c>
      <c r="S57" s="149" t="s">
        <v>110</v>
      </c>
      <c r="T57" s="149"/>
      <c r="U57" s="109" t="s">
        <v>767</v>
      </c>
      <c r="V57" s="2" t="s">
        <v>719</v>
      </c>
      <c r="W57" s="205"/>
      <c r="Y57" s="85"/>
      <c r="Z57" s="85"/>
      <c r="AA57" s="85"/>
      <c r="AB57" s="85"/>
      <c r="AC57" s="85"/>
      <c r="AD57" s="85"/>
      <c r="AE57" s="2">
        <f>AC57*AD57</f>
        <v>0</v>
      </c>
      <c r="AF57" s="2" t="e">
        <f>Z57/Y57</f>
        <v>#DIV/0!</v>
      </c>
      <c r="AG57" s="2" t="e">
        <f>AA57/Z57</f>
        <v>#DIV/0!</v>
      </c>
      <c r="AH57" s="2" t="e">
        <f>AB57/AA57</f>
        <v>#DIV/0!</v>
      </c>
    </row>
    <row r="58" spans="1:34">
      <c r="A58" s="52" t="s">
        <v>220</v>
      </c>
      <c r="B58" s="52" t="s">
        <v>221</v>
      </c>
      <c r="C58" s="48">
        <v>46166</v>
      </c>
      <c r="D58" s="42">
        <v>0.75</v>
      </c>
      <c r="E58" s="43"/>
      <c r="F58" s="8" t="s">
        <v>1041</v>
      </c>
      <c r="G58" s="2">
        <v>2</v>
      </c>
      <c r="H58" s="2">
        <v>9</v>
      </c>
      <c r="I58" s="125">
        <v>1100</v>
      </c>
      <c r="J58" s="2" t="s">
        <v>766</v>
      </c>
      <c r="K58" s="88" t="s">
        <v>799</v>
      </c>
      <c r="L58" s="90">
        <v>40000</v>
      </c>
      <c r="M58" s="64" t="s">
        <v>113</v>
      </c>
      <c r="N58" s="39" t="s">
        <v>48</v>
      </c>
      <c r="O58" s="39" t="s">
        <v>49</v>
      </c>
      <c r="P58" s="135" t="s">
        <v>848</v>
      </c>
      <c r="Q58" s="19">
        <v>135</v>
      </c>
      <c r="R58" s="15">
        <f>Q58/I58</f>
        <v>0.12272727272727273</v>
      </c>
      <c r="S58" s="5">
        <f>($AC58*$AD58)/(($Z58/$Y58)+($AA58/$Z58)+($AB58/$AA58))</f>
        <v>44.081632653061227</v>
      </c>
      <c r="U58" s="109" t="s">
        <v>129</v>
      </c>
      <c r="V58" s="2" t="s">
        <v>738</v>
      </c>
      <c r="Y58" s="2">
        <v>2</v>
      </c>
      <c r="Z58" s="2">
        <v>5</v>
      </c>
      <c r="AA58" s="2">
        <v>15</v>
      </c>
      <c r="AB58" s="2">
        <v>40</v>
      </c>
      <c r="AC58" s="2">
        <v>18</v>
      </c>
      <c r="AD58" s="2">
        <v>20</v>
      </c>
      <c r="AE58" s="2">
        <f>AC58*AD58</f>
        <v>360</v>
      </c>
      <c r="AF58" s="2">
        <f>Z58/Y58</f>
        <v>2.5</v>
      </c>
      <c r="AG58" s="2">
        <f>AA58/Z58</f>
        <v>3</v>
      </c>
      <c r="AH58" s="2">
        <f>AB58/AA58</f>
        <v>2.6666666666666665</v>
      </c>
    </row>
    <row r="59" spans="1:34">
      <c r="A59" s="68" t="s">
        <v>357</v>
      </c>
      <c r="B59" s="68" t="s">
        <v>358</v>
      </c>
      <c r="C59" s="48">
        <v>46166</v>
      </c>
      <c r="D59" s="42">
        <v>0.75694444444444442</v>
      </c>
      <c r="E59" s="194">
        <v>12</v>
      </c>
      <c r="F59" s="63" t="s">
        <v>285</v>
      </c>
      <c r="G59" s="2">
        <v>1</v>
      </c>
      <c r="H59" s="2">
        <v>9</v>
      </c>
      <c r="I59" s="125">
        <v>250</v>
      </c>
      <c r="J59" s="2" t="s">
        <v>766</v>
      </c>
      <c r="K59" s="137" t="s">
        <v>603</v>
      </c>
      <c r="L59" s="89">
        <v>25000</v>
      </c>
      <c r="M59" s="202">
        <v>30</v>
      </c>
      <c r="N59" s="39" t="s">
        <v>48</v>
      </c>
      <c r="O59" s="39" t="s">
        <v>49</v>
      </c>
      <c r="P59" s="135" t="s">
        <v>832</v>
      </c>
      <c r="Q59" s="19">
        <v>45</v>
      </c>
      <c r="R59" s="15">
        <f>Q59/I59</f>
        <v>0.18</v>
      </c>
      <c r="S59" s="5">
        <f>($AC59*$AD59)/(($Z59/$Y59)+($AA59/$Z59)+($AB59/$AA59))</f>
        <v>55.03292568203198</v>
      </c>
      <c r="U59" s="109" t="s">
        <v>219</v>
      </c>
      <c r="V59" s="205" t="s">
        <v>658</v>
      </c>
      <c r="W59" s="205"/>
      <c r="Y59" s="2">
        <v>2.5</v>
      </c>
      <c r="Z59" s="2">
        <v>6.5</v>
      </c>
      <c r="AA59" s="2">
        <v>20</v>
      </c>
      <c r="AB59" s="2">
        <v>50</v>
      </c>
      <c r="AC59" s="2">
        <v>30</v>
      </c>
      <c r="AD59" s="2">
        <v>15</v>
      </c>
      <c r="AE59" s="2">
        <f>AC59*AD59</f>
        <v>450</v>
      </c>
      <c r="AF59" s="2">
        <f>Z59/Y59</f>
        <v>2.6</v>
      </c>
      <c r="AG59" s="2">
        <f>AA59/Z59</f>
        <v>3.0769230769230771</v>
      </c>
      <c r="AH59" s="2">
        <f>AB59/AA59</f>
        <v>2.5</v>
      </c>
    </row>
    <row r="60" spans="1:34">
      <c r="A60" s="96" t="s">
        <v>461</v>
      </c>
      <c r="B60" s="96" t="s">
        <v>462</v>
      </c>
      <c r="C60" s="40">
        <v>46167</v>
      </c>
      <c r="D60" s="42">
        <v>0.4236111111111111</v>
      </c>
      <c r="E60" s="43"/>
      <c r="F60" s="8" t="s">
        <v>467</v>
      </c>
      <c r="G60" s="2">
        <v>2</v>
      </c>
      <c r="I60" s="125">
        <v>300</v>
      </c>
      <c r="J60" s="2" t="s">
        <v>766</v>
      </c>
      <c r="K60" s="109" t="s">
        <v>598</v>
      </c>
      <c r="L60" s="8">
        <v>30000</v>
      </c>
      <c r="M60" s="202">
        <v>30</v>
      </c>
      <c r="N60" s="39" t="s">
        <v>48</v>
      </c>
      <c r="O60" s="39" t="s">
        <v>49</v>
      </c>
      <c r="P60" s="135" t="s">
        <v>842</v>
      </c>
      <c r="Q60" s="19">
        <v>65</v>
      </c>
      <c r="R60" s="15">
        <f>Q60/I60</f>
        <v>0.21666666666666667</v>
      </c>
      <c r="S60" s="5">
        <f>($AC60*$AD60)/(($Z60/$Y60)+($AA60/$Z60)+($AB60/$AA60))</f>
        <v>53.333333333333336</v>
      </c>
      <c r="U60" s="109" t="s">
        <v>767</v>
      </c>
      <c r="V60" s="205" t="s">
        <v>735</v>
      </c>
      <c r="W60" s="205"/>
      <c r="Y60" s="2">
        <v>2</v>
      </c>
      <c r="Z60" s="2">
        <v>5</v>
      </c>
      <c r="AA60" s="2">
        <v>20</v>
      </c>
      <c r="AB60" s="2">
        <v>50</v>
      </c>
      <c r="AC60" s="2">
        <v>16</v>
      </c>
      <c r="AD60" s="2">
        <v>30</v>
      </c>
      <c r="AE60" s="2">
        <f>AC60*AD60</f>
        <v>480</v>
      </c>
      <c r="AF60" s="2">
        <f>Z60/Y60</f>
        <v>2.5</v>
      </c>
      <c r="AG60" s="2">
        <f>AA60/Z60</f>
        <v>4</v>
      </c>
      <c r="AH60" s="2">
        <f>AB60/AA60</f>
        <v>2.5</v>
      </c>
    </row>
    <row r="61" spans="1:34">
      <c r="A61" s="68" t="s">
        <v>357</v>
      </c>
      <c r="B61" s="68" t="s">
        <v>358</v>
      </c>
      <c r="C61" s="48">
        <v>46167</v>
      </c>
      <c r="D61" s="42">
        <v>0.4236111111111111</v>
      </c>
      <c r="E61" s="194">
        <v>10</v>
      </c>
      <c r="F61" s="63" t="s">
        <v>287</v>
      </c>
      <c r="G61" s="2">
        <v>2</v>
      </c>
      <c r="H61" s="2">
        <v>9</v>
      </c>
      <c r="I61" s="125">
        <v>600</v>
      </c>
      <c r="J61" s="2" t="s">
        <v>766</v>
      </c>
      <c r="K61" s="137" t="s">
        <v>598</v>
      </c>
      <c r="L61" s="89">
        <v>40000</v>
      </c>
      <c r="M61" s="54">
        <v>40</v>
      </c>
      <c r="N61" s="39" t="s">
        <v>48</v>
      </c>
      <c r="O61" s="39" t="s">
        <v>49</v>
      </c>
      <c r="P61" s="212" t="s">
        <v>839</v>
      </c>
      <c r="Q61" s="19">
        <v>95</v>
      </c>
      <c r="R61" s="15">
        <f>Q61/I61</f>
        <v>0.15833333333333333</v>
      </c>
      <c r="S61" s="5">
        <f>($AC61*$AD61)/(($Z61/$Y61)+($AA61/$Z61)+($AB61/$AA61))</f>
        <v>102.59605399792316</v>
      </c>
      <c r="U61" s="109" t="s">
        <v>54</v>
      </c>
      <c r="V61" s="2" t="s">
        <v>657</v>
      </c>
      <c r="Y61" s="2">
        <v>2</v>
      </c>
      <c r="Z61" s="2">
        <v>5</v>
      </c>
      <c r="AA61" s="2">
        <v>13</v>
      </c>
      <c r="AB61" s="2">
        <v>30</v>
      </c>
      <c r="AC61" s="2">
        <v>40</v>
      </c>
      <c r="AD61" s="2">
        <v>19</v>
      </c>
      <c r="AE61" s="2">
        <f>AC61*AD61</f>
        <v>760</v>
      </c>
      <c r="AF61" s="2">
        <f>Z61/Y61</f>
        <v>2.5</v>
      </c>
      <c r="AG61" s="2">
        <f>AA61/Z61</f>
        <v>2.6</v>
      </c>
      <c r="AH61" s="2">
        <f>AB61/AA61</f>
        <v>2.3076923076923075</v>
      </c>
    </row>
    <row r="62" spans="1:34">
      <c r="A62" s="52" t="s">
        <v>229</v>
      </c>
      <c r="B62" s="52" t="s">
        <v>230</v>
      </c>
      <c r="C62" s="40">
        <v>46167</v>
      </c>
      <c r="D62" s="42">
        <v>0.45833333333333331</v>
      </c>
      <c r="E62" s="43"/>
      <c r="F62" s="8" t="s">
        <v>714</v>
      </c>
      <c r="G62" s="2">
        <v>1</v>
      </c>
      <c r="I62" s="125">
        <v>400</v>
      </c>
      <c r="J62" s="2" t="s">
        <v>766</v>
      </c>
      <c r="K62" s="88" t="s">
        <v>788</v>
      </c>
      <c r="L62" s="90">
        <v>30000</v>
      </c>
      <c r="M62" s="8">
        <v>30</v>
      </c>
      <c r="N62" s="39" t="s">
        <v>48</v>
      </c>
      <c r="O62" s="39" t="s">
        <v>49</v>
      </c>
      <c r="P62" s="134" t="s">
        <v>837</v>
      </c>
      <c r="Q62" s="19">
        <v>60</v>
      </c>
      <c r="R62" s="15">
        <f>IF(Q62&gt;0,Q62/I62,"")</f>
        <v>0.15</v>
      </c>
      <c r="S62" s="5">
        <f>($AC62*$AD62)/(($Z62/$Y62)+($AA62/$Z62)+($AB62/$AA62))</f>
        <v>72.897196261682254</v>
      </c>
      <c r="U62" s="109" t="s">
        <v>54</v>
      </c>
      <c r="V62" s="205" t="s">
        <v>719</v>
      </c>
      <c r="W62" s="205"/>
      <c r="Y62" s="2">
        <v>2</v>
      </c>
      <c r="Z62" s="2">
        <v>5</v>
      </c>
      <c r="AA62" s="2">
        <v>13</v>
      </c>
      <c r="AB62" s="2">
        <v>30</v>
      </c>
      <c r="AC62" s="2">
        <v>30</v>
      </c>
      <c r="AD62" s="2">
        <v>18</v>
      </c>
      <c r="AE62" s="2">
        <f>AC62*AD62</f>
        <v>540</v>
      </c>
      <c r="AF62" s="2">
        <f>Z62/Y62</f>
        <v>2.5</v>
      </c>
      <c r="AG62" s="2">
        <f>AA62/Z62</f>
        <v>2.6</v>
      </c>
      <c r="AH62" s="2">
        <f>AB62/AA62</f>
        <v>2.3076923076923075</v>
      </c>
    </row>
    <row r="63" spans="1:34">
      <c r="A63" s="52" t="s">
        <v>220</v>
      </c>
      <c r="B63" s="52" t="s">
        <v>221</v>
      </c>
      <c r="C63" s="48">
        <v>46167</v>
      </c>
      <c r="D63" s="42">
        <v>0.5</v>
      </c>
      <c r="E63" s="43"/>
      <c r="F63" s="8" t="s">
        <v>1045</v>
      </c>
      <c r="G63" s="2">
        <v>2</v>
      </c>
      <c r="H63" s="2">
        <v>9</v>
      </c>
      <c r="I63" s="125">
        <v>1100</v>
      </c>
      <c r="J63" s="2" t="s">
        <v>766</v>
      </c>
      <c r="K63" s="88" t="s">
        <v>780</v>
      </c>
      <c r="L63" s="90">
        <v>40000</v>
      </c>
      <c r="M63" s="64" t="s">
        <v>22</v>
      </c>
      <c r="N63" s="39" t="s">
        <v>48</v>
      </c>
      <c r="O63" s="39" t="s">
        <v>49</v>
      </c>
      <c r="P63" s="135" t="s">
        <v>848</v>
      </c>
      <c r="Q63" s="19">
        <v>135</v>
      </c>
      <c r="R63" s="15">
        <f>Q63/I63</f>
        <v>0.12272727272727273</v>
      </c>
      <c r="S63" s="5">
        <f>($AC63*$AD63)/(($Z63/$Y63)+($AA63/$Z63)+($AB63/$AA63))</f>
        <v>66.122448979591837</v>
      </c>
      <c r="U63" s="109" t="s">
        <v>767</v>
      </c>
      <c r="V63" s="205" t="s">
        <v>738</v>
      </c>
      <c r="W63" s="205"/>
      <c r="Y63" s="2">
        <v>2</v>
      </c>
      <c r="Z63" s="2">
        <v>5</v>
      </c>
      <c r="AA63" s="2">
        <v>15</v>
      </c>
      <c r="AB63" s="2">
        <v>40</v>
      </c>
      <c r="AC63" s="2">
        <v>18</v>
      </c>
      <c r="AD63" s="2">
        <v>30</v>
      </c>
      <c r="AE63" s="2">
        <f>AC63*AD63</f>
        <v>540</v>
      </c>
      <c r="AF63" s="2">
        <f>Z63/Y63</f>
        <v>2.5</v>
      </c>
      <c r="AG63" s="2">
        <f>AA63/Z63</f>
        <v>3</v>
      </c>
      <c r="AH63" s="2">
        <f>AB63/AA63</f>
        <v>2.6666666666666665</v>
      </c>
    </row>
    <row r="64" spans="1:34">
      <c r="A64" s="52" t="s">
        <v>220</v>
      </c>
      <c r="B64" s="52" t="s">
        <v>221</v>
      </c>
      <c r="C64" s="48">
        <v>46167</v>
      </c>
      <c r="D64" s="42">
        <v>0.5</v>
      </c>
      <c r="E64" s="43"/>
      <c r="F64" s="8" t="s">
        <v>1321</v>
      </c>
      <c r="G64" s="2">
        <v>2</v>
      </c>
      <c r="H64" s="2">
        <v>8</v>
      </c>
      <c r="I64" s="125">
        <v>1100</v>
      </c>
      <c r="J64" s="2" t="s">
        <v>766</v>
      </c>
      <c r="K64" s="109" t="s">
        <v>767</v>
      </c>
      <c r="L64" s="90">
        <v>35000</v>
      </c>
      <c r="M64" s="64">
        <v>40</v>
      </c>
      <c r="N64" s="39" t="s">
        <v>48</v>
      </c>
      <c r="O64" s="39" t="s">
        <v>859</v>
      </c>
      <c r="P64" s="63">
        <v>50000</v>
      </c>
      <c r="Q64" s="2">
        <v>135</v>
      </c>
      <c r="R64" s="15">
        <f>Q64/I64</f>
        <v>0.12272727272727273</v>
      </c>
      <c r="S64" s="149" t="s">
        <v>110</v>
      </c>
      <c r="T64" s="149"/>
      <c r="U64" s="109" t="s">
        <v>767</v>
      </c>
      <c r="V64" s="205" t="s">
        <v>738</v>
      </c>
      <c r="W64" s="205"/>
      <c r="AE64" s="2">
        <f>AC64*AD64</f>
        <v>0</v>
      </c>
      <c r="AF64" s="2" t="e">
        <f>Z64/Y64</f>
        <v>#DIV/0!</v>
      </c>
      <c r="AG64" s="2" t="e">
        <f>AA64/Z64</f>
        <v>#DIV/0!</v>
      </c>
      <c r="AH64" s="2" t="e">
        <f>AB64/AA64</f>
        <v>#DIV/0!</v>
      </c>
    </row>
    <row r="65" spans="1:34">
      <c r="A65" s="52" t="s">
        <v>220</v>
      </c>
      <c r="B65" s="52" t="s">
        <v>221</v>
      </c>
      <c r="C65" s="48">
        <v>46167</v>
      </c>
      <c r="D65" s="42">
        <v>0.5</v>
      </c>
      <c r="E65" s="43"/>
      <c r="F65" s="8" t="s">
        <v>474</v>
      </c>
      <c r="G65" s="2">
        <v>1</v>
      </c>
      <c r="H65" s="2">
        <v>8</v>
      </c>
      <c r="I65" s="125">
        <v>1100</v>
      </c>
      <c r="J65" s="2" t="s">
        <v>766</v>
      </c>
      <c r="K65" s="88" t="s">
        <v>780</v>
      </c>
      <c r="L65" s="90">
        <v>30000</v>
      </c>
      <c r="M65" s="64">
        <v>30</v>
      </c>
      <c r="N65" s="39" t="s">
        <v>48</v>
      </c>
      <c r="O65" s="39" t="s">
        <v>373</v>
      </c>
      <c r="P65" s="63">
        <v>50000</v>
      </c>
      <c r="Q65" s="2">
        <v>125</v>
      </c>
      <c r="R65" s="15">
        <f>Q65/I65</f>
        <v>0.11363636363636363</v>
      </c>
      <c r="S65" s="149" t="s">
        <v>110</v>
      </c>
      <c r="T65" s="149"/>
      <c r="U65" s="109" t="s">
        <v>767</v>
      </c>
      <c r="V65" s="10" t="s">
        <v>738</v>
      </c>
      <c r="W65" s="205"/>
      <c r="AE65" s="2">
        <f>AC65*AD65</f>
        <v>0</v>
      </c>
      <c r="AF65" s="2" t="e">
        <f>Z65/Y65</f>
        <v>#DIV/0!</v>
      </c>
      <c r="AG65" s="2" t="e">
        <f>AA65/Z65</f>
        <v>#DIV/0!</v>
      </c>
      <c r="AH65" s="2" t="e">
        <f>AB65/AA65</f>
        <v>#DIV/0!</v>
      </c>
    </row>
    <row r="66" spans="1:34">
      <c r="A66" s="68" t="s">
        <v>357</v>
      </c>
      <c r="B66" s="68" t="s">
        <v>358</v>
      </c>
      <c r="C66" s="48">
        <v>46167</v>
      </c>
      <c r="D66" s="42">
        <v>0.50694444444444442</v>
      </c>
      <c r="E66" s="194">
        <v>13</v>
      </c>
      <c r="F66" s="63" t="s">
        <v>288</v>
      </c>
      <c r="G66" s="2">
        <v>2</v>
      </c>
      <c r="H66" s="2">
        <v>8</v>
      </c>
      <c r="I66" s="125">
        <v>600</v>
      </c>
      <c r="J66" s="2" t="s">
        <v>766</v>
      </c>
      <c r="K66" s="137" t="s">
        <v>598</v>
      </c>
      <c r="L66" s="89">
        <v>25000</v>
      </c>
      <c r="M66" s="202">
        <v>40</v>
      </c>
      <c r="N66" s="39" t="s">
        <v>48</v>
      </c>
      <c r="O66" s="39" t="s">
        <v>859</v>
      </c>
      <c r="P66" s="234">
        <v>40000</v>
      </c>
      <c r="Q66" s="2">
        <v>95</v>
      </c>
      <c r="R66" s="15">
        <f>Q66/I66</f>
        <v>0.15833333333333333</v>
      </c>
      <c r="S66" s="149" t="s">
        <v>110</v>
      </c>
      <c r="T66" s="149"/>
      <c r="U66" s="109" t="s">
        <v>767</v>
      </c>
      <c r="V66" s="2" t="s">
        <v>659</v>
      </c>
      <c r="W66" s="205"/>
      <c r="AE66" s="2">
        <f>AC66*AD66</f>
        <v>0</v>
      </c>
      <c r="AF66" s="2" t="e">
        <f>Z66/Y66</f>
        <v>#DIV/0!</v>
      </c>
      <c r="AG66" s="2" t="e">
        <f>AA66/Z66</f>
        <v>#DIV/0!</v>
      </c>
      <c r="AH66" s="2" t="e">
        <f>AB66/AA66</f>
        <v>#DIV/0!</v>
      </c>
    </row>
    <row r="67" spans="1:34">
      <c r="A67" s="96" t="s">
        <v>461</v>
      </c>
      <c r="B67" s="96" t="s">
        <v>462</v>
      </c>
      <c r="C67" s="40">
        <v>46167</v>
      </c>
      <c r="D67" s="42">
        <v>0.59027777777777779</v>
      </c>
      <c r="E67" s="43"/>
      <c r="F67" s="8" t="s">
        <v>455</v>
      </c>
      <c r="G67" s="2">
        <v>1</v>
      </c>
      <c r="I67" s="125">
        <v>120</v>
      </c>
      <c r="J67" s="2" t="s">
        <v>766</v>
      </c>
      <c r="K67" s="109" t="s">
        <v>603</v>
      </c>
      <c r="L67" s="8">
        <v>20000</v>
      </c>
      <c r="M67" s="202">
        <v>20</v>
      </c>
      <c r="N67" s="39" t="s">
        <v>736</v>
      </c>
      <c r="O67" s="39" t="s">
        <v>49</v>
      </c>
      <c r="P67" s="135" t="s">
        <v>829</v>
      </c>
      <c r="Q67" s="19">
        <v>24</v>
      </c>
      <c r="R67" s="15">
        <f>Q67/I67</f>
        <v>0.2</v>
      </c>
      <c r="S67" s="178" t="s">
        <v>110</v>
      </c>
      <c r="T67" s="120"/>
      <c r="U67" s="109" t="s">
        <v>736</v>
      </c>
      <c r="V67" s="21" t="s">
        <v>735</v>
      </c>
      <c r="AE67" s="2">
        <f>AC67*AD67</f>
        <v>0</v>
      </c>
      <c r="AF67" s="2" t="e">
        <f>Z67/Y67</f>
        <v>#DIV/0!</v>
      </c>
      <c r="AG67" s="2" t="e">
        <f>AA67/Z67</f>
        <v>#DIV/0!</v>
      </c>
      <c r="AH67" s="2" t="e">
        <f>AB67/AA67</f>
        <v>#DIV/0!</v>
      </c>
    </row>
    <row r="68" spans="1:34">
      <c r="A68" s="52" t="s">
        <v>229</v>
      </c>
      <c r="B68" s="52" t="s">
        <v>230</v>
      </c>
      <c r="C68" s="40">
        <v>46167</v>
      </c>
      <c r="D68" s="42">
        <v>0.66666666666666663</v>
      </c>
      <c r="E68" s="43"/>
      <c r="F68" s="8" t="s">
        <v>246</v>
      </c>
      <c r="G68" s="2">
        <v>1</v>
      </c>
      <c r="I68" s="125">
        <v>240</v>
      </c>
      <c r="J68" s="2" t="s">
        <v>766</v>
      </c>
      <c r="K68" s="88" t="s">
        <v>795</v>
      </c>
      <c r="L68" s="90">
        <v>30000</v>
      </c>
      <c r="M68" s="8">
        <v>20</v>
      </c>
      <c r="N68" s="39" t="s">
        <v>48</v>
      </c>
      <c r="O68" s="39" t="s">
        <v>122</v>
      </c>
      <c r="P68" s="19">
        <v>10000</v>
      </c>
      <c r="Q68" s="2">
        <v>40</v>
      </c>
      <c r="R68" s="15">
        <f>IF(Q68&gt;0,Q68/I68,"")</f>
        <v>0.16666666666666666</v>
      </c>
      <c r="S68" s="149" t="s">
        <v>110</v>
      </c>
      <c r="T68" s="149"/>
      <c r="U68" s="109" t="s">
        <v>767</v>
      </c>
      <c r="V68" s="205" t="s">
        <v>719</v>
      </c>
      <c r="W68" s="205"/>
      <c r="X68" s="205"/>
      <c r="AE68" s="2">
        <f>AC68*AD68</f>
        <v>0</v>
      </c>
      <c r="AF68" s="2" t="e">
        <f>Z68/Y68</f>
        <v>#DIV/0!</v>
      </c>
      <c r="AG68" s="2" t="e">
        <f>AA68/Z68</f>
        <v>#DIV/0!</v>
      </c>
      <c r="AH68" s="2" t="e">
        <f>AB68/AA68</f>
        <v>#DIV/0!</v>
      </c>
    </row>
    <row r="69" spans="1:34">
      <c r="A69" s="52" t="s">
        <v>229</v>
      </c>
      <c r="B69" s="52" t="s">
        <v>230</v>
      </c>
      <c r="C69" s="40">
        <v>46167</v>
      </c>
      <c r="D69" s="42">
        <v>0.75</v>
      </c>
      <c r="E69" s="43"/>
      <c r="F69" s="8" t="s">
        <v>244</v>
      </c>
      <c r="G69" s="2">
        <v>1</v>
      </c>
      <c r="I69" s="125">
        <v>200</v>
      </c>
      <c r="J69" s="2" t="s">
        <v>766</v>
      </c>
      <c r="K69" s="88" t="s">
        <v>804</v>
      </c>
      <c r="L69" s="90">
        <v>30000</v>
      </c>
      <c r="M69" s="8">
        <v>20</v>
      </c>
      <c r="N69" s="39" t="s">
        <v>48</v>
      </c>
      <c r="O69" s="39" t="s">
        <v>49</v>
      </c>
      <c r="P69" s="135" t="s">
        <v>832</v>
      </c>
      <c r="Q69" s="19">
        <v>40</v>
      </c>
      <c r="R69" s="15">
        <f>IF(Q69&gt;0,Q69/I69,"")</f>
        <v>0.2</v>
      </c>
      <c r="S69" s="5">
        <f>($AC69*$AD69)/(($Z69/$Y69)+($AA69/$Z69)+($AB69/$AA69))</f>
        <v>35.555555555555557</v>
      </c>
      <c r="U69" s="109" t="s">
        <v>767</v>
      </c>
      <c r="V69" s="205" t="s">
        <v>719</v>
      </c>
      <c r="W69" s="205"/>
      <c r="Y69" s="2">
        <v>2</v>
      </c>
      <c r="Z69" s="2">
        <v>5</v>
      </c>
      <c r="AA69" s="2">
        <v>20</v>
      </c>
      <c r="AB69" s="2">
        <v>50</v>
      </c>
      <c r="AC69" s="2">
        <v>20</v>
      </c>
      <c r="AD69" s="2">
        <v>16</v>
      </c>
      <c r="AE69" s="2">
        <f>AC69*AD69</f>
        <v>320</v>
      </c>
      <c r="AF69" s="2">
        <f>Z69/Y69</f>
        <v>2.5</v>
      </c>
      <c r="AG69" s="2">
        <f>AA69/Z69</f>
        <v>4</v>
      </c>
      <c r="AH69" s="2">
        <f>AB69/AA69</f>
        <v>2.5</v>
      </c>
    </row>
    <row r="70" spans="1:34">
      <c r="A70" s="52" t="s">
        <v>220</v>
      </c>
      <c r="B70" s="52" t="s">
        <v>221</v>
      </c>
      <c r="C70" s="48">
        <v>46167</v>
      </c>
      <c r="D70" s="42">
        <v>0.75</v>
      </c>
      <c r="E70" s="43"/>
      <c r="F70" s="8" t="s">
        <v>1042</v>
      </c>
      <c r="G70" s="2">
        <v>2</v>
      </c>
      <c r="H70" s="2">
        <v>9</v>
      </c>
      <c r="I70" s="125">
        <v>1100</v>
      </c>
      <c r="J70" s="2" t="s">
        <v>766</v>
      </c>
      <c r="K70" s="88" t="s">
        <v>799</v>
      </c>
      <c r="L70" s="90">
        <v>40000</v>
      </c>
      <c r="M70" s="64" t="s">
        <v>113</v>
      </c>
      <c r="N70" s="39" t="s">
        <v>48</v>
      </c>
      <c r="O70" s="39" t="s">
        <v>49</v>
      </c>
      <c r="P70" s="135" t="s">
        <v>848</v>
      </c>
      <c r="Q70" s="19">
        <v>135</v>
      </c>
      <c r="R70" s="15">
        <f>Q70/I70</f>
        <v>0.12272727272727273</v>
      </c>
      <c r="S70" s="5">
        <f>($AC70*$AD70)/(($Z70/$Y70)+($AA70/$Z70)+($AB70/$AA70))</f>
        <v>44.081632653061227</v>
      </c>
      <c r="U70" s="109" t="s">
        <v>129</v>
      </c>
      <c r="V70" s="205" t="s">
        <v>738</v>
      </c>
      <c r="W70" s="205"/>
      <c r="Y70" s="2">
        <v>2</v>
      </c>
      <c r="Z70" s="2">
        <v>5</v>
      </c>
      <c r="AA70" s="2">
        <v>15</v>
      </c>
      <c r="AB70" s="2">
        <v>40</v>
      </c>
      <c r="AC70" s="2">
        <v>18</v>
      </c>
      <c r="AD70" s="2">
        <v>20</v>
      </c>
      <c r="AE70" s="2">
        <f>AC70*AD70</f>
        <v>360</v>
      </c>
      <c r="AF70" s="2">
        <f>Z70/Y70</f>
        <v>2.5</v>
      </c>
      <c r="AG70" s="2">
        <f>AA70/Z70</f>
        <v>3</v>
      </c>
      <c r="AH70" s="2">
        <f>AB70/AA70</f>
        <v>2.6666666666666665</v>
      </c>
    </row>
    <row r="71" spans="1:34">
      <c r="A71" s="96" t="s">
        <v>461</v>
      </c>
      <c r="B71" s="96" t="s">
        <v>462</v>
      </c>
      <c r="C71" s="40">
        <v>46167</v>
      </c>
      <c r="D71" s="42">
        <v>0.75694444444444442</v>
      </c>
      <c r="E71" s="43"/>
      <c r="F71" s="8" t="s">
        <v>468</v>
      </c>
      <c r="G71" s="2">
        <v>2</v>
      </c>
      <c r="I71" s="125">
        <v>300</v>
      </c>
      <c r="J71" s="2" t="s">
        <v>766</v>
      </c>
      <c r="K71" s="109" t="s">
        <v>598</v>
      </c>
      <c r="L71" s="8">
        <v>30000</v>
      </c>
      <c r="M71" s="202">
        <v>30</v>
      </c>
      <c r="N71" s="39" t="s">
        <v>48</v>
      </c>
      <c r="O71" s="39" t="s">
        <v>49</v>
      </c>
      <c r="P71" s="135" t="s">
        <v>842</v>
      </c>
      <c r="Q71" s="19">
        <v>65</v>
      </c>
      <c r="R71" s="15">
        <f>Q71/I71</f>
        <v>0.21666666666666667</v>
      </c>
      <c r="S71" s="5">
        <f>($AC71*$AD71)/(($Z71/$Y71)+($AA71/$Z71)+($AB71/$AA71))</f>
        <v>53.333333333333336</v>
      </c>
      <c r="U71" s="109" t="s">
        <v>767</v>
      </c>
      <c r="V71" s="205" t="s">
        <v>735</v>
      </c>
      <c r="W71" s="205"/>
      <c r="Y71" s="2">
        <v>2</v>
      </c>
      <c r="Z71" s="2">
        <v>5</v>
      </c>
      <c r="AA71" s="2">
        <v>20</v>
      </c>
      <c r="AB71" s="2">
        <v>50</v>
      </c>
      <c r="AC71" s="2">
        <v>16</v>
      </c>
      <c r="AD71" s="2">
        <v>30</v>
      </c>
      <c r="AE71" s="2">
        <f>AC71*AD71</f>
        <v>480</v>
      </c>
      <c r="AF71" s="2">
        <f>Z71/Y71</f>
        <v>2.5</v>
      </c>
      <c r="AG71" s="2">
        <f>AA71/Z71</f>
        <v>4</v>
      </c>
      <c r="AH71" s="2">
        <f>AB71/AA71</f>
        <v>2.5</v>
      </c>
    </row>
    <row r="72" spans="1:34">
      <c r="A72" s="68" t="s">
        <v>357</v>
      </c>
      <c r="B72" s="68" t="s">
        <v>358</v>
      </c>
      <c r="C72" s="48">
        <v>46167</v>
      </c>
      <c r="D72" s="42">
        <v>0.75694444444444442</v>
      </c>
      <c r="E72" s="194">
        <v>14</v>
      </c>
      <c r="F72" s="63" t="s">
        <v>285</v>
      </c>
      <c r="G72" s="2">
        <v>1</v>
      </c>
      <c r="H72" s="2">
        <v>9</v>
      </c>
      <c r="I72" s="125">
        <v>250</v>
      </c>
      <c r="J72" s="2" t="s">
        <v>766</v>
      </c>
      <c r="K72" s="137" t="s">
        <v>603</v>
      </c>
      <c r="L72" s="89">
        <v>25000</v>
      </c>
      <c r="M72" s="202">
        <v>30</v>
      </c>
      <c r="N72" s="39" t="s">
        <v>48</v>
      </c>
      <c r="O72" s="39" t="s">
        <v>49</v>
      </c>
      <c r="P72" s="135" t="s">
        <v>832</v>
      </c>
      <c r="Q72" s="19">
        <v>45</v>
      </c>
      <c r="R72" s="15">
        <f>Q72/I72</f>
        <v>0.18</v>
      </c>
      <c r="S72" s="5">
        <f>($AC72*$AD72)/(($Z72/$Y72)+($AA72/$Z72)+($AB72/$AA72))</f>
        <v>55.03292568203198</v>
      </c>
      <c r="U72" s="109" t="s">
        <v>219</v>
      </c>
      <c r="V72" s="205" t="s">
        <v>658</v>
      </c>
      <c r="W72" s="205"/>
      <c r="Y72" s="2">
        <v>2.5</v>
      </c>
      <c r="Z72" s="2">
        <v>6.5</v>
      </c>
      <c r="AA72" s="2">
        <v>20</v>
      </c>
      <c r="AB72" s="2">
        <v>50</v>
      </c>
      <c r="AC72" s="2">
        <v>30</v>
      </c>
      <c r="AD72" s="2">
        <v>15</v>
      </c>
      <c r="AE72" s="2">
        <f>AC72*AD72</f>
        <v>450</v>
      </c>
      <c r="AF72" s="2">
        <f>Z72/Y72</f>
        <v>2.6</v>
      </c>
      <c r="AG72" s="2">
        <f>AA72/Z72</f>
        <v>3.0769230769230771</v>
      </c>
      <c r="AH72" s="2">
        <f>AB72/AA72</f>
        <v>2.5</v>
      </c>
    </row>
    <row r="73" spans="1:34">
      <c r="A73" s="96" t="s">
        <v>461</v>
      </c>
      <c r="B73" s="96" t="s">
        <v>462</v>
      </c>
      <c r="C73" s="40">
        <v>46167</v>
      </c>
      <c r="D73" s="42">
        <v>0.92361111111111116</v>
      </c>
      <c r="E73" s="43"/>
      <c r="F73" s="8" t="s">
        <v>456</v>
      </c>
      <c r="G73" s="2">
        <v>1</v>
      </c>
      <c r="I73" s="125">
        <v>120</v>
      </c>
      <c r="J73" s="2" t="s">
        <v>766</v>
      </c>
      <c r="K73" s="109" t="s">
        <v>737</v>
      </c>
      <c r="L73" s="8">
        <v>20000</v>
      </c>
      <c r="M73" s="202">
        <v>15</v>
      </c>
      <c r="N73" s="39" t="s">
        <v>48</v>
      </c>
      <c r="O73" s="39" t="s">
        <v>49</v>
      </c>
      <c r="P73" s="135" t="s">
        <v>827</v>
      </c>
      <c r="Q73" s="19">
        <v>24</v>
      </c>
      <c r="R73" s="15">
        <f>Q73/I73</f>
        <v>0.2</v>
      </c>
      <c r="S73" s="5">
        <f>($AC73*$AD73)/(($Z73/$Y73)+($AA73/$Z73)+($AB73/$AA73))</f>
        <v>25.161290322580644</v>
      </c>
      <c r="U73" s="109" t="s">
        <v>463</v>
      </c>
      <c r="V73" s="10" t="s">
        <v>735</v>
      </c>
      <c r="W73" s="96" t="s">
        <v>464</v>
      </c>
      <c r="Y73" s="2">
        <v>2.5</v>
      </c>
      <c r="Z73" s="2">
        <v>7.5</v>
      </c>
      <c r="AA73" s="2">
        <v>30</v>
      </c>
      <c r="AB73" s="2">
        <v>100</v>
      </c>
      <c r="AC73" s="2">
        <v>13</v>
      </c>
      <c r="AD73" s="2">
        <v>20</v>
      </c>
      <c r="AE73" s="2">
        <f>AC73*AD73</f>
        <v>260</v>
      </c>
      <c r="AF73" s="2">
        <f>Z73/Y73</f>
        <v>3</v>
      </c>
      <c r="AG73" s="2">
        <f>AA73/Z73</f>
        <v>4</v>
      </c>
      <c r="AH73" s="2">
        <f>AB73/AA73</f>
        <v>3.3333333333333335</v>
      </c>
    </row>
    <row r="74" spans="1:34">
      <c r="A74" s="68" t="s">
        <v>357</v>
      </c>
      <c r="B74" s="68" t="s">
        <v>358</v>
      </c>
      <c r="C74" s="48">
        <v>46168</v>
      </c>
      <c r="D74" s="42">
        <v>0.41666666666666669</v>
      </c>
      <c r="E74" s="194">
        <v>10</v>
      </c>
      <c r="F74" s="63" t="s">
        <v>354</v>
      </c>
      <c r="G74" s="2">
        <v>2</v>
      </c>
      <c r="H74" s="2">
        <v>9</v>
      </c>
      <c r="I74" s="125">
        <v>600</v>
      </c>
      <c r="J74" s="2" t="s">
        <v>766</v>
      </c>
      <c r="K74" s="137" t="s">
        <v>598</v>
      </c>
      <c r="L74" s="89">
        <v>40000</v>
      </c>
      <c r="M74" s="54">
        <v>40</v>
      </c>
      <c r="N74" s="39" t="s">
        <v>48</v>
      </c>
      <c r="O74" s="39" t="s">
        <v>49</v>
      </c>
      <c r="P74" s="134" t="s">
        <v>839</v>
      </c>
      <c r="Q74" s="19">
        <v>95</v>
      </c>
      <c r="R74" s="15">
        <f>Q74/I74</f>
        <v>0.15833333333333333</v>
      </c>
      <c r="S74" s="5">
        <f>($AC74*$AD74)/(($Z74/$Y74)+($AA74/$Z74)+($AB74/$AA74))</f>
        <v>102.59605399792316</v>
      </c>
      <c r="U74" s="109" t="s">
        <v>54</v>
      </c>
      <c r="V74" s="2" t="s">
        <v>657</v>
      </c>
      <c r="Y74" s="2">
        <v>2</v>
      </c>
      <c r="Z74" s="2">
        <v>5</v>
      </c>
      <c r="AA74" s="2">
        <v>13</v>
      </c>
      <c r="AB74" s="2">
        <v>30</v>
      </c>
      <c r="AC74" s="2">
        <v>40</v>
      </c>
      <c r="AD74" s="2">
        <v>19</v>
      </c>
      <c r="AE74" s="2">
        <f>AC74*AD74</f>
        <v>760</v>
      </c>
      <c r="AF74" s="2">
        <f>Z74/Y74</f>
        <v>2.5</v>
      </c>
      <c r="AG74" s="2">
        <f>AA74/Z74</f>
        <v>2.6</v>
      </c>
      <c r="AH74" s="2">
        <f>AB74/AA74</f>
        <v>2.3076923076923075</v>
      </c>
    </row>
    <row r="75" spans="1:34">
      <c r="A75" s="96" t="s">
        <v>461</v>
      </c>
      <c r="B75" s="96" t="s">
        <v>462</v>
      </c>
      <c r="C75" s="40">
        <v>46168</v>
      </c>
      <c r="D75" s="42">
        <v>0.4236111111111111</v>
      </c>
      <c r="E75" s="43"/>
      <c r="F75" s="8" t="s">
        <v>469</v>
      </c>
      <c r="G75" s="2">
        <v>2</v>
      </c>
      <c r="I75" s="125">
        <v>300</v>
      </c>
      <c r="J75" s="2" t="s">
        <v>766</v>
      </c>
      <c r="K75" s="109" t="s">
        <v>598</v>
      </c>
      <c r="L75" s="8">
        <v>30000</v>
      </c>
      <c r="M75" s="202">
        <v>30</v>
      </c>
      <c r="N75" s="39" t="s">
        <v>48</v>
      </c>
      <c r="O75" s="39" t="s">
        <v>49</v>
      </c>
      <c r="P75" s="135" t="s">
        <v>842</v>
      </c>
      <c r="Q75" s="19">
        <v>65</v>
      </c>
      <c r="R75" s="15">
        <f>Q75/I75</f>
        <v>0.21666666666666667</v>
      </c>
      <c r="S75" s="5">
        <f>($AC75*$AD75)/(($Z75/$Y75)+($AA75/$Z75)+($AB75/$AA75))</f>
        <v>53.333333333333336</v>
      </c>
      <c r="U75" s="109" t="s">
        <v>767</v>
      </c>
      <c r="V75" s="205" t="s">
        <v>735</v>
      </c>
      <c r="W75" s="205"/>
      <c r="Y75" s="2">
        <v>2</v>
      </c>
      <c r="Z75" s="2">
        <v>5</v>
      </c>
      <c r="AA75" s="2">
        <v>20</v>
      </c>
      <c r="AB75" s="2">
        <v>50</v>
      </c>
      <c r="AC75" s="2">
        <v>16</v>
      </c>
      <c r="AD75" s="2">
        <v>30</v>
      </c>
      <c r="AE75" s="2">
        <f>AC75*AD75</f>
        <v>480</v>
      </c>
      <c r="AF75" s="2">
        <f>Z75/Y75</f>
        <v>2.5</v>
      </c>
      <c r="AG75" s="2">
        <f>AA75/Z75</f>
        <v>4</v>
      </c>
      <c r="AH75" s="2">
        <f>AB75/AA75</f>
        <v>2.5</v>
      </c>
    </row>
    <row r="76" spans="1:34">
      <c r="A76" s="52" t="s">
        <v>229</v>
      </c>
      <c r="B76" s="52" t="s">
        <v>230</v>
      </c>
      <c r="C76" s="40">
        <v>46168</v>
      </c>
      <c r="D76" s="42">
        <v>0.45833333333333331</v>
      </c>
      <c r="E76" s="43"/>
      <c r="F76" s="8" t="s">
        <v>242</v>
      </c>
      <c r="G76" s="2">
        <v>1</v>
      </c>
      <c r="I76" s="125">
        <v>200</v>
      </c>
      <c r="J76" s="2" t="s">
        <v>766</v>
      </c>
      <c r="K76" s="88" t="s">
        <v>775</v>
      </c>
      <c r="L76" s="90">
        <v>25000</v>
      </c>
      <c r="M76" s="46" t="s">
        <v>128</v>
      </c>
      <c r="N76" s="39" t="s">
        <v>48</v>
      </c>
      <c r="O76" s="39" t="s">
        <v>49</v>
      </c>
      <c r="P76" s="135" t="s">
        <v>832</v>
      </c>
      <c r="Q76" s="19">
        <v>40</v>
      </c>
      <c r="R76" s="15">
        <f>IF(Q76&gt;0,Q76/I76,"")</f>
        <v>0.2</v>
      </c>
      <c r="S76" s="5">
        <f>($AC76*$AD76)/(($Z76/$Y76)+($AA76/$Z76)+($AB76/$AA76))</f>
        <v>28.333333333333332</v>
      </c>
      <c r="U76" s="109" t="s">
        <v>767</v>
      </c>
      <c r="V76" s="10" t="s">
        <v>719</v>
      </c>
      <c r="W76" s="205"/>
      <c r="Y76" s="2">
        <v>2</v>
      </c>
      <c r="Z76" s="2">
        <v>5</v>
      </c>
      <c r="AA76" s="2">
        <v>20</v>
      </c>
      <c r="AB76" s="2">
        <v>50</v>
      </c>
      <c r="AC76" s="2">
        <v>255</v>
      </c>
      <c r="AD76" s="2">
        <v>1</v>
      </c>
      <c r="AE76" s="2">
        <f>AC76*AD76</f>
        <v>255</v>
      </c>
      <c r="AF76" s="2">
        <f>Z76/Y76</f>
        <v>2.5</v>
      </c>
      <c r="AG76" s="2">
        <f>AA76/Z76</f>
        <v>4</v>
      </c>
      <c r="AH76" s="2">
        <f>AB76/AA76</f>
        <v>2.5</v>
      </c>
    </row>
    <row r="77" spans="1:34">
      <c r="A77" s="68" t="s">
        <v>357</v>
      </c>
      <c r="B77" s="68" t="s">
        <v>358</v>
      </c>
      <c r="C77" s="48">
        <v>46168</v>
      </c>
      <c r="D77" s="42">
        <v>0.46527777777777779</v>
      </c>
      <c r="E77" s="194">
        <v>15</v>
      </c>
      <c r="F77" s="63" t="s">
        <v>289</v>
      </c>
      <c r="G77" s="2">
        <v>1</v>
      </c>
      <c r="H77" s="2">
        <v>9</v>
      </c>
      <c r="I77" s="125">
        <v>600</v>
      </c>
      <c r="J77" s="2" t="s">
        <v>766</v>
      </c>
      <c r="K77" s="137" t="s">
        <v>815</v>
      </c>
      <c r="L77" s="89">
        <v>30000</v>
      </c>
      <c r="M77" s="202">
        <v>30</v>
      </c>
      <c r="N77" s="39" t="s">
        <v>48</v>
      </c>
      <c r="O77" s="39" t="s">
        <v>49</v>
      </c>
      <c r="P77" s="212" t="s">
        <v>836</v>
      </c>
      <c r="Q77" s="19">
        <v>90</v>
      </c>
      <c r="R77" s="15">
        <f>Q77/I77</f>
        <v>0.15</v>
      </c>
      <c r="S77" s="5">
        <f>($AC77*$AD77)/(($Z77/$Y77)+($AA77/$Z77)+($AB77/$AA77))</f>
        <v>67.332430602572785</v>
      </c>
      <c r="U77" s="109" t="s">
        <v>767</v>
      </c>
      <c r="V77" s="205" t="s">
        <v>660</v>
      </c>
      <c r="W77" s="205"/>
      <c r="Y77" s="2">
        <v>2.5</v>
      </c>
      <c r="Z77" s="2">
        <v>6.5</v>
      </c>
      <c r="AA77" s="2">
        <v>15</v>
      </c>
      <c r="AB77" s="2">
        <v>40</v>
      </c>
      <c r="AC77" s="2">
        <v>30</v>
      </c>
      <c r="AD77" s="2">
        <v>17</v>
      </c>
      <c r="AE77" s="2">
        <f>AC77*AD77</f>
        <v>510</v>
      </c>
      <c r="AF77" s="2">
        <f>Z77/Y77</f>
        <v>2.6</v>
      </c>
      <c r="AG77" s="2">
        <f>AA77/Z77</f>
        <v>2.3076923076923075</v>
      </c>
      <c r="AH77" s="2">
        <f>AB77/AA77</f>
        <v>2.6666666666666665</v>
      </c>
    </row>
    <row r="78" spans="1:34">
      <c r="A78" s="165" t="s">
        <v>1383</v>
      </c>
      <c r="B78" s="39" t="s">
        <v>63</v>
      </c>
      <c r="C78" s="40">
        <v>46168</v>
      </c>
      <c r="D78" s="144">
        <v>0.5</v>
      </c>
      <c r="E78" s="43"/>
      <c r="F78" s="8" t="s">
        <v>130</v>
      </c>
      <c r="G78" s="2">
        <v>1</v>
      </c>
      <c r="H78" s="2">
        <v>9</v>
      </c>
      <c r="I78" s="125">
        <v>70</v>
      </c>
      <c r="J78" s="2" t="s">
        <v>766</v>
      </c>
      <c r="K78" s="88" t="s">
        <v>771</v>
      </c>
      <c r="L78" s="90">
        <v>10000</v>
      </c>
      <c r="M78" s="8">
        <v>10</v>
      </c>
      <c r="N78" s="132" t="s">
        <v>821</v>
      </c>
      <c r="O78" s="39" t="s">
        <v>49</v>
      </c>
      <c r="Q78" s="19">
        <v>20</v>
      </c>
      <c r="R78" s="15">
        <f>Q78/I78</f>
        <v>0.2857142857142857</v>
      </c>
      <c r="S78" s="5">
        <v>15</v>
      </c>
      <c r="U78" s="109" t="s">
        <v>767</v>
      </c>
      <c r="V78" s="71" t="s">
        <v>362</v>
      </c>
      <c r="W78" s="46" t="s">
        <v>139</v>
      </c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</row>
    <row r="79" spans="1:34">
      <c r="A79" s="52" t="s">
        <v>229</v>
      </c>
      <c r="B79" s="52" t="s">
        <v>230</v>
      </c>
      <c r="C79" s="40">
        <v>46168</v>
      </c>
      <c r="D79" s="42">
        <v>0.5</v>
      </c>
      <c r="E79" s="43"/>
      <c r="F79" s="8" t="s">
        <v>247</v>
      </c>
      <c r="G79" s="2">
        <v>1</v>
      </c>
      <c r="I79" s="37">
        <v>600</v>
      </c>
      <c r="J79" s="2" t="s">
        <v>766</v>
      </c>
      <c r="K79" s="88" t="s">
        <v>788</v>
      </c>
      <c r="L79" s="90">
        <v>40000</v>
      </c>
      <c r="M79" s="46" t="s">
        <v>22</v>
      </c>
      <c r="N79" s="39" t="s">
        <v>48</v>
      </c>
      <c r="O79" s="39" t="s">
        <v>377</v>
      </c>
      <c r="P79" s="19">
        <v>50000</v>
      </c>
      <c r="Q79" s="2">
        <v>85</v>
      </c>
      <c r="R79" s="15">
        <f>IF(Q79&gt;0,Q79/I79,"")</f>
        <v>0.14166666666666666</v>
      </c>
      <c r="S79" s="149" t="s">
        <v>110</v>
      </c>
      <c r="T79" s="149"/>
      <c r="U79" s="109" t="s">
        <v>767</v>
      </c>
      <c r="V79" s="2" t="s">
        <v>719</v>
      </c>
      <c r="W79" s="205"/>
      <c r="AE79" s="2">
        <f>AC79*AD79</f>
        <v>0</v>
      </c>
      <c r="AF79" s="2" t="e">
        <f>Z79/Y79</f>
        <v>#DIV/0!</v>
      </c>
      <c r="AG79" s="2" t="e">
        <f>AA79/Z79</f>
        <v>#DIV/0!</v>
      </c>
      <c r="AH79" s="2" t="e">
        <f>AB79/AA79</f>
        <v>#DIV/0!</v>
      </c>
    </row>
    <row r="80" spans="1:34">
      <c r="A80" s="52" t="s">
        <v>220</v>
      </c>
      <c r="B80" s="52" t="s">
        <v>221</v>
      </c>
      <c r="C80" s="48">
        <v>46168</v>
      </c>
      <c r="D80" s="42">
        <v>0.5</v>
      </c>
      <c r="E80" s="43"/>
      <c r="F80" s="8" t="s">
        <v>1046</v>
      </c>
      <c r="G80" s="2">
        <v>2</v>
      </c>
      <c r="H80" s="2">
        <v>9</v>
      </c>
      <c r="I80" s="125">
        <v>1100</v>
      </c>
      <c r="J80" s="2" t="s">
        <v>766</v>
      </c>
      <c r="K80" s="88" t="s">
        <v>780</v>
      </c>
      <c r="L80" s="90">
        <v>40000</v>
      </c>
      <c r="M80" s="64" t="s">
        <v>22</v>
      </c>
      <c r="N80" s="39" t="s">
        <v>48</v>
      </c>
      <c r="O80" s="39" t="s">
        <v>49</v>
      </c>
      <c r="P80" s="135" t="s">
        <v>848</v>
      </c>
      <c r="Q80" s="19">
        <v>135</v>
      </c>
      <c r="R80" s="15">
        <f>Q80/I80</f>
        <v>0.12272727272727273</v>
      </c>
      <c r="S80" s="5">
        <f>($AC80*$AD80)/(($Z80/$Y80)+($AA80/$Z80)+($AB80/$AA80))</f>
        <v>66.122448979591837</v>
      </c>
      <c r="U80" s="109" t="s">
        <v>767</v>
      </c>
      <c r="V80" s="205" t="s">
        <v>738</v>
      </c>
      <c r="W80" s="205"/>
      <c r="Y80" s="2">
        <v>2</v>
      </c>
      <c r="Z80" s="2">
        <v>5</v>
      </c>
      <c r="AA80" s="2">
        <v>15</v>
      </c>
      <c r="AB80" s="2">
        <v>40</v>
      </c>
      <c r="AC80" s="2">
        <v>18</v>
      </c>
      <c r="AD80" s="2">
        <v>30</v>
      </c>
      <c r="AE80" s="2">
        <f>AC80*AD80</f>
        <v>540</v>
      </c>
      <c r="AF80" s="2">
        <f>Z80/Y80</f>
        <v>2.5</v>
      </c>
      <c r="AG80" s="2">
        <f>AA80/Z80</f>
        <v>3</v>
      </c>
      <c r="AH80" s="2">
        <f>AB80/AA80</f>
        <v>2.6666666666666665</v>
      </c>
    </row>
    <row r="81" spans="1:34">
      <c r="A81" s="165" t="s">
        <v>1383</v>
      </c>
      <c r="B81" s="39" t="s">
        <v>63</v>
      </c>
      <c r="C81" s="192">
        <v>46168</v>
      </c>
      <c r="D81" s="144">
        <v>0.54166666666666663</v>
      </c>
      <c r="E81" s="194"/>
      <c r="F81" s="8" t="s">
        <v>881</v>
      </c>
      <c r="G81" s="2">
        <v>1</v>
      </c>
      <c r="H81" s="2">
        <v>9</v>
      </c>
      <c r="I81" s="37">
        <v>250</v>
      </c>
      <c r="J81" s="2" t="s">
        <v>766</v>
      </c>
      <c r="K81" s="88" t="s">
        <v>787</v>
      </c>
      <c r="L81" s="89">
        <v>25000</v>
      </c>
      <c r="M81" s="205">
        <v>30</v>
      </c>
      <c r="N81" s="39" t="s">
        <v>817</v>
      </c>
      <c r="O81" s="39" t="s">
        <v>49</v>
      </c>
      <c r="P81" s="210"/>
      <c r="Q81" s="19">
        <v>50</v>
      </c>
      <c r="R81" s="15">
        <f>Q81/I81</f>
        <v>0.2</v>
      </c>
      <c r="S81" s="5">
        <v>44</v>
      </c>
      <c r="U81" s="109" t="s">
        <v>767</v>
      </c>
      <c r="V81" s="71" t="s">
        <v>360</v>
      </c>
      <c r="W81" s="20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</row>
    <row r="82" spans="1:34">
      <c r="A82" s="68" t="s">
        <v>357</v>
      </c>
      <c r="B82" s="68" t="s">
        <v>358</v>
      </c>
      <c r="C82" s="48">
        <v>46168</v>
      </c>
      <c r="D82" s="42">
        <v>0.58333333333333337</v>
      </c>
      <c r="E82" s="194">
        <v>13</v>
      </c>
      <c r="F82" s="63" t="s">
        <v>288</v>
      </c>
      <c r="G82" s="2">
        <v>2</v>
      </c>
      <c r="H82" s="2">
        <v>8</v>
      </c>
      <c r="I82" s="125">
        <v>600</v>
      </c>
      <c r="J82" s="2" t="s">
        <v>766</v>
      </c>
      <c r="K82" s="137" t="s">
        <v>598</v>
      </c>
      <c r="L82" s="89">
        <v>25000</v>
      </c>
      <c r="M82" s="202">
        <v>40</v>
      </c>
      <c r="N82" s="39" t="s">
        <v>48</v>
      </c>
      <c r="O82" s="39" t="s">
        <v>859</v>
      </c>
      <c r="P82" s="234">
        <v>40000</v>
      </c>
      <c r="Q82" s="2">
        <v>95</v>
      </c>
      <c r="R82" s="15">
        <f>Q82/I82</f>
        <v>0.15833333333333333</v>
      </c>
      <c r="S82" s="149" t="s">
        <v>110</v>
      </c>
      <c r="T82" s="149"/>
      <c r="U82" s="109" t="s">
        <v>767</v>
      </c>
      <c r="V82" s="2" t="s">
        <v>659</v>
      </c>
      <c r="AE82" s="2">
        <f>AC82*AD82</f>
        <v>0</v>
      </c>
      <c r="AF82" s="2" t="e">
        <f>Z82/Y82</f>
        <v>#DIV/0!</v>
      </c>
      <c r="AG82" s="2" t="e">
        <f>AA82/Z82</f>
        <v>#DIV/0!</v>
      </c>
      <c r="AH82" s="2" t="e">
        <f>AB82/AA82</f>
        <v>#DIV/0!</v>
      </c>
    </row>
    <row r="83" spans="1:34">
      <c r="A83" s="96" t="s">
        <v>461</v>
      </c>
      <c r="B83" s="96" t="s">
        <v>462</v>
      </c>
      <c r="C83" s="40">
        <v>46168</v>
      </c>
      <c r="D83" s="42">
        <v>0.59027777777777779</v>
      </c>
      <c r="E83" s="43"/>
      <c r="F83" s="8" t="s">
        <v>276</v>
      </c>
      <c r="G83" s="2">
        <v>1</v>
      </c>
      <c r="I83" s="125">
        <v>120</v>
      </c>
      <c r="J83" s="2" t="s">
        <v>766</v>
      </c>
      <c r="K83" s="109" t="s">
        <v>602</v>
      </c>
      <c r="L83" s="8">
        <v>15000</v>
      </c>
      <c r="M83" s="202">
        <v>20</v>
      </c>
      <c r="N83" s="39" t="s">
        <v>48</v>
      </c>
      <c r="O83" s="39" t="s">
        <v>451</v>
      </c>
      <c r="P83" s="63">
        <v>6000</v>
      </c>
      <c r="Q83" s="2">
        <v>24</v>
      </c>
      <c r="R83" s="15">
        <f>Q83/I83</f>
        <v>0.2</v>
      </c>
      <c r="S83" s="149" t="s">
        <v>110</v>
      </c>
      <c r="T83" s="149"/>
      <c r="U83" s="109" t="s">
        <v>767</v>
      </c>
      <c r="V83" s="2" t="s">
        <v>735</v>
      </c>
      <c r="AE83" s="2">
        <f>AC83*AD83</f>
        <v>0</v>
      </c>
      <c r="AF83" s="2" t="e">
        <f>Z83/Y83</f>
        <v>#DIV/0!</v>
      </c>
      <c r="AG83" s="2" t="e">
        <f>AA83/Z83</f>
        <v>#DIV/0!</v>
      </c>
      <c r="AH83" s="2" t="e">
        <f>AB83/AA83</f>
        <v>#DIV/0!</v>
      </c>
    </row>
    <row r="84" spans="1:34">
      <c r="A84" s="165" t="s">
        <v>1383</v>
      </c>
      <c r="B84" s="39" t="s">
        <v>63</v>
      </c>
      <c r="C84" s="192">
        <v>46168</v>
      </c>
      <c r="D84" s="144">
        <v>0.625</v>
      </c>
      <c r="E84" s="43"/>
      <c r="F84" s="8" t="s">
        <v>912</v>
      </c>
      <c r="G84" s="2">
        <v>1</v>
      </c>
      <c r="H84" s="2">
        <v>9</v>
      </c>
      <c r="I84" s="37">
        <v>240</v>
      </c>
      <c r="J84" s="2" t="s">
        <v>766</v>
      </c>
      <c r="K84" s="88" t="s">
        <v>784</v>
      </c>
      <c r="L84" s="89">
        <v>10000</v>
      </c>
      <c r="M84" s="202">
        <v>20</v>
      </c>
      <c r="N84" s="132" t="s">
        <v>821</v>
      </c>
      <c r="O84" s="39" t="s">
        <v>49</v>
      </c>
      <c r="P84" s="210"/>
      <c r="Q84" s="19">
        <v>40</v>
      </c>
      <c r="R84" s="15">
        <f>Q84/I84</f>
        <v>0.16666666666666666</v>
      </c>
      <c r="S84" s="5">
        <v>29</v>
      </c>
      <c r="U84" s="109" t="s">
        <v>767</v>
      </c>
      <c r="V84" s="71" t="s">
        <v>362</v>
      </c>
      <c r="W84" s="8" t="s">
        <v>367</v>
      </c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</row>
    <row r="85" spans="1:34">
      <c r="A85" s="165" t="s">
        <v>1383</v>
      </c>
      <c r="B85" s="39" t="s">
        <v>63</v>
      </c>
      <c r="C85" s="192">
        <v>46168</v>
      </c>
      <c r="D85" s="144">
        <v>0.66666666666666663</v>
      </c>
      <c r="E85" s="194"/>
      <c r="F85" s="8" t="s">
        <v>1024</v>
      </c>
      <c r="G85" s="2">
        <v>1</v>
      </c>
      <c r="H85" s="2">
        <v>9</v>
      </c>
      <c r="I85" s="37">
        <v>400</v>
      </c>
      <c r="J85" s="2" t="s">
        <v>766</v>
      </c>
      <c r="K85" s="88" t="s">
        <v>794</v>
      </c>
      <c r="L85" s="89">
        <v>30000</v>
      </c>
      <c r="M85" s="205">
        <v>20</v>
      </c>
      <c r="N85" s="39" t="s">
        <v>817</v>
      </c>
      <c r="O85" s="39" t="s">
        <v>49</v>
      </c>
      <c r="Q85" s="19">
        <v>70</v>
      </c>
      <c r="R85" s="15">
        <f>Q85/I85</f>
        <v>0.17499999999999999</v>
      </c>
      <c r="S85" s="5">
        <v>37</v>
      </c>
      <c r="U85" s="109" t="s">
        <v>129</v>
      </c>
      <c r="V85" s="71" t="s">
        <v>360</v>
      </c>
      <c r="W85" s="20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</row>
    <row r="86" spans="1:34">
      <c r="A86" s="52" t="s">
        <v>229</v>
      </c>
      <c r="B86" s="52" t="s">
        <v>230</v>
      </c>
      <c r="C86" s="40">
        <v>46168</v>
      </c>
      <c r="D86" s="42">
        <v>0.66666666666666663</v>
      </c>
      <c r="E86" s="43"/>
      <c r="F86" s="8" t="s">
        <v>715</v>
      </c>
      <c r="G86" s="2">
        <v>1</v>
      </c>
      <c r="I86" s="125">
        <v>230</v>
      </c>
      <c r="J86" s="2" t="s">
        <v>766</v>
      </c>
      <c r="K86" s="88" t="s">
        <v>795</v>
      </c>
      <c r="L86" s="90">
        <v>25000</v>
      </c>
      <c r="M86" s="8">
        <v>20</v>
      </c>
      <c r="N86" s="132" t="s">
        <v>821</v>
      </c>
      <c r="O86" s="39" t="s">
        <v>49</v>
      </c>
      <c r="Q86" s="19">
        <v>30</v>
      </c>
      <c r="R86" s="15">
        <f>IF(Q86&gt;0,Q86/I86,"")</f>
        <v>0.13043478260869565</v>
      </c>
      <c r="S86" s="5">
        <f>($AC86*$AD86)/(($Z86/$Y86)+($AA86/$Z86)+($AB86/$AA86))</f>
        <v>33.333333333333336</v>
      </c>
      <c r="U86" s="109" t="s">
        <v>767</v>
      </c>
      <c r="V86" s="205" t="s">
        <v>719</v>
      </c>
      <c r="W86" s="8" t="s">
        <v>716</v>
      </c>
      <c r="Y86" s="2">
        <v>2</v>
      </c>
      <c r="Z86" s="2">
        <v>5</v>
      </c>
      <c r="AA86" s="2">
        <v>20</v>
      </c>
      <c r="AB86" s="2">
        <v>50</v>
      </c>
      <c r="AC86" s="2">
        <v>15</v>
      </c>
      <c r="AD86" s="2">
        <v>20</v>
      </c>
      <c r="AE86" s="2">
        <f>AC86*AD86</f>
        <v>300</v>
      </c>
      <c r="AF86" s="2">
        <f>Z86/Y86</f>
        <v>2.5</v>
      </c>
      <c r="AG86" s="2">
        <f>AA86/Z86</f>
        <v>4</v>
      </c>
      <c r="AH86" s="2">
        <f>AB86/AA86</f>
        <v>2.5</v>
      </c>
    </row>
    <row r="87" spans="1:34">
      <c r="A87" s="52" t="s">
        <v>229</v>
      </c>
      <c r="B87" s="52" t="s">
        <v>230</v>
      </c>
      <c r="C87" s="40">
        <v>46168</v>
      </c>
      <c r="D87" s="42">
        <v>0.75</v>
      </c>
      <c r="E87" s="43"/>
      <c r="F87" s="8" t="s">
        <v>244</v>
      </c>
      <c r="G87" s="2">
        <v>1</v>
      </c>
      <c r="I87" s="125">
        <v>200</v>
      </c>
      <c r="J87" s="2" t="s">
        <v>766</v>
      </c>
      <c r="K87" s="88" t="s">
        <v>804</v>
      </c>
      <c r="L87" s="90">
        <v>30000</v>
      </c>
      <c r="M87" s="8">
        <v>20</v>
      </c>
      <c r="N87" s="39" t="s">
        <v>48</v>
      </c>
      <c r="O87" s="39" t="s">
        <v>49</v>
      </c>
      <c r="P87" s="135" t="s">
        <v>832</v>
      </c>
      <c r="Q87" s="19">
        <v>40</v>
      </c>
      <c r="R87" s="15">
        <f>IF(Q87&gt;0,Q87/I87,"")</f>
        <v>0.2</v>
      </c>
      <c r="S87" s="5">
        <f>($AC87*$AD87)/(($Z87/$Y87)+($AA87/$Z87)+($AB87/$AA87))</f>
        <v>35.555555555555557</v>
      </c>
      <c r="U87" s="109" t="s">
        <v>767</v>
      </c>
      <c r="V87" s="2" t="s">
        <v>719</v>
      </c>
      <c r="W87" s="205"/>
      <c r="Y87" s="2">
        <v>2</v>
      </c>
      <c r="Z87" s="2">
        <v>5</v>
      </c>
      <c r="AA87" s="2">
        <v>20</v>
      </c>
      <c r="AB87" s="2">
        <v>50</v>
      </c>
      <c r="AC87" s="2">
        <v>20</v>
      </c>
      <c r="AD87" s="2">
        <v>16</v>
      </c>
      <c r="AE87" s="2">
        <f>AC87*AD87</f>
        <v>320</v>
      </c>
      <c r="AF87" s="2">
        <f>Z87/Y87</f>
        <v>2.5</v>
      </c>
      <c r="AG87" s="2">
        <f>AA87/Z87</f>
        <v>4</v>
      </c>
      <c r="AH87" s="2">
        <f>AB87/AA87</f>
        <v>2.5</v>
      </c>
    </row>
    <row r="88" spans="1:34">
      <c r="A88" s="52" t="s">
        <v>220</v>
      </c>
      <c r="B88" s="52" t="s">
        <v>221</v>
      </c>
      <c r="C88" s="48">
        <v>46168</v>
      </c>
      <c r="D88" s="42">
        <v>0.75</v>
      </c>
      <c r="E88" s="43"/>
      <c r="F88" s="8" t="s">
        <v>1043</v>
      </c>
      <c r="G88" s="2">
        <v>2</v>
      </c>
      <c r="H88" s="2">
        <v>9</v>
      </c>
      <c r="I88" s="125">
        <v>1100</v>
      </c>
      <c r="J88" s="2" t="s">
        <v>766</v>
      </c>
      <c r="K88" s="88" t="s">
        <v>799</v>
      </c>
      <c r="L88" s="90">
        <v>40000</v>
      </c>
      <c r="M88" s="64" t="s">
        <v>113</v>
      </c>
      <c r="N88" s="39" t="s">
        <v>48</v>
      </c>
      <c r="O88" s="39" t="s">
        <v>49</v>
      </c>
      <c r="P88" s="135" t="s">
        <v>848</v>
      </c>
      <c r="Q88" s="19">
        <v>135</v>
      </c>
      <c r="R88" s="15">
        <f>Q88/I88</f>
        <v>0.12272727272727273</v>
      </c>
      <c r="S88" s="5">
        <f>($AC88*$AD88)/(($Z88/$Y88)+($AA88/$Z88)+($AB88/$AA88))</f>
        <v>44.081632653061227</v>
      </c>
      <c r="U88" s="109" t="s">
        <v>129</v>
      </c>
      <c r="V88" s="10" t="s">
        <v>738</v>
      </c>
      <c r="W88" s="205"/>
      <c r="Y88" s="2">
        <v>2</v>
      </c>
      <c r="Z88" s="2">
        <v>5</v>
      </c>
      <c r="AA88" s="2">
        <v>15</v>
      </c>
      <c r="AB88" s="2">
        <v>40</v>
      </c>
      <c r="AC88" s="2">
        <v>18</v>
      </c>
      <c r="AD88" s="2">
        <v>20</v>
      </c>
      <c r="AE88" s="2">
        <f>AC88*AD88</f>
        <v>360</v>
      </c>
      <c r="AF88" s="2">
        <f>Z88/Y88</f>
        <v>2.5</v>
      </c>
      <c r="AG88" s="2">
        <f>AA88/Z88</f>
        <v>3</v>
      </c>
      <c r="AH88" s="2">
        <f>AB88/AA88</f>
        <v>2.6666666666666665</v>
      </c>
    </row>
    <row r="89" spans="1:34">
      <c r="A89" s="96" t="s">
        <v>461</v>
      </c>
      <c r="B89" s="96" t="s">
        <v>462</v>
      </c>
      <c r="C89" s="40">
        <v>46168</v>
      </c>
      <c r="D89" s="42">
        <v>0.75694444444444442</v>
      </c>
      <c r="E89" s="43"/>
      <c r="F89" s="8" t="s">
        <v>470</v>
      </c>
      <c r="G89" s="2">
        <v>2</v>
      </c>
      <c r="I89" s="125">
        <v>300</v>
      </c>
      <c r="J89" s="2" t="s">
        <v>766</v>
      </c>
      <c r="K89" s="109" t="s">
        <v>598</v>
      </c>
      <c r="L89" s="8">
        <v>30000</v>
      </c>
      <c r="M89" s="54">
        <v>30</v>
      </c>
      <c r="N89" s="39" t="s">
        <v>48</v>
      </c>
      <c r="O89" s="39" t="s">
        <v>49</v>
      </c>
      <c r="P89" s="135" t="s">
        <v>842</v>
      </c>
      <c r="Q89" s="19">
        <v>65</v>
      </c>
      <c r="R89" s="15">
        <f>Q89/I89</f>
        <v>0.21666666666666667</v>
      </c>
      <c r="S89" s="5">
        <f>($AC89*$AD89)/(($Z89/$Y89)+($AA89/$Z89)+($AB89/$AA89))</f>
        <v>53.333333333333336</v>
      </c>
      <c r="U89" s="109" t="s">
        <v>767</v>
      </c>
      <c r="V89" s="205" t="s">
        <v>735</v>
      </c>
      <c r="W89" s="205"/>
      <c r="Y89" s="2">
        <v>2</v>
      </c>
      <c r="Z89" s="2">
        <v>5</v>
      </c>
      <c r="AA89" s="2">
        <v>20</v>
      </c>
      <c r="AB89" s="2">
        <v>50</v>
      </c>
      <c r="AC89" s="2">
        <v>16</v>
      </c>
      <c r="AD89" s="2">
        <v>30</v>
      </c>
      <c r="AE89" s="2">
        <f>AC89*AD89</f>
        <v>480</v>
      </c>
      <c r="AF89" s="2">
        <f>Z89/Y89</f>
        <v>2.5</v>
      </c>
      <c r="AG89" s="2">
        <f>AA89/Z89</f>
        <v>4</v>
      </c>
      <c r="AH89" s="2">
        <f>AB89/AA89</f>
        <v>2.5</v>
      </c>
    </row>
    <row r="90" spans="1:34">
      <c r="A90" s="68" t="s">
        <v>357</v>
      </c>
      <c r="B90" s="68" t="s">
        <v>358</v>
      </c>
      <c r="C90" s="48">
        <v>46168</v>
      </c>
      <c r="D90" s="42">
        <v>0.75694444444444442</v>
      </c>
      <c r="E90" s="194">
        <v>16</v>
      </c>
      <c r="F90" s="63" t="s">
        <v>285</v>
      </c>
      <c r="G90" s="2">
        <v>1</v>
      </c>
      <c r="H90" s="2">
        <v>9</v>
      </c>
      <c r="I90" s="125">
        <v>250</v>
      </c>
      <c r="J90" s="2" t="s">
        <v>766</v>
      </c>
      <c r="K90" s="137" t="s">
        <v>603</v>
      </c>
      <c r="L90" s="89">
        <v>25000</v>
      </c>
      <c r="M90" s="202">
        <v>30</v>
      </c>
      <c r="N90" s="39" t="s">
        <v>48</v>
      </c>
      <c r="O90" s="39" t="s">
        <v>49</v>
      </c>
      <c r="P90" s="135" t="s">
        <v>832</v>
      </c>
      <c r="Q90" s="19">
        <v>45</v>
      </c>
      <c r="R90" s="15">
        <f>Q90/I90</f>
        <v>0.18</v>
      </c>
      <c r="S90" s="5">
        <f>($AC90*$AD90)/(($Z90/$Y90)+($AA90/$Z90)+($AB90/$AA90))</f>
        <v>55.03292568203198</v>
      </c>
      <c r="U90" s="109" t="s">
        <v>219</v>
      </c>
      <c r="V90" s="205" t="s">
        <v>658</v>
      </c>
      <c r="W90" s="205"/>
      <c r="Y90" s="2">
        <v>2.5</v>
      </c>
      <c r="Z90" s="2">
        <v>6.5</v>
      </c>
      <c r="AA90" s="2">
        <v>20</v>
      </c>
      <c r="AB90" s="2">
        <v>50</v>
      </c>
      <c r="AC90" s="2">
        <v>30</v>
      </c>
      <c r="AD90" s="2">
        <v>15</v>
      </c>
      <c r="AE90" s="2">
        <f>AC90*AD90</f>
        <v>450</v>
      </c>
      <c r="AF90" s="2">
        <f>Z90/Y90</f>
        <v>2.6</v>
      </c>
      <c r="AG90" s="2">
        <f>AA90/Z90</f>
        <v>3.0769230769230771</v>
      </c>
      <c r="AH90" s="2">
        <f>AB90/AA90</f>
        <v>2.5</v>
      </c>
    </row>
    <row r="91" spans="1:34">
      <c r="A91" s="165" t="s">
        <v>1383</v>
      </c>
      <c r="B91" s="39" t="s">
        <v>63</v>
      </c>
      <c r="C91" s="192">
        <v>46168</v>
      </c>
      <c r="D91" s="144">
        <v>0.79166666666666663</v>
      </c>
      <c r="E91" s="43"/>
      <c r="F91" s="8" t="s">
        <v>917</v>
      </c>
      <c r="G91" s="2">
        <v>1</v>
      </c>
      <c r="H91" s="2">
        <v>9</v>
      </c>
      <c r="I91" s="57">
        <v>585</v>
      </c>
      <c r="J91" s="2" t="s">
        <v>766</v>
      </c>
      <c r="K91" s="88" t="s">
        <v>800</v>
      </c>
      <c r="L91" s="89">
        <v>10000</v>
      </c>
      <c r="M91" s="202">
        <v>20</v>
      </c>
      <c r="N91" s="132" t="s">
        <v>821</v>
      </c>
      <c r="O91" s="39" t="s">
        <v>49</v>
      </c>
      <c r="P91" s="210"/>
      <c r="Q91" s="19">
        <v>89</v>
      </c>
      <c r="R91" s="59">
        <f>Q91/I91</f>
        <v>0.15213675213675212</v>
      </c>
      <c r="S91" s="5">
        <v>29</v>
      </c>
      <c r="U91" s="109" t="s">
        <v>767</v>
      </c>
      <c r="V91" s="83" t="s">
        <v>362</v>
      </c>
      <c r="W91" s="8" t="s">
        <v>368</v>
      </c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</row>
    <row r="92" spans="1:34">
      <c r="A92" s="165" t="s">
        <v>1383</v>
      </c>
      <c r="B92" s="39" t="s">
        <v>63</v>
      </c>
      <c r="C92" s="192">
        <v>46168</v>
      </c>
      <c r="D92" s="144">
        <v>0.83333333333333337</v>
      </c>
      <c r="E92" s="194"/>
      <c r="F92" s="8" t="s">
        <v>1023</v>
      </c>
      <c r="G92" s="2">
        <v>1</v>
      </c>
      <c r="H92" s="2">
        <v>9</v>
      </c>
      <c r="I92" s="37">
        <v>200</v>
      </c>
      <c r="J92" s="2" t="s">
        <v>766</v>
      </c>
      <c r="K92" s="88" t="s">
        <v>806</v>
      </c>
      <c r="L92" s="89">
        <v>20000</v>
      </c>
      <c r="M92" s="205">
        <v>20</v>
      </c>
      <c r="N92" s="39" t="s">
        <v>817</v>
      </c>
      <c r="O92" s="39" t="s">
        <v>49</v>
      </c>
      <c r="P92" s="210"/>
      <c r="Q92" s="19">
        <v>45</v>
      </c>
      <c r="R92" s="15">
        <f>Q92/I92</f>
        <v>0.22500000000000001</v>
      </c>
      <c r="S92" s="5">
        <v>23</v>
      </c>
      <c r="U92" s="109" t="s">
        <v>129</v>
      </c>
      <c r="V92" s="71" t="s">
        <v>360</v>
      </c>
      <c r="W92" s="20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</row>
    <row r="93" spans="1:34">
      <c r="A93" s="165" t="s">
        <v>1383</v>
      </c>
      <c r="B93" s="39" t="s">
        <v>63</v>
      </c>
      <c r="C93" s="192">
        <v>46168</v>
      </c>
      <c r="D93" s="144">
        <v>0.91666666666666663</v>
      </c>
      <c r="E93" s="43"/>
      <c r="F93" s="8" t="s">
        <v>909</v>
      </c>
      <c r="G93" s="2">
        <v>1</v>
      </c>
      <c r="H93" s="2">
        <v>9</v>
      </c>
      <c r="I93" s="37">
        <v>135</v>
      </c>
      <c r="J93" s="2" t="s">
        <v>766</v>
      </c>
      <c r="K93" s="88" t="s">
        <v>813</v>
      </c>
      <c r="L93" s="89">
        <v>10000</v>
      </c>
      <c r="M93" s="202">
        <v>15</v>
      </c>
      <c r="N93" s="132" t="s">
        <v>821</v>
      </c>
      <c r="O93" s="39" t="s">
        <v>49</v>
      </c>
      <c r="P93" s="210"/>
      <c r="Q93" s="19">
        <v>35</v>
      </c>
      <c r="R93" s="15">
        <f>Q93/I93</f>
        <v>0.25925925925925924</v>
      </c>
      <c r="S93" s="5">
        <v>22</v>
      </c>
      <c r="U93" s="109" t="s">
        <v>767</v>
      </c>
      <c r="V93" s="71" t="s">
        <v>362</v>
      </c>
      <c r="W93" s="8" t="s">
        <v>369</v>
      </c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</row>
    <row r="94" spans="1:34">
      <c r="A94" s="96" t="s">
        <v>461</v>
      </c>
      <c r="B94" s="96" t="s">
        <v>462</v>
      </c>
      <c r="C94" s="40">
        <v>46168</v>
      </c>
      <c r="D94" s="42">
        <v>0.92361111111111116</v>
      </c>
      <c r="E94" s="43"/>
      <c r="F94" s="8" t="s">
        <v>456</v>
      </c>
      <c r="G94" s="2">
        <v>1</v>
      </c>
      <c r="I94" s="125">
        <v>120</v>
      </c>
      <c r="J94" s="2" t="s">
        <v>766</v>
      </c>
      <c r="K94" s="109" t="s">
        <v>737</v>
      </c>
      <c r="L94" s="8">
        <v>20000</v>
      </c>
      <c r="M94" s="202">
        <v>15</v>
      </c>
      <c r="N94" s="39" t="s">
        <v>48</v>
      </c>
      <c r="O94" s="39" t="s">
        <v>49</v>
      </c>
      <c r="P94" s="135" t="s">
        <v>827</v>
      </c>
      <c r="Q94" s="19">
        <v>24</v>
      </c>
      <c r="R94" s="15">
        <f>Q94/I94</f>
        <v>0.2</v>
      </c>
      <c r="S94" s="5">
        <f>($AC94*$AD94)/(($Z94/$Y94)+($AA94/$Z94)+($AB94/$AA94))</f>
        <v>25.161290322580644</v>
      </c>
      <c r="U94" s="109" t="s">
        <v>463</v>
      </c>
      <c r="V94" s="2" t="s">
        <v>735</v>
      </c>
      <c r="W94" s="96" t="s">
        <v>464</v>
      </c>
      <c r="Y94" s="2">
        <v>2.5</v>
      </c>
      <c r="Z94" s="2">
        <v>7.5</v>
      </c>
      <c r="AA94" s="2">
        <v>30</v>
      </c>
      <c r="AB94" s="2">
        <v>100</v>
      </c>
      <c r="AC94" s="2">
        <v>13</v>
      </c>
      <c r="AD94" s="2">
        <v>20</v>
      </c>
      <c r="AE94" s="2">
        <f>AC94*AD94</f>
        <v>260</v>
      </c>
      <c r="AF94" s="2">
        <f>Z94/Y94</f>
        <v>3</v>
      </c>
      <c r="AG94" s="2">
        <f>AA94/Z94</f>
        <v>4</v>
      </c>
      <c r="AH94" s="2">
        <f>AB94/AA94</f>
        <v>3.3333333333333335</v>
      </c>
    </row>
    <row r="95" spans="1:34">
      <c r="A95" s="165" t="s">
        <v>1383</v>
      </c>
      <c r="B95" s="36" t="s">
        <v>63</v>
      </c>
      <c r="C95" s="192">
        <v>46168</v>
      </c>
      <c r="D95" s="144" t="s">
        <v>115</v>
      </c>
      <c r="E95" s="35">
        <v>1</v>
      </c>
      <c r="F95" s="8" t="s">
        <v>931</v>
      </c>
      <c r="G95" s="2">
        <v>3</v>
      </c>
      <c r="H95" s="2">
        <v>9</v>
      </c>
      <c r="I95" s="37">
        <v>550</v>
      </c>
      <c r="J95" s="2" t="s">
        <v>763</v>
      </c>
      <c r="K95" s="109" t="s">
        <v>815</v>
      </c>
      <c r="L95" s="89">
        <v>25000</v>
      </c>
      <c r="M95" s="202" t="s">
        <v>22</v>
      </c>
      <c r="N95" s="39" t="s">
        <v>48</v>
      </c>
      <c r="O95" s="39" t="s">
        <v>49</v>
      </c>
      <c r="P95" s="210"/>
      <c r="Q95" s="19">
        <f>R95*I95</f>
        <v>93.5</v>
      </c>
      <c r="R95" s="15">
        <v>0.17</v>
      </c>
      <c r="S95" s="5">
        <v>69</v>
      </c>
      <c r="U95" s="109" t="s">
        <v>55</v>
      </c>
      <c r="V95" s="205" t="s">
        <v>121</v>
      </c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</row>
    <row r="96" spans="1:34">
      <c r="A96" s="165" t="s">
        <v>1383</v>
      </c>
      <c r="B96" s="36" t="s">
        <v>63</v>
      </c>
      <c r="C96" s="192">
        <v>46168</v>
      </c>
      <c r="D96" s="144" t="s">
        <v>116</v>
      </c>
      <c r="E96">
        <v>2</v>
      </c>
      <c r="F96" s="8" t="s">
        <v>932</v>
      </c>
      <c r="G96" s="2">
        <v>4</v>
      </c>
      <c r="H96" s="2">
        <v>8</v>
      </c>
      <c r="I96" s="37">
        <v>5000</v>
      </c>
      <c r="J96" s="2" t="s">
        <v>760</v>
      </c>
      <c r="K96" s="109" t="s">
        <v>601</v>
      </c>
      <c r="L96" s="89">
        <v>50000</v>
      </c>
      <c r="M96" s="54">
        <v>60</v>
      </c>
      <c r="N96" s="39" t="s">
        <v>48</v>
      </c>
      <c r="O96" s="39" t="s">
        <v>49</v>
      </c>
      <c r="P96" s="210"/>
      <c r="Q96" s="19">
        <f>R96*I96</f>
        <v>400</v>
      </c>
      <c r="R96" s="15">
        <v>0.08</v>
      </c>
      <c r="S96" s="5">
        <v>162</v>
      </c>
      <c r="U96" s="109" t="s">
        <v>767</v>
      </c>
      <c r="V96" s="2" t="s">
        <v>121</v>
      </c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</row>
    <row r="97" spans="1:34">
      <c r="A97" s="95" t="s">
        <v>447</v>
      </c>
      <c r="B97" s="95" t="s">
        <v>448</v>
      </c>
      <c r="C97" s="40">
        <v>46169</v>
      </c>
      <c r="D97" s="42">
        <v>0.41666666666666669</v>
      </c>
      <c r="E97" s="43"/>
      <c r="F97" s="8" t="s">
        <v>401</v>
      </c>
      <c r="G97" s="2">
        <v>1</v>
      </c>
      <c r="H97" s="2">
        <v>9</v>
      </c>
      <c r="I97" s="125">
        <v>160</v>
      </c>
      <c r="J97" s="2" t="s">
        <v>766</v>
      </c>
      <c r="K97" s="109" t="s">
        <v>602</v>
      </c>
      <c r="L97" s="8">
        <v>20000</v>
      </c>
      <c r="M97" s="8">
        <v>15</v>
      </c>
      <c r="N97" s="39" t="s">
        <v>61</v>
      </c>
      <c r="O97" s="39" t="s">
        <v>49</v>
      </c>
      <c r="P97" s="131" t="s">
        <v>228</v>
      </c>
      <c r="Q97" s="19">
        <v>35</v>
      </c>
      <c r="R97" s="15">
        <f>Q97/I97</f>
        <v>0.21875</v>
      </c>
      <c r="S97" s="5">
        <f>($AC97*$AD97)/(($Z97/$Y97)+($AA97/$Z97)+($AB97/$AA97))</f>
        <v>23.333333333333332</v>
      </c>
      <c r="U97" s="109" t="s">
        <v>129</v>
      </c>
      <c r="V97" s="205" t="s">
        <v>741</v>
      </c>
      <c r="W97" s="116" t="s">
        <v>744</v>
      </c>
      <c r="Y97" s="2">
        <v>2</v>
      </c>
      <c r="Z97" s="2">
        <v>5</v>
      </c>
      <c r="AA97" s="2">
        <v>20</v>
      </c>
      <c r="AB97" s="2">
        <v>50</v>
      </c>
      <c r="AC97" s="2">
        <v>14</v>
      </c>
      <c r="AD97" s="2">
        <v>15</v>
      </c>
      <c r="AE97" s="2">
        <f>AC97*AD97</f>
        <v>210</v>
      </c>
      <c r="AF97" s="2">
        <f>Z97/Y97</f>
        <v>2.5</v>
      </c>
      <c r="AG97" s="2">
        <f>AA97/Z97</f>
        <v>4</v>
      </c>
      <c r="AH97" s="2">
        <f>AB97/AA97</f>
        <v>2.5</v>
      </c>
    </row>
    <row r="98" spans="1:34">
      <c r="A98" s="96" t="s">
        <v>461</v>
      </c>
      <c r="B98" s="96" t="s">
        <v>462</v>
      </c>
      <c r="C98" s="40">
        <v>46169</v>
      </c>
      <c r="D98" s="42">
        <v>0.4236111111111111</v>
      </c>
      <c r="E98" s="43"/>
      <c r="F98" s="8" t="s">
        <v>471</v>
      </c>
      <c r="G98" s="2">
        <v>2</v>
      </c>
      <c r="I98" s="125">
        <v>300</v>
      </c>
      <c r="J98" s="2" t="s">
        <v>766</v>
      </c>
      <c r="K98" s="109" t="s">
        <v>598</v>
      </c>
      <c r="L98" s="8">
        <v>30000</v>
      </c>
      <c r="M98" s="202">
        <v>30</v>
      </c>
      <c r="N98" s="39" t="s">
        <v>48</v>
      </c>
      <c r="O98" s="39" t="s">
        <v>49</v>
      </c>
      <c r="P98" s="135" t="s">
        <v>842</v>
      </c>
      <c r="Q98" s="19">
        <v>65</v>
      </c>
      <c r="R98" s="15">
        <f>Q98/I98</f>
        <v>0.21666666666666667</v>
      </c>
      <c r="S98" s="5">
        <f>($AC98*$AD98)/(($Z98/$Y98)+($AA98/$Z98)+($AB98/$AA98))</f>
        <v>53.333333333333336</v>
      </c>
      <c r="U98" s="109" t="s">
        <v>767</v>
      </c>
      <c r="V98" s="205" t="s">
        <v>735</v>
      </c>
      <c r="W98" s="205"/>
      <c r="Y98" s="2">
        <v>2</v>
      </c>
      <c r="Z98" s="2">
        <v>5</v>
      </c>
      <c r="AA98" s="2">
        <v>20</v>
      </c>
      <c r="AB98" s="2">
        <v>50</v>
      </c>
      <c r="AC98" s="2">
        <v>16</v>
      </c>
      <c r="AD98" s="2">
        <v>30</v>
      </c>
      <c r="AE98" s="2">
        <f>AC98*AD98</f>
        <v>480</v>
      </c>
      <c r="AF98" s="2">
        <f>Z98/Y98</f>
        <v>2.5</v>
      </c>
      <c r="AG98" s="2">
        <f>AA98/Z98</f>
        <v>4</v>
      </c>
      <c r="AH98" s="2">
        <f>AB98/AA98</f>
        <v>2.5</v>
      </c>
    </row>
    <row r="99" spans="1:34">
      <c r="A99" s="52" t="s">
        <v>229</v>
      </c>
      <c r="B99" s="52" t="s">
        <v>230</v>
      </c>
      <c r="C99" s="40">
        <v>46169</v>
      </c>
      <c r="D99" s="42">
        <v>0.45833333333333331</v>
      </c>
      <c r="E99" s="43"/>
      <c r="F99" s="8" t="s">
        <v>242</v>
      </c>
      <c r="G99" s="2">
        <v>1</v>
      </c>
      <c r="I99" s="125">
        <v>200</v>
      </c>
      <c r="J99" s="2" t="s">
        <v>766</v>
      </c>
      <c r="K99" s="88" t="s">
        <v>775</v>
      </c>
      <c r="L99" s="90">
        <v>25000</v>
      </c>
      <c r="M99" s="46" t="s">
        <v>128</v>
      </c>
      <c r="N99" s="39" t="s">
        <v>48</v>
      </c>
      <c r="O99" s="39" t="s">
        <v>49</v>
      </c>
      <c r="P99" s="135" t="s">
        <v>832</v>
      </c>
      <c r="Q99" s="19">
        <v>40</v>
      </c>
      <c r="R99" s="15">
        <f>IF(Q99&gt;0,Q99/I99,"")</f>
        <v>0.2</v>
      </c>
      <c r="S99" s="5">
        <f>($AC99*$AD99)/(($Z99/$Y99)+($AA99/$Z99)+($AB99/$AA99))</f>
        <v>28.333333333333332</v>
      </c>
      <c r="U99" s="109" t="s">
        <v>767</v>
      </c>
      <c r="V99" s="10" t="s">
        <v>719</v>
      </c>
      <c r="W99" s="205"/>
      <c r="Y99" s="2">
        <v>2</v>
      </c>
      <c r="Z99" s="2">
        <v>5</v>
      </c>
      <c r="AA99" s="2">
        <v>20</v>
      </c>
      <c r="AB99" s="2">
        <v>50</v>
      </c>
      <c r="AC99" s="2">
        <v>255</v>
      </c>
      <c r="AD99" s="2">
        <v>1</v>
      </c>
      <c r="AE99" s="2">
        <f>AC99*AD99</f>
        <v>255</v>
      </c>
      <c r="AF99" s="2">
        <f>Z99/Y99</f>
        <v>2.5</v>
      </c>
      <c r="AG99" s="2">
        <f>AA99/Z99</f>
        <v>4</v>
      </c>
      <c r="AH99" s="2">
        <f>AB99/AA99</f>
        <v>2.5</v>
      </c>
    </row>
    <row r="100" spans="1:34">
      <c r="A100" s="52" t="s">
        <v>220</v>
      </c>
      <c r="B100" s="52" t="s">
        <v>221</v>
      </c>
      <c r="C100" s="48">
        <v>46169</v>
      </c>
      <c r="D100" s="42">
        <v>0.45833333333333331</v>
      </c>
      <c r="E100" s="43"/>
      <c r="F100" s="8" t="s">
        <v>1082</v>
      </c>
      <c r="G100" s="2">
        <v>2</v>
      </c>
      <c r="H100" s="2">
        <v>9</v>
      </c>
      <c r="I100" s="125">
        <v>1100</v>
      </c>
      <c r="J100" s="2" t="s">
        <v>766</v>
      </c>
      <c r="K100" s="88" t="s">
        <v>791</v>
      </c>
      <c r="L100" s="90">
        <v>40000</v>
      </c>
      <c r="M100" s="64">
        <v>40</v>
      </c>
      <c r="N100" s="39" t="s">
        <v>48</v>
      </c>
      <c r="O100" s="39" t="s">
        <v>49</v>
      </c>
      <c r="P100" s="135" t="s">
        <v>843</v>
      </c>
      <c r="Q100" s="19">
        <v>135</v>
      </c>
      <c r="R100" s="15">
        <f>Q100/I100</f>
        <v>0.12272727272727273</v>
      </c>
      <c r="S100" s="5">
        <f>($AC100*$AD100)/(($Z100/$Y100)+($AA100/$Z100)+($AB100/$AA100))</f>
        <v>102.59605399792316</v>
      </c>
      <c r="U100" s="109" t="s">
        <v>54</v>
      </c>
      <c r="V100" s="2" t="s">
        <v>738</v>
      </c>
      <c r="Y100" s="2">
        <v>2</v>
      </c>
      <c r="Z100" s="2">
        <v>5</v>
      </c>
      <c r="AA100" s="2">
        <v>13</v>
      </c>
      <c r="AB100" s="2">
        <v>30</v>
      </c>
      <c r="AC100" s="2">
        <v>19</v>
      </c>
      <c r="AD100" s="2">
        <v>40</v>
      </c>
      <c r="AE100" s="2">
        <f>AC100*AD100</f>
        <v>760</v>
      </c>
      <c r="AF100" s="2">
        <f>Z100/Y100</f>
        <v>2.5</v>
      </c>
      <c r="AG100" s="2">
        <f>AA100/Z100</f>
        <v>2.6</v>
      </c>
      <c r="AH100" s="2">
        <f>AB100/AA100</f>
        <v>2.3076923076923075</v>
      </c>
    </row>
    <row r="101" spans="1:34">
      <c r="A101" s="68" t="s">
        <v>357</v>
      </c>
      <c r="B101" s="68" t="s">
        <v>358</v>
      </c>
      <c r="C101" s="48">
        <v>46169</v>
      </c>
      <c r="D101" s="42">
        <v>0.46527777777777779</v>
      </c>
      <c r="E101" s="194">
        <v>17</v>
      </c>
      <c r="F101" s="63" t="s">
        <v>290</v>
      </c>
      <c r="G101" s="2">
        <v>1</v>
      </c>
      <c r="H101" s="2">
        <v>9</v>
      </c>
      <c r="I101" s="125">
        <v>600</v>
      </c>
      <c r="J101" s="2" t="s">
        <v>766</v>
      </c>
      <c r="K101" s="137" t="s">
        <v>815</v>
      </c>
      <c r="L101" s="89">
        <v>30000</v>
      </c>
      <c r="M101" s="202">
        <v>30</v>
      </c>
      <c r="N101" s="39" t="s">
        <v>48</v>
      </c>
      <c r="O101" s="39" t="s">
        <v>49</v>
      </c>
      <c r="P101" s="212" t="s">
        <v>836</v>
      </c>
      <c r="Q101" s="19">
        <v>90</v>
      </c>
      <c r="R101" s="15">
        <f>Q101/I101</f>
        <v>0.15</v>
      </c>
      <c r="S101" s="5">
        <f>($AC101*$AD101)/(($Z101/$Y101)+($AA101/$Z101)+($AB101/$AA101))</f>
        <v>67.332430602572785</v>
      </c>
      <c r="U101" s="109" t="s">
        <v>219</v>
      </c>
      <c r="V101" s="205" t="s">
        <v>661</v>
      </c>
      <c r="W101" s="220" t="s">
        <v>389</v>
      </c>
      <c r="Y101" s="2">
        <v>2.5</v>
      </c>
      <c r="Z101" s="2">
        <v>6.5</v>
      </c>
      <c r="AA101" s="2">
        <v>15</v>
      </c>
      <c r="AB101" s="2">
        <v>40</v>
      </c>
      <c r="AC101" s="2">
        <v>30</v>
      </c>
      <c r="AD101" s="2">
        <v>17</v>
      </c>
      <c r="AE101" s="2">
        <f>AC101*AD101</f>
        <v>510</v>
      </c>
      <c r="AF101" s="2">
        <f>Z101/Y101</f>
        <v>2.6</v>
      </c>
      <c r="AG101" s="2">
        <f>AA101/Z101</f>
        <v>2.3076923076923075</v>
      </c>
      <c r="AH101" s="2">
        <f>AB101/AA101</f>
        <v>2.6666666666666665</v>
      </c>
    </row>
    <row r="102" spans="1:34">
      <c r="A102" s="165" t="s">
        <v>1383</v>
      </c>
      <c r="B102" s="39" t="s">
        <v>63</v>
      </c>
      <c r="C102" s="40">
        <v>46169</v>
      </c>
      <c r="D102" s="144">
        <v>0.5</v>
      </c>
      <c r="E102" s="43"/>
      <c r="F102" s="8" t="s">
        <v>130</v>
      </c>
      <c r="G102" s="2">
        <v>1</v>
      </c>
      <c r="H102" s="2">
        <v>9</v>
      </c>
      <c r="I102" s="125">
        <v>70</v>
      </c>
      <c r="J102" s="2" t="s">
        <v>766</v>
      </c>
      <c r="K102" s="88" t="s">
        <v>771</v>
      </c>
      <c r="L102" s="90">
        <v>10000</v>
      </c>
      <c r="M102" s="8">
        <v>10</v>
      </c>
      <c r="N102" s="132" t="s">
        <v>821</v>
      </c>
      <c r="O102" s="39" t="s">
        <v>49</v>
      </c>
      <c r="Q102" s="19">
        <v>20</v>
      </c>
      <c r="R102" s="15">
        <f>Q102/I102</f>
        <v>0.2857142857142857</v>
      </c>
      <c r="S102" s="5">
        <v>15</v>
      </c>
      <c r="U102" s="109" t="s">
        <v>767</v>
      </c>
      <c r="V102" s="71" t="s">
        <v>362</v>
      </c>
      <c r="W102" s="46" t="s">
        <v>139</v>
      </c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</row>
    <row r="103" spans="1:34">
      <c r="A103" s="52" t="s">
        <v>229</v>
      </c>
      <c r="B103" s="52" t="s">
        <v>230</v>
      </c>
      <c r="C103" s="40">
        <v>46169</v>
      </c>
      <c r="D103" s="42">
        <v>0.5</v>
      </c>
      <c r="E103" s="43"/>
      <c r="F103" s="8" t="s">
        <v>248</v>
      </c>
      <c r="G103" s="2">
        <v>1</v>
      </c>
      <c r="I103" s="37">
        <v>600</v>
      </c>
      <c r="J103" s="2" t="s">
        <v>766</v>
      </c>
      <c r="K103" s="88" t="s">
        <v>788</v>
      </c>
      <c r="L103" s="90">
        <v>40000</v>
      </c>
      <c r="M103" s="46" t="s">
        <v>22</v>
      </c>
      <c r="N103" s="39" t="s">
        <v>48</v>
      </c>
      <c r="O103" s="39" t="s">
        <v>57</v>
      </c>
      <c r="P103" s="19">
        <v>50000</v>
      </c>
      <c r="Q103" s="2">
        <v>85</v>
      </c>
      <c r="R103" s="15">
        <f>IF(Q103&gt;0,Q103/I103,"")</f>
        <v>0.14166666666666666</v>
      </c>
      <c r="S103" s="149" t="s">
        <v>110</v>
      </c>
      <c r="T103" s="149"/>
      <c r="U103" s="109" t="s">
        <v>767</v>
      </c>
      <c r="V103" s="2" t="s">
        <v>719</v>
      </c>
      <c r="W103" s="205"/>
      <c r="AE103" s="2">
        <f>AC103*AD103</f>
        <v>0</v>
      </c>
      <c r="AF103" s="2" t="e">
        <f>Z103/Y103</f>
        <v>#DIV/0!</v>
      </c>
      <c r="AG103" s="2" t="e">
        <f>AA103/Z103</f>
        <v>#DIV/0!</v>
      </c>
      <c r="AH103" s="2" t="e">
        <f>AB103/AA103</f>
        <v>#DIV/0!</v>
      </c>
    </row>
    <row r="104" spans="1:34">
      <c r="A104" s="95" t="s">
        <v>447</v>
      </c>
      <c r="B104" s="95" t="s">
        <v>448</v>
      </c>
      <c r="C104" s="40">
        <v>46169</v>
      </c>
      <c r="D104" s="42">
        <v>0.54166666666666663</v>
      </c>
      <c r="E104" s="43"/>
      <c r="F104" s="8" t="s">
        <v>433</v>
      </c>
      <c r="G104" s="2">
        <v>1</v>
      </c>
      <c r="H104" s="2">
        <v>9</v>
      </c>
      <c r="I104" s="125">
        <v>1100</v>
      </c>
      <c r="J104" s="2" t="s">
        <v>766</v>
      </c>
      <c r="K104" s="109" t="s">
        <v>602</v>
      </c>
      <c r="L104" s="8">
        <v>30000</v>
      </c>
      <c r="M104" s="8">
        <v>30</v>
      </c>
      <c r="N104" s="39" t="s">
        <v>48</v>
      </c>
      <c r="O104" s="39" t="s">
        <v>49</v>
      </c>
      <c r="P104" s="135" t="s">
        <v>841</v>
      </c>
      <c r="Q104" s="19">
        <v>135</v>
      </c>
      <c r="R104" s="15">
        <f>Q104/I104</f>
        <v>0.12272727272727273</v>
      </c>
      <c r="S104" s="5">
        <f>($AC104*$AD104)/(($Z104/$Y104)+($AA104/$Z104)+($AB104/$AA104))</f>
        <v>72.897196261682254</v>
      </c>
      <c r="U104" s="109" t="s">
        <v>55</v>
      </c>
      <c r="V104" s="2" t="s">
        <v>741</v>
      </c>
      <c r="W104" s="250" t="s">
        <v>752</v>
      </c>
      <c r="Y104" s="2">
        <v>2</v>
      </c>
      <c r="Z104" s="2">
        <v>5</v>
      </c>
      <c r="AA104" s="2">
        <v>13</v>
      </c>
      <c r="AB104" s="2">
        <v>30</v>
      </c>
      <c r="AC104" s="2">
        <v>18</v>
      </c>
      <c r="AD104" s="2">
        <v>30</v>
      </c>
      <c r="AE104" s="2">
        <f>AC104*AD104</f>
        <v>540</v>
      </c>
      <c r="AF104" s="2">
        <f>Z104/Y104</f>
        <v>2.5</v>
      </c>
      <c r="AG104" s="2">
        <f>AA104/Z104</f>
        <v>2.6</v>
      </c>
      <c r="AH104" s="2">
        <f>AB104/AA104</f>
        <v>2.3076923076923075</v>
      </c>
    </row>
    <row r="105" spans="1:34">
      <c r="A105" s="165" t="s">
        <v>1383</v>
      </c>
      <c r="B105" s="36" t="s">
        <v>63</v>
      </c>
      <c r="C105" s="192">
        <v>46169</v>
      </c>
      <c r="D105" s="144">
        <v>0.54166666666666663</v>
      </c>
      <c r="E105" s="194">
        <v>2</v>
      </c>
      <c r="F105" s="8" t="s">
        <v>1187</v>
      </c>
      <c r="G105" s="2">
        <v>4</v>
      </c>
      <c r="H105" s="2">
        <v>8</v>
      </c>
      <c r="I105" s="37">
        <v>5000</v>
      </c>
      <c r="J105" s="2" t="s">
        <v>760</v>
      </c>
      <c r="K105" s="109" t="s">
        <v>601</v>
      </c>
      <c r="L105" s="89">
        <v>50000</v>
      </c>
      <c r="M105" s="202">
        <v>60</v>
      </c>
      <c r="N105" s="39" t="s">
        <v>48</v>
      </c>
      <c r="O105" s="39" t="s">
        <v>49</v>
      </c>
      <c r="Q105" s="19">
        <f>R105*I105</f>
        <v>400</v>
      </c>
      <c r="R105" s="15">
        <v>0.08</v>
      </c>
      <c r="S105" s="5">
        <v>162</v>
      </c>
      <c r="U105" s="109" t="s">
        <v>767</v>
      </c>
      <c r="V105" s="205" t="s">
        <v>121</v>
      </c>
      <c r="W105" s="20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</row>
    <row r="106" spans="1:34">
      <c r="A106" s="165" t="s">
        <v>1383</v>
      </c>
      <c r="B106" s="39" t="s">
        <v>63</v>
      </c>
      <c r="C106" s="192">
        <v>46169</v>
      </c>
      <c r="D106" s="144">
        <v>0.54166666666666663</v>
      </c>
      <c r="E106" s="194"/>
      <c r="F106" s="8" t="s">
        <v>881</v>
      </c>
      <c r="G106" s="2">
        <v>1</v>
      </c>
      <c r="H106" s="2">
        <v>9</v>
      </c>
      <c r="I106" s="37">
        <v>250</v>
      </c>
      <c r="J106" s="2" t="s">
        <v>766</v>
      </c>
      <c r="K106" s="88" t="s">
        <v>787</v>
      </c>
      <c r="L106" s="89">
        <v>25000</v>
      </c>
      <c r="M106" s="205">
        <v>30</v>
      </c>
      <c r="N106" s="39" t="s">
        <v>817</v>
      </c>
      <c r="O106" s="39" t="s">
        <v>49</v>
      </c>
      <c r="P106" s="210"/>
      <c r="Q106" s="19">
        <v>50</v>
      </c>
      <c r="R106" s="15">
        <f>Q106/I106</f>
        <v>0.2</v>
      </c>
      <c r="S106" s="5">
        <v>44</v>
      </c>
      <c r="U106" s="109" t="s">
        <v>767</v>
      </c>
      <c r="V106" s="71" t="s">
        <v>360</v>
      </c>
      <c r="W106" s="20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</row>
    <row r="107" spans="1:34">
      <c r="A107" s="52" t="s">
        <v>220</v>
      </c>
      <c r="B107" s="52" t="s">
        <v>221</v>
      </c>
      <c r="C107" s="48">
        <v>46169</v>
      </c>
      <c r="D107" s="42">
        <v>0.54166666666666663</v>
      </c>
      <c r="E107" s="43"/>
      <c r="F107" s="8" t="s">
        <v>1300</v>
      </c>
      <c r="G107" s="2">
        <v>2</v>
      </c>
      <c r="H107" s="2">
        <v>9</v>
      </c>
      <c r="I107" s="125">
        <v>1100</v>
      </c>
      <c r="J107" s="2" t="s">
        <v>766</v>
      </c>
      <c r="K107" s="109" t="s">
        <v>767</v>
      </c>
      <c r="L107" s="90">
        <v>40000</v>
      </c>
      <c r="M107" s="64" t="s">
        <v>113</v>
      </c>
      <c r="N107" s="39" t="s">
        <v>48</v>
      </c>
      <c r="O107" s="39" t="s">
        <v>49</v>
      </c>
      <c r="P107" s="135" t="s">
        <v>846</v>
      </c>
      <c r="Q107" s="19">
        <v>135</v>
      </c>
      <c r="R107" s="15">
        <f>Q107/I107</f>
        <v>0.12272727272727273</v>
      </c>
      <c r="S107" s="5">
        <f>($AC107*$AD107)/(($Z107/$Y107)+($AA107/$Z107)+($AB107/$AA107))</f>
        <v>66.122448979591837</v>
      </c>
      <c r="U107" s="109" t="s">
        <v>767</v>
      </c>
      <c r="V107" s="2" t="s">
        <v>738</v>
      </c>
      <c r="Y107" s="2">
        <v>2</v>
      </c>
      <c r="Z107" s="2">
        <v>5</v>
      </c>
      <c r="AA107" s="2">
        <v>15</v>
      </c>
      <c r="AB107" s="2">
        <v>40</v>
      </c>
      <c r="AC107" s="2">
        <v>18</v>
      </c>
      <c r="AD107" s="2">
        <v>30</v>
      </c>
      <c r="AE107" s="2">
        <f>AC107*AD107</f>
        <v>540</v>
      </c>
      <c r="AF107" s="2">
        <f>Z107/Y107</f>
        <v>2.5</v>
      </c>
      <c r="AG107" s="2">
        <f>AA107/Z107</f>
        <v>3</v>
      </c>
      <c r="AH107" s="2">
        <f>AB107/AA107</f>
        <v>2.6666666666666665</v>
      </c>
    </row>
    <row r="108" spans="1:34">
      <c r="A108" s="165" t="s">
        <v>1383</v>
      </c>
      <c r="B108" s="39" t="s">
        <v>63</v>
      </c>
      <c r="C108" s="192">
        <v>46169</v>
      </c>
      <c r="D108" s="144">
        <v>0.625</v>
      </c>
      <c r="E108" s="43"/>
      <c r="F108" s="8" t="s">
        <v>912</v>
      </c>
      <c r="G108" s="2">
        <v>1</v>
      </c>
      <c r="H108" s="2">
        <v>9</v>
      </c>
      <c r="I108" s="37">
        <v>240</v>
      </c>
      <c r="J108" s="2" t="s">
        <v>766</v>
      </c>
      <c r="K108" s="88" t="s">
        <v>784</v>
      </c>
      <c r="L108" s="89">
        <v>10000</v>
      </c>
      <c r="M108" s="202">
        <v>20</v>
      </c>
      <c r="N108" s="132" t="s">
        <v>821</v>
      </c>
      <c r="O108" s="39" t="s">
        <v>49</v>
      </c>
      <c r="P108" s="210"/>
      <c r="Q108" s="19">
        <v>40</v>
      </c>
      <c r="R108" s="15">
        <v>0.16666666666666666</v>
      </c>
      <c r="S108" s="5">
        <v>29</v>
      </c>
      <c r="U108" s="109" t="s">
        <v>767</v>
      </c>
      <c r="V108" s="71" t="s">
        <v>362</v>
      </c>
      <c r="W108" s="8" t="s">
        <v>367</v>
      </c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</row>
    <row r="109" spans="1:34">
      <c r="A109" s="165" t="s">
        <v>1383</v>
      </c>
      <c r="B109" s="39" t="s">
        <v>63</v>
      </c>
      <c r="C109" s="192">
        <v>46169</v>
      </c>
      <c r="D109" s="144">
        <v>0.625</v>
      </c>
      <c r="E109" s="194"/>
      <c r="F109" s="8" t="s">
        <v>126</v>
      </c>
      <c r="G109" s="2">
        <v>1</v>
      </c>
      <c r="I109" s="37">
        <v>250</v>
      </c>
      <c r="J109" s="2" t="s">
        <v>766</v>
      </c>
      <c r="K109" s="88" t="s">
        <v>793</v>
      </c>
      <c r="L109" s="89">
        <v>25000</v>
      </c>
      <c r="M109" s="205">
        <v>30</v>
      </c>
      <c r="N109" s="39" t="s">
        <v>822</v>
      </c>
      <c r="O109" s="39" t="s">
        <v>57</v>
      </c>
      <c r="P109" s="213"/>
      <c r="Q109" s="2">
        <v>50</v>
      </c>
      <c r="R109" s="15">
        <f>Q109/I109</f>
        <v>0.2</v>
      </c>
      <c r="S109" s="149" t="s">
        <v>110</v>
      </c>
      <c r="T109" s="149"/>
      <c r="U109" s="109" t="s">
        <v>767</v>
      </c>
      <c r="V109" s="71" t="s">
        <v>360</v>
      </c>
      <c r="AE109" s="2" t="e">
        <f>AD109*#REF!</f>
        <v>#REF!</v>
      </c>
      <c r="AF109" s="2" t="e">
        <f>Z109/Y109</f>
        <v>#DIV/0!</v>
      </c>
      <c r="AG109" s="2" t="e">
        <f>AA109/Z109</f>
        <v>#DIV/0!</v>
      </c>
      <c r="AH109" s="2" t="e">
        <f>AC109/AA109</f>
        <v>#DIV/0!</v>
      </c>
    </row>
    <row r="110" spans="1:34">
      <c r="A110" s="165" t="s">
        <v>1383</v>
      </c>
      <c r="B110" s="39" t="s">
        <v>63</v>
      </c>
      <c r="C110" s="192">
        <v>46169</v>
      </c>
      <c r="D110" s="144">
        <v>0.66666666666666663</v>
      </c>
      <c r="E110" s="194"/>
      <c r="F110" s="8" t="s">
        <v>1024</v>
      </c>
      <c r="G110" s="2">
        <v>1</v>
      </c>
      <c r="H110" s="2">
        <v>9</v>
      </c>
      <c r="I110" s="37">
        <v>400</v>
      </c>
      <c r="J110" s="2" t="s">
        <v>766</v>
      </c>
      <c r="K110" s="88" t="s">
        <v>794</v>
      </c>
      <c r="L110" s="89">
        <v>30000</v>
      </c>
      <c r="M110" s="205">
        <v>20</v>
      </c>
      <c r="N110" s="39" t="s">
        <v>817</v>
      </c>
      <c r="O110" s="39" t="s">
        <v>49</v>
      </c>
      <c r="Q110" s="19">
        <v>70</v>
      </c>
      <c r="R110" s="15">
        <f>Q110/I110</f>
        <v>0.17499999999999999</v>
      </c>
      <c r="S110" s="5">
        <v>37</v>
      </c>
      <c r="U110" s="109" t="s">
        <v>129</v>
      </c>
      <c r="V110" s="71" t="s">
        <v>360</v>
      </c>
      <c r="W110" s="20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</row>
    <row r="111" spans="1:34">
      <c r="A111" s="52" t="s">
        <v>229</v>
      </c>
      <c r="B111" s="52" t="s">
        <v>230</v>
      </c>
      <c r="C111" s="40">
        <v>46169</v>
      </c>
      <c r="D111" s="42">
        <v>0.66666666666666663</v>
      </c>
      <c r="E111" s="43"/>
      <c r="F111" s="8" t="s">
        <v>717</v>
      </c>
      <c r="G111" s="2">
        <v>1</v>
      </c>
      <c r="I111" s="125">
        <v>125</v>
      </c>
      <c r="J111" s="2" t="s">
        <v>766</v>
      </c>
      <c r="K111" s="88" t="s">
        <v>795</v>
      </c>
      <c r="L111" s="90">
        <v>20000</v>
      </c>
      <c r="M111" s="8">
        <v>20</v>
      </c>
      <c r="N111" s="39" t="s">
        <v>48</v>
      </c>
      <c r="O111" s="39" t="s">
        <v>49</v>
      </c>
      <c r="Q111" s="19">
        <v>25</v>
      </c>
      <c r="R111" s="15">
        <f>IF(Q111&gt;0,Q111/I111,"")</f>
        <v>0.2</v>
      </c>
      <c r="S111" s="5">
        <f>($AC111*$AD111)/(($Z111/$Y111)+($AA111/$Z111)+($AB111/$AA111))</f>
        <v>31.111111111111111</v>
      </c>
      <c r="U111" s="109" t="s">
        <v>767</v>
      </c>
      <c r="V111" s="205" t="s">
        <v>719</v>
      </c>
      <c r="W111" s="8" t="s">
        <v>718</v>
      </c>
      <c r="Y111" s="2">
        <v>2</v>
      </c>
      <c r="Z111" s="2">
        <v>5</v>
      </c>
      <c r="AA111" s="2">
        <v>20</v>
      </c>
      <c r="AB111" s="2">
        <v>50</v>
      </c>
      <c r="AC111" s="2">
        <v>14</v>
      </c>
      <c r="AD111" s="2">
        <v>20</v>
      </c>
      <c r="AE111" s="2">
        <f>AC111*AD111</f>
        <v>280</v>
      </c>
      <c r="AF111" s="2">
        <f>Z111/Y111</f>
        <v>2.5</v>
      </c>
      <c r="AG111" s="2">
        <f>AA111/Z111</f>
        <v>4</v>
      </c>
      <c r="AH111" s="2">
        <f>AB111/AA111</f>
        <v>2.5</v>
      </c>
    </row>
    <row r="112" spans="1:34">
      <c r="A112" s="52" t="s">
        <v>229</v>
      </c>
      <c r="B112" s="52" t="s">
        <v>230</v>
      </c>
      <c r="C112" s="40">
        <v>46169</v>
      </c>
      <c r="D112" s="42">
        <v>0.75</v>
      </c>
      <c r="E112" s="43"/>
      <c r="F112" s="8" t="s">
        <v>244</v>
      </c>
      <c r="G112" s="2">
        <v>1</v>
      </c>
      <c r="I112" s="125">
        <v>200</v>
      </c>
      <c r="J112" s="2" t="s">
        <v>766</v>
      </c>
      <c r="K112" s="88" t="s">
        <v>804</v>
      </c>
      <c r="L112" s="90">
        <v>30000</v>
      </c>
      <c r="M112" s="8">
        <v>20</v>
      </c>
      <c r="N112" s="39" t="s">
        <v>48</v>
      </c>
      <c r="O112" s="39" t="s">
        <v>49</v>
      </c>
      <c r="P112" s="135" t="s">
        <v>832</v>
      </c>
      <c r="Q112" s="19">
        <v>40</v>
      </c>
      <c r="R112" s="15">
        <f>IF(Q112&gt;0,Q112/I112,"")</f>
        <v>0.2</v>
      </c>
      <c r="S112" s="5">
        <f>($AC112*$AD112)/(($Z112/$Y112)+($AA112/$Z112)+($AB112/$AA112))</f>
        <v>35.555555555555557</v>
      </c>
      <c r="U112" s="109" t="s">
        <v>767</v>
      </c>
      <c r="V112" s="2" t="s">
        <v>719</v>
      </c>
      <c r="W112" s="205"/>
      <c r="Y112" s="2">
        <v>2</v>
      </c>
      <c r="Z112" s="2">
        <v>5</v>
      </c>
      <c r="AA112" s="2">
        <v>20</v>
      </c>
      <c r="AB112" s="2">
        <v>50</v>
      </c>
      <c r="AC112" s="2">
        <v>20</v>
      </c>
      <c r="AD112" s="2">
        <v>16</v>
      </c>
      <c r="AE112" s="2">
        <f>AC112*AD112</f>
        <v>320</v>
      </c>
      <c r="AF112" s="2">
        <f>Z112/Y112</f>
        <v>2.5</v>
      </c>
      <c r="AG112" s="2">
        <f>AA112/Z112</f>
        <v>4</v>
      </c>
      <c r="AH112" s="2">
        <f>AB112/AA112</f>
        <v>2.5</v>
      </c>
    </row>
    <row r="113" spans="1:34">
      <c r="A113" s="52" t="s">
        <v>220</v>
      </c>
      <c r="B113" s="52" t="s">
        <v>221</v>
      </c>
      <c r="C113" s="48">
        <v>46169</v>
      </c>
      <c r="D113" s="42">
        <v>0.75</v>
      </c>
      <c r="E113" s="43"/>
      <c r="F113" s="8" t="s">
        <v>1073</v>
      </c>
      <c r="G113" s="2">
        <v>1</v>
      </c>
      <c r="H113" s="2">
        <v>9</v>
      </c>
      <c r="I113" s="125">
        <v>600</v>
      </c>
      <c r="J113" s="2" t="s">
        <v>766</v>
      </c>
      <c r="K113" s="88" t="s">
        <v>799</v>
      </c>
      <c r="L113" s="90">
        <v>30000</v>
      </c>
      <c r="M113" s="64">
        <v>20</v>
      </c>
      <c r="N113" s="39" t="s">
        <v>48</v>
      </c>
      <c r="O113" s="39" t="s">
        <v>49</v>
      </c>
      <c r="P113" s="212" t="s">
        <v>837</v>
      </c>
      <c r="Q113" s="19">
        <v>85</v>
      </c>
      <c r="R113" s="15">
        <f>Q113/I113</f>
        <v>0.14166666666666666</v>
      </c>
      <c r="S113" s="5">
        <f>($AC113*$AD113)/(($Z113/$Y113)+($AA113/$Z113)+($AB113/$AA113))</f>
        <v>41.632653061224495</v>
      </c>
      <c r="U113" s="109" t="s">
        <v>129</v>
      </c>
      <c r="V113" s="205" t="s">
        <v>738</v>
      </c>
      <c r="W113" s="205"/>
      <c r="Y113" s="2">
        <v>2</v>
      </c>
      <c r="Z113" s="2">
        <v>5</v>
      </c>
      <c r="AA113" s="2">
        <v>15</v>
      </c>
      <c r="AB113" s="2">
        <v>40</v>
      </c>
      <c r="AC113" s="2">
        <v>17</v>
      </c>
      <c r="AD113" s="2">
        <v>20</v>
      </c>
      <c r="AE113" s="2">
        <f>AC113*AD113</f>
        <v>340</v>
      </c>
      <c r="AF113" s="2">
        <f>Z113/Y113</f>
        <v>2.5</v>
      </c>
      <c r="AG113" s="2">
        <f>AA113/Z113</f>
        <v>3</v>
      </c>
      <c r="AH113" s="2">
        <f>AB113/AA113</f>
        <v>2.6666666666666665</v>
      </c>
    </row>
    <row r="114" spans="1:34">
      <c r="A114" s="96" t="s">
        <v>461</v>
      </c>
      <c r="B114" s="96" t="s">
        <v>462</v>
      </c>
      <c r="C114" s="40">
        <v>46169</v>
      </c>
      <c r="D114" s="42">
        <v>0.75694444444444442</v>
      </c>
      <c r="E114" s="43"/>
      <c r="F114" s="8" t="s">
        <v>472</v>
      </c>
      <c r="G114" s="2">
        <v>2</v>
      </c>
      <c r="I114" s="125">
        <v>300</v>
      </c>
      <c r="J114" s="2" t="s">
        <v>766</v>
      </c>
      <c r="K114" s="109" t="s">
        <v>598</v>
      </c>
      <c r="L114" s="8">
        <v>30000</v>
      </c>
      <c r="M114" s="202">
        <v>30</v>
      </c>
      <c r="N114" s="39" t="s">
        <v>48</v>
      </c>
      <c r="O114" s="39" t="s">
        <v>49</v>
      </c>
      <c r="P114" s="135" t="s">
        <v>842</v>
      </c>
      <c r="Q114" s="19">
        <v>65</v>
      </c>
      <c r="R114" s="15">
        <f>Q114/I114</f>
        <v>0.21666666666666667</v>
      </c>
      <c r="S114" s="5">
        <f>($AC114*$AD114)/(($Z114/$Y114)+($AA114/$Z114)+($AB114/$AA114))</f>
        <v>53.333333333333336</v>
      </c>
      <c r="U114" s="109" t="s">
        <v>767</v>
      </c>
      <c r="V114" s="205" t="s">
        <v>735</v>
      </c>
      <c r="W114" s="205"/>
      <c r="Y114" s="2">
        <v>2</v>
      </c>
      <c r="Z114" s="2">
        <v>5</v>
      </c>
      <c r="AA114" s="2">
        <v>20</v>
      </c>
      <c r="AB114" s="2">
        <v>50</v>
      </c>
      <c r="AC114" s="2">
        <v>16</v>
      </c>
      <c r="AD114" s="2">
        <v>30</v>
      </c>
      <c r="AE114" s="2">
        <f>AC114*AD114</f>
        <v>480</v>
      </c>
      <c r="AF114" s="2">
        <f>Z114/Y114</f>
        <v>2.5</v>
      </c>
      <c r="AG114" s="2">
        <f>AA114/Z114</f>
        <v>4</v>
      </c>
      <c r="AH114" s="2">
        <f>AB114/AA114</f>
        <v>2.5</v>
      </c>
    </row>
    <row r="115" spans="1:34">
      <c r="A115" s="68" t="s">
        <v>357</v>
      </c>
      <c r="B115" s="68" t="s">
        <v>358</v>
      </c>
      <c r="C115" s="48">
        <v>46169</v>
      </c>
      <c r="D115" s="42">
        <v>0.75694444444444442</v>
      </c>
      <c r="E115" s="194">
        <v>18</v>
      </c>
      <c r="F115" s="63" t="s">
        <v>285</v>
      </c>
      <c r="G115" s="2">
        <v>1</v>
      </c>
      <c r="H115" s="2">
        <v>9</v>
      </c>
      <c r="I115" s="125">
        <v>250</v>
      </c>
      <c r="J115" s="2" t="s">
        <v>766</v>
      </c>
      <c r="K115" s="137" t="s">
        <v>603</v>
      </c>
      <c r="L115" s="89">
        <v>25000</v>
      </c>
      <c r="M115" s="202">
        <v>30</v>
      </c>
      <c r="N115" s="39" t="s">
        <v>48</v>
      </c>
      <c r="O115" s="39" t="s">
        <v>49</v>
      </c>
      <c r="P115" s="135" t="s">
        <v>832</v>
      </c>
      <c r="Q115" s="19">
        <v>45</v>
      </c>
      <c r="R115" s="15">
        <f>Q115/I115</f>
        <v>0.18</v>
      </c>
      <c r="S115" s="5">
        <f>($AC115*$AD115)/(($Z115/$Y115)+($AA115/$Z115)+($AB115/$AA115))</f>
        <v>55.03292568203198</v>
      </c>
      <c r="U115" s="109" t="s">
        <v>219</v>
      </c>
      <c r="V115" s="205" t="s">
        <v>658</v>
      </c>
      <c r="W115" s="205"/>
      <c r="Y115" s="2">
        <v>2.5</v>
      </c>
      <c r="Z115" s="2">
        <v>6.5</v>
      </c>
      <c r="AA115" s="2">
        <v>20</v>
      </c>
      <c r="AB115" s="2">
        <v>50</v>
      </c>
      <c r="AC115" s="2">
        <v>30</v>
      </c>
      <c r="AD115" s="2">
        <v>15</v>
      </c>
      <c r="AE115" s="2">
        <f>AC115*AD115</f>
        <v>450</v>
      </c>
      <c r="AF115" s="2">
        <f>Z115/Y115</f>
        <v>2.6</v>
      </c>
      <c r="AG115" s="2">
        <f>AA115/Z115</f>
        <v>3.0769230769230771</v>
      </c>
      <c r="AH115" s="2">
        <f>AB115/AA115</f>
        <v>2.5</v>
      </c>
    </row>
    <row r="116" spans="1:34">
      <c r="A116" s="95" t="s">
        <v>447</v>
      </c>
      <c r="B116" s="95" t="s">
        <v>448</v>
      </c>
      <c r="C116" s="40">
        <v>46169</v>
      </c>
      <c r="D116" s="42">
        <v>0.79166666666666663</v>
      </c>
      <c r="E116" s="43"/>
      <c r="F116" s="8" t="s">
        <v>403</v>
      </c>
      <c r="G116" s="2">
        <v>1</v>
      </c>
      <c r="H116" s="2">
        <v>9</v>
      </c>
      <c r="I116" s="125">
        <v>300</v>
      </c>
      <c r="J116" s="2" t="s">
        <v>766</v>
      </c>
      <c r="K116" s="109" t="s">
        <v>602</v>
      </c>
      <c r="L116" s="8">
        <v>25000</v>
      </c>
      <c r="M116" s="8">
        <v>25</v>
      </c>
      <c r="N116" s="39" t="s">
        <v>48</v>
      </c>
      <c r="O116" s="39" t="s">
        <v>49</v>
      </c>
      <c r="P116" s="134" t="s">
        <v>834</v>
      </c>
      <c r="Q116" s="19">
        <v>50</v>
      </c>
      <c r="R116" s="15">
        <f>Q116/I116</f>
        <v>0.16666666666666666</v>
      </c>
      <c r="S116" s="5">
        <f>($AC116*$AD116)/(($Z116/$Y116)+($AA116/$Z116)+($AB116/$AA116))</f>
        <v>37.5</v>
      </c>
      <c r="U116" s="109" t="s">
        <v>767</v>
      </c>
      <c r="V116" s="205" t="s">
        <v>741</v>
      </c>
      <c r="Y116" s="2">
        <v>2.5</v>
      </c>
      <c r="Z116" s="2">
        <v>7.5</v>
      </c>
      <c r="AA116" s="2">
        <v>25</v>
      </c>
      <c r="AB116" s="2">
        <v>75</v>
      </c>
      <c r="AC116" s="2">
        <v>14</v>
      </c>
      <c r="AD116" s="2">
        <v>25</v>
      </c>
      <c r="AE116" s="2">
        <f>AC116*AD116</f>
        <v>350</v>
      </c>
      <c r="AF116" s="2">
        <f>Z116/Y116</f>
        <v>3</v>
      </c>
      <c r="AG116" s="2">
        <f>AA116/Z116</f>
        <v>3.3333333333333335</v>
      </c>
      <c r="AH116" s="2">
        <f>AB116/AA116</f>
        <v>3</v>
      </c>
    </row>
    <row r="117" spans="1:34">
      <c r="A117" s="165" t="s">
        <v>1383</v>
      </c>
      <c r="B117" s="39" t="s">
        <v>63</v>
      </c>
      <c r="C117" s="192">
        <v>46169</v>
      </c>
      <c r="D117" s="144">
        <v>0.79166666666666663</v>
      </c>
      <c r="E117" s="43"/>
      <c r="F117" s="8" t="s">
        <v>1027</v>
      </c>
      <c r="G117" s="2">
        <v>1</v>
      </c>
      <c r="H117" s="2">
        <v>9</v>
      </c>
      <c r="I117" s="57">
        <v>585</v>
      </c>
      <c r="J117" s="2" t="s">
        <v>766</v>
      </c>
      <c r="K117" s="88" t="s">
        <v>800</v>
      </c>
      <c r="L117" s="89">
        <v>10000</v>
      </c>
      <c r="M117" s="202">
        <v>20</v>
      </c>
      <c r="N117" s="132" t="s">
        <v>821</v>
      </c>
      <c r="O117" s="39" t="s">
        <v>57</v>
      </c>
      <c r="P117" s="213"/>
      <c r="Q117" s="2">
        <v>85</v>
      </c>
      <c r="R117" s="59">
        <f>Q117/I117</f>
        <v>0.14529914529914531</v>
      </c>
      <c r="S117" s="149" t="s">
        <v>110</v>
      </c>
      <c r="T117" s="149"/>
      <c r="U117" s="109" t="s">
        <v>767</v>
      </c>
      <c r="V117" s="83" t="s">
        <v>362</v>
      </c>
      <c r="W117" s="8" t="s">
        <v>368</v>
      </c>
      <c r="AC117" s="70"/>
      <c r="AD117" s="70"/>
      <c r="AE117" s="2" t="e">
        <f>AD117*#REF!</f>
        <v>#REF!</v>
      </c>
      <c r="AF117" s="2" t="e">
        <f>Z117/Y117</f>
        <v>#DIV/0!</v>
      </c>
      <c r="AG117" s="2" t="e">
        <f>AA117/Z117</f>
        <v>#DIV/0!</v>
      </c>
      <c r="AH117" s="2" t="e">
        <f>AC117/AA117</f>
        <v>#DIV/0!</v>
      </c>
    </row>
    <row r="118" spans="1:34">
      <c r="A118" s="165" t="s">
        <v>1383</v>
      </c>
      <c r="B118" s="39" t="s">
        <v>63</v>
      </c>
      <c r="C118" s="192">
        <v>46169</v>
      </c>
      <c r="D118" s="144">
        <v>0.83333333333333337</v>
      </c>
      <c r="E118" s="194"/>
      <c r="F118" s="8" t="s">
        <v>1023</v>
      </c>
      <c r="G118" s="2">
        <v>1</v>
      </c>
      <c r="H118" s="2">
        <v>9</v>
      </c>
      <c r="I118" s="37">
        <v>200</v>
      </c>
      <c r="J118" s="2" t="s">
        <v>766</v>
      </c>
      <c r="K118" s="88" t="s">
        <v>806</v>
      </c>
      <c r="L118" s="89">
        <v>20000</v>
      </c>
      <c r="M118" s="205">
        <v>20</v>
      </c>
      <c r="N118" s="39" t="s">
        <v>817</v>
      </c>
      <c r="O118" s="39" t="s">
        <v>49</v>
      </c>
      <c r="P118" s="210"/>
      <c r="Q118" s="19">
        <v>45</v>
      </c>
      <c r="R118" s="15">
        <f>Q118/I118</f>
        <v>0.22500000000000001</v>
      </c>
      <c r="S118" s="5">
        <v>23</v>
      </c>
      <c r="U118" s="109" t="s">
        <v>129</v>
      </c>
      <c r="V118" s="21" t="s">
        <v>360</v>
      </c>
      <c r="W118" s="20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</row>
    <row r="119" spans="1:34">
      <c r="A119" s="165" t="s">
        <v>1383</v>
      </c>
      <c r="B119" s="39" t="s">
        <v>63</v>
      </c>
      <c r="C119" s="192">
        <v>46169</v>
      </c>
      <c r="D119" s="144">
        <v>0.91666666666666663</v>
      </c>
      <c r="E119" s="43"/>
      <c r="F119" s="8" t="s">
        <v>909</v>
      </c>
      <c r="G119" s="2">
        <v>1</v>
      </c>
      <c r="H119" s="2">
        <v>9</v>
      </c>
      <c r="I119" s="37">
        <v>135</v>
      </c>
      <c r="J119" s="2" t="s">
        <v>766</v>
      </c>
      <c r="K119" s="88" t="s">
        <v>813</v>
      </c>
      <c r="L119" s="89">
        <v>10000</v>
      </c>
      <c r="M119" s="202">
        <v>15</v>
      </c>
      <c r="N119" s="132" t="s">
        <v>821</v>
      </c>
      <c r="O119" s="39" t="s">
        <v>49</v>
      </c>
      <c r="P119" s="210"/>
      <c r="Q119" s="19">
        <v>35</v>
      </c>
      <c r="R119" s="15">
        <f>Q119/I119</f>
        <v>0.25925925925925924</v>
      </c>
      <c r="S119" s="5">
        <v>22</v>
      </c>
      <c r="U119" s="109" t="s">
        <v>767</v>
      </c>
      <c r="V119" s="21" t="s">
        <v>362</v>
      </c>
      <c r="W119" s="8" t="s">
        <v>369</v>
      </c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</row>
    <row r="120" spans="1:34">
      <c r="A120" s="165" t="s">
        <v>1383</v>
      </c>
      <c r="B120" s="36" t="s">
        <v>63</v>
      </c>
      <c r="C120" s="4">
        <v>46169</v>
      </c>
      <c r="D120" s="144" t="s">
        <v>117</v>
      </c>
      <c r="E120" s="228">
        <v>1</v>
      </c>
      <c r="F120" s="8" t="s">
        <v>927</v>
      </c>
      <c r="G120" s="2">
        <v>3</v>
      </c>
      <c r="H120" s="2">
        <v>9</v>
      </c>
      <c r="I120" s="37">
        <v>550</v>
      </c>
      <c r="J120" s="2" t="s">
        <v>763</v>
      </c>
      <c r="K120" s="109" t="s">
        <v>815</v>
      </c>
      <c r="L120" s="89">
        <v>25000</v>
      </c>
      <c r="M120" s="54" t="s">
        <v>22</v>
      </c>
      <c r="N120" s="39" t="s">
        <v>48</v>
      </c>
      <c r="O120" s="39" t="s">
        <v>49</v>
      </c>
      <c r="Q120" s="19">
        <f>R120*I120</f>
        <v>93.5</v>
      </c>
      <c r="R120" s="15">
        <v>0.17</v>
      </c>
      <c r="S120" s="5">
        <v>69</v>
      </c>
      <c r="U120" s="109" t="s">
        <v>55</v>
      </c>
      <c r="V120" s="2" t="s">
        <v>121</v>
      </c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</row>
    <row r="121" spans="1:34">
      <c r="A121" s="165" t="s">
        <v>1383</v>
      </c>
      <c r="B121" s="36" t="s">
        <v>63</v>
      </c>
      <c r="C121" s="192">
        <v>46169</v>
      </c>
      <c r="D121" s="144" t="s">
        <v>115</v>
      </c>
      <c r="E121">
        <v>3</v>
      </c>
      <c r="F121" s="8" t="s">
        <v>1028</v>
      </c>
      <c r="G121" s="2">
        <v>2</v>
      </c>
      <c r="H121" s="2">
        <v>9</v>
      </c>
      <c r="I121" s="37">
        <v>500</v>
      </c>
      <c r="J121" s="2" t="s">
        <v>760</v>
      </c>
      <c r="K121" s="109" t="s">
        <v>598</v>
      </c>
      <c r="L121" s="89">
        <v>25000</v>
      </c>
      <c r="M121" s="202">
        <v>40</v>
      </c>
      <c r="N121" s="39" t="s">
        <v>48</v>
      </c>
      <c r="O121" s="39" t="s">
        <v>49</v>
      </c>
      <c r="P121" s="210"/>
      <c r="Q121" s="19">
        <f>R121*I121</f>
        <v>85</v>
      </c>
      <c r="R121" s="15">
        <v>0.17</v>
      </c>
      <c r="S121" s="5">
        <v>94</v>
      </c>
      <c r="U121" s="109" t="s">
        <v>851</v>
      </c>
      <c r="V121" s="2" t="s">
        <v>121</v>
      </c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</row>
    <row r="122" spans="1:34">
      <c r="A122" s="165" t="s">
        <v>1383</v>
      </c>
      <c r="B122" s="36" t="s">
        <v>63</v>
      </c>
      <c r="C122" s="192">
        <v>46169</v>
      </c>
      <c r="D122" s="144" t="s">
        <v>116</v>
      </c>
      <c r="E122" s="194">
        <v>4</v>
      </c>
      <c r="F122" s="194" t="s">
        <v>933</v>
      </c>
      <c r="G122" s="2">
        <v>3</v>
      </c>
      <c r="H122" s="2">
        <v>7</v>
      </c>
      <c r="I122" s="37">
        <v>1500</v>
      </c>
      <c r="J122" s="2" t="s">
        <v>110</v>
      </c>
      <c r="K122" s="109" t="s">
        <v>598</v>
      </c>
      <c r="L122" s="89">
        <v>25000</v>
      </c>
      <c r="M122" s="202" t="s">
        <v>97</v>
      </c>
      <c r="N122" s="39" t="s">
        <v>48</v>
      </c>
      <c r="O122" s="39" t="s">
        <v>451</v>
      </c>
      <c r="P122" s="213"/>
      <c r="Q122" s="38">
        <f>R122*I122</f>
        <v>172.5</v>
      </c>
      <c r="R122" s="15">
        <v>0.115</v>
      </c>
      <c r="S122" s="149" t="s">
        <v>110</v>
      </c>
      <c r="T122" s="149"/>
      <c r="U122" s="109" t="s">
        <v>767</v>
      </c>
      <c r="V122" s="2" t="s">
        <v>121</v>
      </c>
      <c r="W122" s="205"/>
      <c r="AE122" s="2" t="e">
        <f>AD122*#REF!</f>
        <v>#REF!</v>
      </c>
      <c r="AF122" s="2" t="e">
        <f>Z122/Y122</f>
        <v>#DIV/0!</v>
      </c>
      <c r="AG122" s="2" t="e">
        <f>AA122/Z122</f>
        <v>#DIV/0!</v>
      </c>
      <c r="AH122" s="2" t="e">
        <f>AC122/AA122</f>
        <v>#DIV/0!</v>
      </c>
    </row>
    <row r="123" spans="1:34">
      <c r="A123" s="165" t="s">
        <v>1383</v>
      </c>
      <c r="B123" s="39" t="s">
        <v>63</v>
      </c>
      <c r="C123" s="192">
        <v>46170</v>
      </c>
      <c r="D123" s="144">
        <v>0.375</v>
      </c>
      <c r="E123" s="194"/>
      <c r="F123" s="8" t="s">
        <v>925</v>
      </c>
      <c r="G123" s="2">
        <v>1</v>
      </c>
      <c r="H123" s="2">
        <v>9</v>
      </c>
      <c r="I123" s="37">
        <v>250</v>
      </c>
      <c r="J123" s="2" t="s">
        <v>766</v>
      </c>
      <c r="K123" s="88" t="s">
        <v>772</v>
      </c>
      <c r="L123" s="89">
        <v>25000</v>
      </c>
      <c r="M123" s="205">
        <v>30</v>
      </c>
      <c r="N123" s="39" t="s">
        <v>823</v>
      </c>
      <c r="O123" s="39" t="s">
        <v>49</v>
      </c>
      <c r="Q123" s="19">
        <v>50</v>
      </c>
      <c r="R123" s="15">
        <v>0.2</v>
      </c>
      <c r="S123" s="5">
        <v>44</v>
      </c>
      <c r="U123" s="109" t="s">
        <v>54</v>
      </c>
      <c r="V123" s="71" t="s">
        <v>360</v>
      </c>
      <c r="W123" s="205"/>
      <c r="Y123" s="175"/>
      <c r="Z123" s="175"/>
      <c r="AA123" s="175"/>
      <c r="AB123" s="175"/>
      <c r="AC123" s="175"/>
      <c r="AD123" s="175"/>
      <c r="AE123" s="175"/>
      <c r="AF123" s="175"/>
      <c r="AG123" s="175"/>
      <c r="AH123" s="175"/>
    </row>
    <row r="124" spans="1:34">
      <c r="A124" s="96" t="s">
        <v>461</v>
      </c>
      <c r="B124" s="96" t="s">
        <v>462</v>
      </c>
      <c r="C124" s="40">
        <v>46170</v>
      </c>
      <c r="D124" s="42">
        <v>0.4236111111111111</v>
      </c>
      <c r="E124" s="43"/>
      <c r="F124" s="8" t="s">
        <v>457</v>
      </c>
      <c r="G124" s="2">
        <v>1</v>
      </c>
      <c r="I124" s="125">
        <v>120</v>
      </c>
      <c r="J124" s="2" t="s">
        <v>766</v>
      </c>
      <c r="K124" s="109" t="s">
        <v>602</v>
      </c>
      <c r="L124" s="8">
        <v>20000</v>
      </c>
      <c r="M124" s="202">
        <v>20</v>
      </c>
      <c r="N124" s="39" t="s">
        <v>48</v>
      </c>
      <c r="O124" s="39" t="s">
        <v>49</v>
      </c>
      <c r="P124" s="135" t="s">
        <v>832</v>
      </c>
      <c r="Q124" s="19">
        <v>24</v>
      </c>
      <c r="R124" s="15">
        <f>Q124/I124</f>
        <v>0.2</v>
      </c>
      <c r="S124" s="5">
        <f>($AC124*$AD124)/(($Z124/$Y124)+($AA124/$Z124)+($AB124/$AA124))</f>
        <v>25.161290322580644</v>
      </c>
      <c r="U124" s="109" t="s">
        <v>767</v>
      </c>
      <c r="V124" s="205" t="s">
        <v>735</v>
      </c>
      <c r="Y124" s="2">
        <v>2.5</v>
      </c>
      <c r="Z124" s="2">
        <v>7.5</v>
      </c>
      <c r="AA124" s="2">
        <v>30</v>
      </c>
      <c r="AB124" s="2">
        <v>100</v>
      </c>
      <c r="AC124" s="2">
        <v>13</v>
      </c>
      <c r="AD124" s="2">
        <v>20</v>
      </c>
      <c r="AE124" s="2">
        <f>AC124*AD124</f>
        <v>260</v>
      </c>
      <c r="AF124" s="2">
        <f>Z124/Y124</f>
        <v>3</v>
      </c>
      <c r="AG124" s="2">
        <f>AA124/Z124</f>
        <v>4</v>
      </c>
      <c r="AH124" s="2">
        <f>AB124/AA124</f>
        <v>3.3333333333333335</v>
      </c>
    </row>
    <row r="125" spans="1:34">
      <c r="A125" s="95" t="s">
        <v>447</v>
      </c>
      <c r="B125" s="95" t="s">
        <v>448</v>
      </c>
      <c r="C125" s="40">
        <v>46170</v>
      </c>
      <c r="D125" s="42">
        <v>0.45833333333333331</v>
      </c>
      <c r="E125" s="43"/>
      <c r="F125" s="8" t="s">
        <v>404</v>
      </c>
      <c r="G125" s="2">
        <v>1</v>
      </c>
      <c r="H125" s="2">
        <v>7</v>
      </c>
      <c r="I125" s="125">
        <v>600</v>
      </c>
      <c r="J125" s="2" t="s">
        <v>766</v>
      </c>
      <c r="K125" s="109" t="s">
        <v>602</v>
      </c>
      <c r="L125" s="8">
        <v>30000</v>
      </c>
      <c r="M125" s="8">
        <v>30</v>
      </c>
      <c r="N125" s="39" t="s">
        <v>48</v>
      </c>
      <c r="O125" s="39" t="s">
        <v>449</v>
      </c>
      <c r="P125" s="63">
        <v>30000</v>
      </c>
      <c r="Q125" s="2">
        <v>90</v>
      </c>
      <c r="R125" s="15">
        <f>Q125/I125</f>
        <v>0.15</v>
      </c>
      <c r="S125" s="176" t="s">
        <v>110</v>
      </c>
      <c r="T125" s="176"/>
      <c r="U125" s="109" t="s">
        <v>767</v>
      </c>
      <c r="V125" s="2" t="s">
        <v>741</v>
      </c>
      <c r="AE125" s="2">
        <f>AC125*AD125</f>
        <v>0</v>
      </c>
      <c r="AF125" s="2" t="e">
        <f>Z125/Y125</f>
        <v>#DIV/0!</v>
      </c>
      <c r="AG125" s="2" t="e">
        <f>AA125/Z125</f>
        <v>#DIV/0!</v>
      </c>
      <c r="AH125" s="2" t="e">
        <f>AB125/AA125</f>
        <v>#DIV/0!</v>
      </c>
    </row>
    <row r="126" spans="1:34">
      <c r="A126" s="52" t="s">
        <v>229</v>
      </c>
      <c r="B126" s="52" t="s">
        <v>230</v>
      </c>
      <c r="C126" s="40">
        <v>46170</v>
      </c>
      <c r="D126" s="42">
        <v>0.45833333333333331</v>
      </c>
      <c r="E126" s="43"/>
      <c r="F126" s="8" t="s">
        <v>249</v>
      </c>
      <c r="G126" s="2">
        <v>1</v>
      </c>
      <c r="I126" s="125">
        <v>300</v>
      </c>
      <c r="J126" s="2" t="s">
        <v>766</v>
      </c>
      <c r="K126" s="88" t="s">
        <v>788</v>
      </c>
      <c r="L126" s="90">
        <v>40000</v>
      </c>
      <c r="M126" s="8">
        <v>30</v>
      </c>
      <c r="N126" s="39" t="s">
        <v>48</v>
      </c>
      <c r="O126" s="39" t="s">
        <v>49</v>
      </c>
      <c r="P126" s="134" t="s">
        <v>835</v>
      </c>
      <c r="Q126" s="19">
        <v>45</v>
      </c>
      <c r="R126" s="15">
        <f>IF(Q126&gt;0,Q126/I126,"")</f>
        <v>0.15</v>
      </c>
      <c r="S126" s="5">
        <f>($AC126*$AD126)/(($Z126/$Y126)+($AA126/$Z126)+($AB126/$AA126))</f>
        <v>72.897196261682254</v>
      </c>
      <c r="U126" s="109" t="s">
        <v>767</v>
      </c>
      <c r="V126" s="2" t="s">
        <v>719</v>
      </c>
      <c r="W126" s="205"/>
      <c r="Y126" s="2">
        <v>2</v>
      </c>
      <c r="Z126" s="2">
        <v>5</v>
      </c>
      <c r="AA126" s="2">
        <v>13</v>
      </c>
      <c r="AB126" s="2">
        <v>30</v>
      </c>
      <c r="AC126" s="2">
        <v>18</v>
      </c>
      <c r="AD126" s="2">
        <v>30</v>
      </c>
      <c r="AE126" s="2">
        <f>AC126*AD126</f>
        <v>540</v>
      </c>
      <c r="AF126" s="2">
        <f>Z126/Y126</f>
        <v>2.5</v>
      </c>
      <c r="AG126" s="2">
        <f>AA126/Z126</f>
        <v>2.6</v>
      </c>
      <c r="AH126" s="2">
        <f>AB126/AA126</f>
        <v>2.3076923076923075</v>
      </c>
    </row>
    <row r="127" spans="1:34">
      <c r="A127" s="52" t="s">
        <v>220</v>
      </c>
      <c r="B127" s="52" t="s">
        <v>221</v>
      </c>
      <c r="C127" s="48">
        <v>46170</v>
      </c>
      <c r="D127" s="42">
        <v>0.45833333333333331</v>
      </c>
      <c r="E127" s="43"/>
      <c r="F127" s="8" t="s">
        <v>1083</v>
      </c>
      <c r="G127" s="2">
        <v>2</v>
      </c>
      <c r="H127" s="2">
        <v>9</v>
      </c>
      <c r="I127" s="125">
        <v>1100</v>
      </c>
      <c r="J127" s="2" t="s">
        <v>766</v>
      </c>
      <c r="K127" s="88" t="s">
        <v>791</v>
      </c>
      <c r="L127" s="90">
        <v>40000</v>
      </c>
      <c r="M127" s="64">
        <v>40</v>
      </c>
      <c r="N127" s="39" t="s">
        <v>48</v>
      </c>
      <c r="O127" s="39" t="s">
        <v>49</v>
      </c>
      <c r="P127" s="135" t="s">
        <v>843</v>
      </c>
      <c r="Q127" s="19">
        <v>135</v>
      </c>
      <c r="R127" s="15">
        <f>Q127/I127</f>
        <v>0.12272727272727273</v>
      </c>
      <c r="S127" s="5">
        <f>($AC127*$AD127)/(($Z127/$Y127)+($AA127/$Z127)+($AB127/$AA127))</f>
        <v>102.59605399792316</v>
      </c>
      <c r="U127" s="109" t="s">
        <v>54</v>
      </c>
      <c r="V127" s="205" t="s">
        <v>738</v>
      </c>
      <c r="Y127" s="2">
        <v>2</v>
      </c>
      <c r="Z127" s="2">
        <v>5</v>
      </c>
      <c r="AA127" s="2">
        <v>13</v>
      </c>
      <c r="AB127" s="2">
        <v>30</v>
      </c>
      <c r="AC127" s="2">
        <v>19</v>
      </c>
      <c r="AD127" s="2">
        <v>40</v>
      </c>
      <c r="AE127" s="2">
        <f>AC127*AD127</f>
        <v>760</v>
      </c>
      <c r="AF127" s="2">
        <f>Z127/Y127</f>
        <v>2.5</v>
      </c>
      <c r="AG127" s="2">
        <f>AA127/Z127</f>
        <v>2.6</v>
      </c>
      <c r="AH127" s="2">
        <f>AB127/AA127</f>
        <v>2.3076923076923075</v>
      </c>
    </row>
    <row r="128" spans="1:34">
      <c r="A128" s="68" t="s">
        <v>357</v>
      </c>
      <c r="B128" s="68" t="s">
        <v>358</v>
      </c>
      <c r="C128" s="48">
        <v>46170</v>
      </c>
      <c r="D128" s="42">
        <v>0.46527777777777779</v>
      </c>
      <c r="E128" s="194">
        <v>19</v>
      </c>
      <c r="F128" s="63" t="s">
        <v>289</v>
      </c>
      <c r="G128" s="2">
        <v>1</v>
      </c>
      <c r="H128" s="2">
        <v>9</v>
      </c>
      <c r="I128" s="125">
        <v>600</v>
      </c>
      <c r="J128" s="2" t="s">
        <v>766</v>
      </c>
      <c r="K128" s="137" t="s">
        <v>815</v>
      </c>
      <c r="L128" s="89">
        <v>30000</v>
      </c>
      <c r="M128" s="202">
        <v>30</v>
      </c>
      <c r="N128" s="39" t="s">
        <v>48</v>
      </c>
      <c r="O128" s="39" t="s">
        <v>49</v>
      </c>
      <c r="P128" s="212" t="s">
        <v>836</v>
      </c>
      <c r="Q128" s="19">
        <v>90</v>
      </c>
      <c r="R128" s="15">
        <f>Q128/I128</f>
        <v>0.15</v>
      </c>
      <c r="S128" s="5">
        <f>($AC128*$AD128)/(($Z128/$Y128)+($AA128/$Z128)+($AB128/$AA128))</f>
        <v>67.332430602572785</v>
      </c>
      <c r="U128" s="109" t="s">
        <v>767</v>
      </c>
      <c r="V128" s="2" t="s">
        <v>660</v>
      </c>
      <c r="W128" s="205"/>
      <c r="Y128" s="2">
        <v>2.5</v>
      </c>
      <c r="Z128" s="2">
        <v>6.5</v>
      </c>
      <c r="AA128" s="2">
        <v>15</v>
      </c>
      <c r="AB128" s="2">
        <v>40</v>
      </c>
      <c r="AC128" s="2">
        <v>30</v>
      </c>
      <c r="AD128" s="2">
        <v>17</v>
      </c>
      <c r="AE128" s="2">
        <f>AC128*AD128</f>
        <v>510</v>
      </c>
      <c r="AF128" s="2">
        <f>Z128/Y128</f>
        <v>2.6</v>
      </c>
      <c r="AG128" s="2">
        <f>AA128/Z128</f>
        <v>2.3076923076923075</v>
      </c>
      <c r="AH128" s="2">
        <f>AB128/AA128</f>
        <v>2.6666666666666665</v>
      </c>
    </row>
    <row r="129" spans="1:34">
      <c r="A129" s="165" t="s">
        <v>1383</v>
      </c>
      <c r="B129" s="39" t="s">
        <v>63</v>
      </c>
      <c r="C129" s="40">
        <v>46170</v>
      </c>
      <c r="D129" s="144">
        <v>0.5</v>
      </c>
      <c r="E129" s="43"/>
      <c r="F129" s="8" t="s">
        <v>130</v>
      </c>
      <c r="G129" s="2">
        <v>1</v>
      </c>
      <c r="H129" s="2">
        <v>9</v>
      </c>
      <c r="I129" s="125">
        <v>70</v>
      </c>
      <c r="J129" s="2" t="s">
        <v>766</v>
      </c>
      <c r="K129" s="88" t="s">
        <v>771</v>
      </c>
      <c r="L129" s="90">
        <v>10000</v>
      </c>
      <c r="M129" s="8">
        <v>10</v>
      </c>
      <c r="N129" s="132" t="s">
        <v>821</v>
      </c>
      <c r="O129" s="39" t="s">
        <v>49</v>
      </c>
      <c r="Q129" s="19">
        <v>20</v>
      </c>
      <c r="R129" s="15">
        <f>Q129/I129</f>
        <v>0.2857142857142857</v>
      </c>
      <c r="S129" s="5">
        <v>15</v>
      </c>
      <c r="U129" s="109" t="s">
        <v>767</v>
      </c>
      <c r="V129" s="71" t="s">
        <v>362</v>
      </c>
      <c r="W129" s="46" t="s">
        <v>139</v>
      </c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</row>
    <row r="130" spans="1:34">
      <c r="A130" s="52" t="s">
        <v>229</v>
      </c>
      <c r="B130" s="52" t="s">
        <v>230</v>
      </c>
      <c r="C130" s="40">
        <v>46170</v>
      </c>
      <c r="D130" s="42">
        <v>0.5</v>
      </c>
      <c r="E130" s="43"/>
      <c r="F130" s="194" t="s">
        <v>250</v>
      </c>
      <c r="G130" s="2">
        <v>1</v>
      </c>
      <c r="I130" s="37">
        <v>600</v>
      </c>
      <c r="J130" s="2" t="s">
        <v>766</v>
      </c>
      <c r="K130" s="88" t="s">
        <v>788</v>
      </c>
      <c r="L130" s="90">
        <v>40000</v>
      </c>
      <c r="M130" s="46" t="s">
        <v>22</v>
      </c>
      <c r="N130" s="39" t="s">
        <v>48</v>
      </c>
      <c r="O130" s="39" t="s">
        <v>867</v>
      </c>
      <c r="P130" s="19">
        <v>40000</v>
      </c>
      <c r="Q130" s="2">
        <v>85</v>
      </c>
      <c r="R130" s="15">
        <f>IF(Q130&gt;0,Q130/I130,"")</f>
        <v>0.14166666666666666</v>
      </c>
      <c r="S130" s="149" t="s">
        <v>110</v>
      </c>
      <c r="T130" s="149"/>
      <c r="U130" s="109" t="s">
        <v>767</v>
      </c>
      <c r="V130" s="205" t="s">
        <v>719</v>
      </c>
      <c r="W130" s="205"/>
      <c r="AE130" s="2">
        <f>AC130*AD130</f>
        <v>0</v>
      </c>
      <c r="AF130" s="2" t="e">
        <f>Z130/Y130</f>
        <v>#DIV/0!</v>
      </c>
      <c r="AG130" s="2" t="e">
        <f>AA130/Z130</f>
        <v>#DIV/0!</v>
      </c>
      <c r="AH130" s="2" t="e">
        <f>AB130/AA130</f>
        <v>#DIV/0!</v>
      </c>
    </row>
    <row r="131" spans="1:34">
      <c r="A131" s="52" t="s">
        <v>220</v>
      </c>
      <c r="B131" s="52" t="s">
        <v>221</v>
      </c>
      <c r="C131" s="48">
        <v>46170</v>
      </c>
      <c r="D131" s="42">
        <v>0.5</v>
      </c>
      <c r="E131" s="43"/>
      <c r="F131" s="194" t="s">
        <v>1302</v>
      </c>
      <c r="G131" s="2">
        <v>2</v>
      </c>
      <c r="H131" s="2">
        <v>6</v>
      </c>
      <c r="I131" s="125">
        <v>1100</v>
      </c>
      <c r="J131" s="2" t="s">
        <v>766</v>
      </c>
      <c r="K131" s="109" t="s">
        <v>767</v>
      </c>
      <c r="L131" s="90">
        <v>40000</v>
      </c>
      <c r="M131" s="64">
        <v>40</v>
      </c>
      <c r="N131" s="39" t="s">
        <v>48</v>
      </c>
      <c r="O131" s="39" t="s">
        <v>49</v>
      </c>
      <c r="P131" s="135" t="s">
        <v>846</v>
      </c>
      <c r="Q131" s="19">
        <v>135</v>
      </c>
      <c r="R131" s="15">
        <f>Q131/I131</f>
        <v>0.12272727272727273</v>
      </c>
      <c r="S131" s="5">
        <f>($AC131*$AD131)/(($Z131/$Y131)+($AA131/$Z131)+($AB131/$AA131))</f>
        <v>66.122448979591837</v>
      </c>
      <c r="U131" s="109" t="s">
        <v>767</v>
      </c>
      <c r="V131" s="10" t="s">
        <v>738</v>
      </c>
      <c r="W131" s="205"/>
      <c r="Y131" s="2">
        <v>2</v>
      </c>
      <c r="Z131" s="2">
        <v>5</v>
      </c>
      <c r="AA131" s="2">
        <v>15</v>
      </c>
      <c r="AB131" s="2">
        <v>40</v>
      </c>
      <c r="AC131" s="2">
        <v>18</v>
      </c>
      <c r="AD131" s="2">
        <v>30</v>
      </c>
      <c r="AE131" s="2">
        <f>AC131*AD131</f>
        <v>540</v>
      </c>
      <c r="AF131" s="2">
        <f>Z131/Y131</f>
        <v>2.5</v>
      </c>
      <c r="AG131" s="2">
        <f>AA131/Z131</f>
        <v>3</v>
      </c>
      <c r="AH131" s="2">
        <f>AB131/AA131</f>
        <v>2.6666666666666665</v>
      </c>
    </row>
    <row r="132" spans="1:34">
      <c r="A132" s="68" t="s">
        <v>357</v>
      </c>
      <c r="B132" s="68" t="s">
        <v>358</v>
      </c>
      <c r="C132" s="48">
        <v>46170</v>
      </c>
      <c r="D132" s="42">
        <v>0.50694444444444442</v>
      </c>
      <c r="E132" s="194">
        <v>20</v>
      </c>
      <c r="F132" s="63" t="s">
        <v>291</v>
      </c>
      <c r="G132" s="2">
        <v>1</v>
      </c>
      <c r="H132" s="2">
        <v>8</v>
      </c>
      <c r="I132" s="125">
        <v>800</v>
      </c>
      <c r="J132" s="2" t="s">
        <v>766</v>
      </c>
      <c r="K132" s="137" t="s">
        <v>815</v>
      </c>
      <c r="L132" s="89">
        <v>30000</v>
      </c>
      <c r="M132" s="202">
        <v>30</v>
      </c>
      <c r="N132" s="39" t="s">
        <v>48</v>
      </c>
      <c r="O132" s="39" t="s">
        <v>57</v>
      </c>
      <c r="P132" s="234">
        <v>75000</v>
      </c>
      <c r="Q132" s="2">
        <v>100</v>
      </c>
      <c r="R132" s="15">
        <f>Q132/I132</f>
        <v>0.125</v>
      </c>
      <c r="S132" s="149" t="s">
        <v>110</v>
      </c>
      <c r="T132" s="149"/>
      <c r="U132" s="109" t="s">
        <v>219</v>
      </c>
      <c r="V132" s="2" t="s">
        <v>663</v>
      </c>
      <c r="W132" s="218" t="s">
        <v>655</v>
      </c>
      <c r="AE132" s="2">
        <f>AC132*AD132</f>
        <v>0</v>
      </c>
      <c r="AF132" s="2" t="e">
        <f>Z132/Y132</f>
        <v>#DIV/0!</v>
      </c>
      <c r="AG132" s="2" t="e">
        <f>AA132/Z132</f>
        <v>#DIV/0!</v>
      </c>
      <c r="AH132" s="2" t="e">
        <f>AB132/AA132</f>
        <v>#DIV/0!</v>
      </c>
    </row>
    <row r="133" spans="1:34">
      <c r="A133" s="95" t="s">
        <v>447</v>
      </c>
      <c r="B133" s="95" t="s">
        <v>448</v>
      </c>
      <c r="C133" s="40">
        <v>46170</v>
      </c>
      <c r="D133" s="42">
        <v>0.54166666666666663</v>
      </c>
      <c r="E133" s="43"/>
      <c r="F133" s="8" t="s">
        <v>405</v>
      </c>
      <c r="G133" s="2">
        <v>1</v>
      </c>
      <c r="H133" s="2">
        <v>9</v>
      </c>
      <c r="I133" s="125">
        <v>800</v>
      </c>
      <c r="J133" s="2" t="s">
        <v>766</v>
      </c>
      <c r="K133" s="109" t="s">
        <v>602</v>
      </c>
      <c r="L133" s="8">
        <v>30000</v>
      </c>
      <c r="M133" s="8">
        <v>30</v>
      </c>
      <c r="N133" s="39" t="s">
        <v>48</v>
      </c>
      <c r="O133" s="39" t="s">
        <v>49</v>
      </c>
      <c r="P133" s="135" t="s">
        <v>840</v>
      </c>
      <c r="Q133" s="19">
        <v>100</v>
      </c>
      <c r="R133" s="15">
        <f>Q133/I133</f>
        <v>0.125</v>
      </c>
      <c r="S133" s="5">
        <f>($AC133*$AD133)/(($Z133/$Y133)+($AA133/$Z133)+($AB133/$AA133))</f>
        <v>72.897196261682254</v>
      </c>
      <c r="U133" s="109" t="s">
        <v>767</v>
      </c>
      <c r="V133" s="205" t="s">
        <v>741</v>
      </c>
      <c r="W133" s="205"/>
      <c r="Y133" s="2">
        <v>2</v>
      </c>
      <c r="Z133" s="2">
        <v>5</v>
      </c>
      <c r="AA133" s="2">
        <v>13</v>
      </c>
      <c r="AB133" s="2">
        <v>30</v>
      </c>
      <c r="AC133" s="2">
        <v>18</v>
      </c>
      <c r="AD133" s="2">
        <v>30</v>
      </c>
      <c r="AE133" s="2">
        <f>AC133*AD133</f>
        <v>540</v>
      </c>
      <c r="AF133" s="2">
        <f>Z133/Y133</f>
        <v>2.5</v>
      </c>
      <c r="AG133" s="2">
        <f>AA133/Z133</f>
        <v>2.6</v>
      </c>
      <c r="AH133" s="2">
        <f>AB133/AA133</f>
        <v>2.3076923076923075</v>
      </c>
    </row>
    <row r="134" spans="1:34">
      <c r="A134" s="165" t="s">
        <v>1383</v>
      </c>
      <c r="B134" s="36" t="s">
        <v>63</v>
      </c>
      <c r="C134" s="192">
        <v>46170</v>
      </c>
      <c r="D134" s="144">
        <v>0.54166666666666663</v>
      </c>
      <c r="E134" s="194">
        <v>2</v>
      </c>
      <c r="F134" s="8" t="s">
        <v>1280</v>
      </c>
      <c r="G134" s="2">
        <v>4</v>
      </c>
      <c r="H134" s="2">
        <v>8</v>
      </c>
      <c r="I134" s="37">
        <v>5000</v>
      </c>
      <c r="J134" s="2" t="s">
        <v>760</v>
      </c>
      <c r="K134" s="109" t="s">
        <v>601</v>
      </c>
      <c r="L134" s="89">
        <v>50000</v>
      </c>
      <c r="M134" s="202">
        <v>60</v>
      </c>
      <c r="N134" s="39" t="s">
        <v>48</v>
      </c>
      <c r="O134" s="39" t="s">
        <v>49</v>
      </c>
      <c r="Q134" s="19">
        <f>R134*I134</f>
        <v>400</v>
      </c>
      <c r="R134" s="15">
        <v>0.08</v>
      </c>
      <c r="S134" s="5">
        <v>162</v>
      </c>
      <c r="U134" s="109" t="s">
        <v>767</v>
      </c>
      <c r="V134" s="2" t="s">
        <v>121</v>
      </c>
      <c r="W134" s="20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</row>
    <row r="135" spans="1:34">
      <c r="A135" s="165" t="s">
        <v>1383</v>
      </c>
      <c r="B135" s="36" t="s">
        <v>63</v>
      </c>
      <c r="C135" s="192">
        <v>46170</v>
      </c>
      <c r="D135" s="144">
        <v>0.54166666666666663</v>
      </c>
      <c r="E135" s="194">
        <v>4</v>
      </c>
      <c r="F135" s="8" t="s">
        <v>1133</v>
      </c>
      <c r="G135" s="2">
        <v>3</v>
      </c>
      <c r="H135" s="2">
        <v>7</v>
      </c>
      <c r="I135" s="37">
        <v>1500</v>
      </c>
      <c r="J135" s="2" t="s">
        <v>110</v>
      </c>
      <c r="K135" s="109" t="s">
        <v>598</v>
      </c>
      <c r="L135" s="89">
        <v>25000</v>
      </c>
      <c r="M135" s="202" t="s">
        <v>97</v>
      </c>
      <c r="N135" s="39" t="s">
        <v>48</v>
      </c>
      <c r="O135" s="39" t="s">
        <v>451</v>
      </c>
      <c r="P135" s="19"/>
      <c r="Q135" s="38">
        <f>R135*I135</f>
        <v>172.5</v>
      </c>
      <c r="R135" s="15">
        <v>0.115</v>
      </c>
      <c r="S135" s="149" t="s">
        <v>110</v>
      </c>
      <c r="T135" s="149"/>
      <c r="U135" s="109" t="s">
        <v>767</v>
      </c>
      <c r="V135" s="205" t="s">
        <v>121</v>
      </c>
      <c r="W135" s="205"/>
      <c r="AE135" s="2" t="e">
        <f>AD135*#REF!</f>
        <v>#REF!</v>
      </c>
      <c r="AF135" s="2" t="e">
        <f>Z135/Y135</f>
        <v>#DIV/0!</v>
      </c>
      <c r="AG135" s="2" t="e">
        <f>AA135/Z135</f>
        <v>#DIV/0!</v>
      </c>
      <c r="AH135" s="2" t="e">
        <f>AC135/AA135</f>
        <v>#DIV/0!</v>
      </c>
    </row>
    <row r="136" spans="1:34">
      <c r="A136" s="165" t="s">
        <v>1383</v>
      </c>
      <c r="B136" s="39" t="s">
        <v>63</v>
      </c>
      <c r="C136" s="192">
        <v>46170</v>
      </c>
      <c r="D136" s="144">
        <v>0.54166666666666663</v>
      </c>
      <c r="E136" s="194"/>
      <c r="F136" s="194" t="s">
        <v>881</v>
      </c>
      <c r="G136" s="2">
        <v>1</v>
      </c>
      <c r="H136" s="2">
        <v>9</v>
      </c>
      <c r="I136" s="37">
        <v>250</v>
      </c>
      <c r="J136" s="2" t="s">
        <v>766</v>
      </c>
      <c r="K136" s="88" t="s">
        <v>787</v>
      </c>
      <c r="L136" s="89">
        <v>25000</v>
      </c>
      <c r="M136" s="205">
        <v>30</v>
      </c>
      <c r="N136" s="39" t="s">
        <v>817</v>
      </c>
      <c r="O136" s="39" t="s">
        <v>49</v>
      </c>
      <c r="P136" s="210"/>
      <c r="Q136" s="19">
        <v>50</v>
      </c>
      <c r="R136" s="15">
        <f>Q136/I136</f>
        <v>0.2</v>
      </c>
      <c r="S136" s="5">
        <v>44</v>
      </c>
      <c r="U136" s="109" t="s">
        <v>767</v>
      </c>
      <c r="V136" s="21" t="s">
        <v>360</v>
      </c>
      <c r="W136" s="20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</row>
    <row r="137" spans="1:34">
      <c r="A137" s="96" t="s">
        <v>461</v>
      </c>
      <c r="B137" s="96" t="s">
        <v>462</v>
      </c>
      <c r="C137" s="40">
        <v>46170</v>
      </c>
      <c r="D137" s="42">
        <v>0.59027777777777779</v>
      </c>
      <c r="E137" s="43"/>
      <c r="F137" s="8" t="s">
        <v>1334</v>
      </c>
      <c r="G137" s="2">
        <v>2</v>
      </c>
      <c r="I137" s="125">
        <v>300</v>
      </c>
      <c r="J137" s="2" t="s">
        <v>766</v>
      </c>
      <c r="K137" s="109" t="s">
        <v>598</v>
      </c>
      <c r="L137" s="8">
        <v>30000</v>
      </c>
      <c r="M137" s="202">
        <v>30</v>
      </c>
      <c r="N137" s="39" t="s">
        <v>48</v>
      </c>
      <c r="O137" s="39" t="s">
        <v>49</v>
      </c>
      <c r="P137" s="135" t="s">
        <v>842</v>
      </c>
      <c r="Q137" s="19">
        <v>65</v>
      </c>
      <c r="R137" s="15">
        <f>Q137/I137</f>
        <v>0.21666666666666667</v>
      </c>
      <c r="S137" s="5">
        <f>($AC137*$AD137)/(($Z137/$Y137)+($AA137/$Z137)+($AB137/$AA137))</f>
        <v>53.333333333333336</v>
      </c>
      <c r="U137" s="109" t="s">
        <v>767</v>
      </c>
      <c r="V137" s="205" t="s">
        <v>735</v>
      </c>
      <c r="Y137" s="2">
        <v>2</v>
      </c>
      <c r="Z137" s="2">
        <v>5</v>
      </c>
      <c r="AA137" s="2">
        <v>20</v>
      </c>
      <c r="AB137" s="2">
        <v>50</v>
      </c>
      <c r="AC137" s="2">
        <v>16</v>
      </c>
      <c r="AD137" s="2">
        <v>30</v>
      </c>
      <c r="AE137" s="2">
        <f>AC137*AD137</f>
        <v>480</v>
      </c>
      <c r="AF137" s="2">
        <f>Z137/Y137</f>
        <v>2.5</v>
      </c>
      <c r="AG137" s="2">
        <f>AA137/Z137</f>
        <v>4</v>
      </c>
      <c r="AH137" s="2">
        <f>AB137/AA137</f>
        <v>2.5</v>
      </c>
    </row>
    <row r="138" spans="1:34">
      <c r="A138" s="165" t="s">
        <v>1383</v>
      </c>
      <c r="B138" s="39" t="s">
        <v>63</v>
      </c>
      <c r="C138" s="192">
        <v>46170</v>
      </c>
      <c r="D138" s="144">
        <v>0.625</v>
      </c>
      <c r="E138" s="43"/>
      <c r="F138" s="8" t="s">
        <v>912</v>
      </c>
      <c r="G138" s="2">
        <v>1</v>
      </c>
      <c r="H138" s="2">
        <v>9</v>
      </c>
      <c r="I138" s="37">
        <v>240</v>
      </c>
      <c r="J138" s="2" t="s">
        <v>766</v>
      </c>
      <c r="K138" s="88" t="s">
        <v>784</v>
      </c>
      <c r="L138" s="89">
        <v>10000</v>
      </c>
      <c r="M138" s="202">
        <v>20</v>
      </c>
      <c r="N138" s="132" t="s">
        <v>821</v>
      </c>
      <c r="O138" s="39" t="s">
        <v>49</v>
      </c>
      <c r="P138" s="210"/>
      <c r="Q138" s="19">
        <v>40</v>
      </c>
      <c r="R138" s="15">
        <v>0.16666666666666666</v>
      </c>
      <c r="S138" s="5">
        <v>29</v>
      </c>
      <c r="U138" s="109" t="s">
        <v>767</v>
      </c>
      <c r="V138" s="71" t="s">
        <v>362</v>
      </c>
      <c r="W138" s="8" t="s">
        <v>367</v>
      </c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</row>
    <row r="139" spans="1:34">
      <c r="A139" s="165" t="s">
        <v>1383</v>
      </c>
      <c r="B139" s="39" t="s">
        <v>63</v>
      </c>
      <c r="C139" s="192">
        <v>46170</v>
      </c>
      <c r="D139" s="144">
        <v>0.66666666666666663</v>
      </c>
      <c r="E139" s="194"/>
      <c r="F139" s="8" t="s">
        <v>1024</v>
      </c>
      <c r="G139" s="2">
        <v>1</v>
      </c>
      <c r="H139" s="2">
        <v>9</v>
      </c>
      <c r="I139" s="37">
        <v>400</v>
      </c>
      <c r="J139" s="2" t="s">
        <v>766</v>
      </c>
      <c r="K139" s="88" t="s">
        <v>794</v>
      </c>
      <c r="L139" s="89">
        <v>30000</v>
      </c>
      <c r="M139" s="205">
        <v>20</v>
      </c>
      <c r="N139" s="39" t="s">
        <v>817</v>
      </c>
      <c r="O139" s="39" t="s">
        <v>49</v>
      </c>
      <c r="Q139" s="19">
        <v>70</v>
      </c>
      <c r="R139" s="15">
        <f>Q139/I139</f>
        <v>0.17499999999999999</v>
      </c>
      <c r="S139" s="5">
        <v>37</v>
      </c>
      <c r="U139" s="109" t="s">
        <v>129</v>
      </c>
      <c r="V139" s="71" t="s">
        <v>360</v>
      </c>
      <c r="W139" s="20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</row>
    <row r="140" spans="1:34">
      <c r="A140" s="52" t="s">
        <v>229</v>
      </c>
      <c r="B140" s="52" t="s">
        <v>230</v>
      </c>
      <c r="C140" s="40">
        <v>46170</v>
      </c>
      <c r="D140" s="42">
        <v>0.66666666666666663</v>
      </c>
      <c r="E140" s="43"/>
      <c r="F140" s="194" t="s">
        <v>239</v>
      </c>
      <c r="G140" s="2">
        <v>1</v>
      </c>
      <c r="I140" s="125">
        <v>240</v>
      </c>
      <c r="J140" s="2" t="s">
        <v>766</v>
      </c>
      <c r="K140" s="88" t="s">
        <v>795</v>
      </c>
      <c r="L140" s="90">
        <v>30000</v>
      </c>
      <c r="M140" s="8">
        <v>20</v>
      </c>
      <c r="N140" s="39" t="s">
        <v>48</v>
      </c>
      <c r="O140" s="39" t="s">
        <v>870</v>
      </c>
      <c r="P140" s="19">
        <v>10000</v>
      </c>
      <c r="Q140" s="2">
        <v>40</v>
      </c>
      <c r="R140" s="15">
        <f>IF(Q140&gt;0,Q140/I140,"")</f>
        <v>0.16666666666666666</v>
      </c>
      <c r="S140" s="149" t="s">
        <v>110</v>
      </c>
      <c r="T140" s="149"/>
      <c r="U140" s="109" t="s">
        <v>767</v>
      </c>
      <c r="V140" s="205" t="s">
        <v>719</v>
      </c>
      <c r="W140" s="10"/>
      <c r="AE140" s="2">
        <f>AC140*AD140</f>
        <v>0</v>
      </c>
      <c r="AF140" s="2" t="e">
        <f>Z140/Y140</f>
        <v>#DIV/0!</v>
      </c>
      <c r="AG140" s="2" t="e">
        <f>AA140/Z140</f>
        <v>#DIV/0!</v>
      </c>
      <c r="AH140" s="2" t="e">
        <f>AB140/AA140</f>
        <v>#DIV/0!</v>
      </c>
    </row>
    <row r="141" spans="1:34">
      <c r="A141" s="165" t="s">
        <v>1383</v>
      </c>
      <c r="B141" s="39" t="s">
        <v>63</v>
      </c>
      <c r="C141" s="40">
        <v>46170</v>
      </c>
      <c r="D141" s="144">
        <v>0.75</v>
      </c>
      <c r="E141" s="43"/>
      <c r="F141" s="8" t="s">
        <v>131</v>
      </c>
      <c r="G141" s="2">
        <v>1</v>
      </c>
      <c r="H141" s="2">
        <v>2</v>
      </c>
      <c r="I141" s="125">
        <v>2750</v>
      </c>
      <c r="J141" s="2" t="s">
        <v>766</v>
      </c>
      <c r="K141" s="109" t="s">
        <v>767</v>
      </c>
      <c r="L141" s="90">
        <v>20000</v>
      </c>
      <c r="M141" s="8">
        <v>15</v>
      </c>
      <c r="N141" s="39" t="s">
        <v>61</v>
      </c>
      <c r="O141" s="39" t="s">
        <v>49</v>
      </c>
      <c r="P141" s="210"/>
      <c r="Q141" s="19">
        <v>250</v>
      </c>
      <c r="R141" s="15">
        <f>Q141/I141</f>
        <v>9.0909090909090912E-2</v>
      </c>
      <c r="S141" s="177" t="s">
        <v>110</v>
      </c>
      <c r="T141" s="177"/>
      <c r="U141" s="109" t="s">
        <v>154</v>
      </c>
      <c r="V141" s="83" t="s">
        <v>362</v>
      </c>
      <c r="W141" s="8" t="s">
        <v>378</v>
      </c>
      <c r="AE141" s="2">
        <f>AC141*AD141</f>
        <v>0</v>
      </c>
      <c r="AF141" s="2" t="e">
        <f>Z141/Y141</f>
        <v>#DIV/0!</v>
      </c>
      <c r="AG141" s="2" t="e">
        <f>AA141/Z141</f>
        <v>#DIV/0!</v>
      </c>
      <c r="AH141" s="2" t="e">
        <f>AB141/AA141</f>
        <v>#DIV/0!</v>
      </c>
    </row>
    <row r="142" spans="1:34">
      <c r="A142" s="165" t="s">
        <v>1383</v>
      </c>
      <c r="B142" s="39" t="s">
        <v>63</v>
      </c>
      <c r="C142" s="40">
        <v>46170</v>
      </c>
      <c r="D142" s="144">
        <v>0.75</v>
      </c>
      <c r="E142" s="43"/>
      <c r="F142" s="8" t="s">
        <v>131</v>
      </c>
      <c r="G142" s="2">
        <v>1</v>
      </c>
      <c r="H142" s="2">
        <v>2</v>
      </c>
      <c r="I142" s="125">
        <v>2750</v>
      </c>
      <c r="J142" s="2" t="s">
        <v>766</v>
      </c>
      <c r="K142" s="150" t="s">
        <v>878</v>
      </c>
      <c r="L142" s="139">
        <v>20000</v>
      </c>
      <c r="M142" s="8">
        <v>15</v>
      </c>
      <c r="N142" s="39" t="s">
        <v>61</v>
      </c>
      <c r="O142" s="39" t="s">
        <v>49</v>
      </c>
      <c r="P142" s="210"/>
      <c r="Q142" s="19">
        <v>175</v>
      </c>
      <c r="R142" s="15">
        <f>Q142/I142</f>
        <v>6.363636363636363E-2</v>
      </c>
      <c r="S142" s="177" t="s">
        <v>110</v>
      </c>
      <c r="T142" s="177"/>
      <c r="U142" s="109" t="s">
        <v>154</v>
      </c>
      <c r="V142" s="83" t="s">
        <v>362</v>
      </c>
      <c r="W142" s="8" t="s">
        <v>378</v>
      </c>
      <c r="AE142" s="2">
        <f>AC142*AD142</f>
        <v>0</v>
      </c>
      <c r="AF142" s="2" t="e">
        <f>Z142/Y142</f>
        <v>#DIV/0!</v>
      </c>
      <c r="AG142" s="2" t="e">
        <f>AA142/Z142</f>
        <v>#DIV/0!</v>
      </c>
      <c r="AH142" s="2" t="e">
        <f>AB142/AA142</f>
        <v>#DIV/0!</v>
      </c>
    </row>
    <row r="143" spans="1:34">
      <c r="A143" s="52" t="s">
        <v>229</v>
      </c>
      <c r="B143" s="52" t="s">
        <v>230</v>
      </c>
      <c r="C143" s="40">
        <v>46170</v>
      </c>
      <c r="D143" s="42">
        <v>0.75</v>
      </c>
      <c r="E143" s="43"/>
      <c r="F143" s="8" t="s">
        <v>244</v>
      </c>
      <c r="G143" s="2">
        <v>1</v>
      </c>
      <c r="I143" s="125">
        <v>200</v>
      </c>
      <c r="J143" s="2" t="s">
        <v>766</v>
      </c>
      <c r="K143" s="88" t="s">
        <v>804</v>
      </c>
      <c r="L143" s="90">
        <v>30000</v>
      </c>
      <c r="M143" s="8">
        <v>20</v>
      </c>
      <c r="N143" s="39" t="s">
        <v>48</v>
      </c>
      <c r="O143" s="39" t="s">
        <v>49</v>
      </c>
      <c r="P143" s="135" t="s">
        <v>832</v>
      </c>
      <c r="Q143" s="19">
        <v>40</v>
      </c>
      <c r="R143" s="15">
        <f>IF(Q143&gt;0,Q143/I143,"")</f>
        <v>0.2</v>
      </c>
      <c r="S143" s="5">
        <f>($AC143*$AD143)/(($Z143/$Y143)+($AA143/$Z143)+($AB143/$AA143))</f>
        <v>35.555555555555557</v>
      </c>
      <c r="U143" s="109" t="s">
        <v>767</v>
      </c>
      <c r="V143" s="205" t="s">
        <v>719</v>
      </c>
      <c r="W143" s="205"/>
      <c r="Y143" s="2">
        <v>2</v>
      </c>
      <c r="Z143" s="2">
        <v>5</v>
      </c>
      <c r="AA143" s="2">
        <v>20</v>
      </c>
      <c r="AB143" s="2">
        <v>50</v>
      </c>
      <c r="AC143" s="2">
        <v>20</v>
      </c>
      <c r="AD143" s="2">
        <v>16</v>
      </c>
      <c r="AE143" s="2">
        <f>AC143*AD143</f>
        <v>320</v>
      </c>
      <c r="AF143" s="2">
        <f>Z143/Y143</f>
        <v>2.5</v>
      </c>
      <c r="AG143" s="2">
        <f>AA143/Z143</f>
        <v>4</v>
      </c>
      <c r="AH143" s="2">
        <f>AB143/AA143</f>
        <v>2.5</v>
      </c>
    </row>
    <row r="144" spans="1:34">
      <c r="A144" s="52" t="s">
        <v>220</v>
      </c>
      <c r="B144" s="52" t="s">
        <v>221</v>
      </c>
      <c r="C144" s="48">
        <v>46170</v>
      </c>
      <c r="D144" s="42">
        <v>0.75</v>
      </c>
      <c r="E144" s="43"/>
      <c r="F144" s="8" t="s">
        <v>1073</v>
      </c>
      <c r="G144" s="2">
        <v>1</v>
      </c>
      <c r="H144" s="2">
        <v>9</v>
      </c>
      <c r="I144" s="125">
        <v>1100</v>
      </c>
      <c r="J144" s="2" t="s">
        <v>766</v>
      </c>
      <c r="K144" s="88" t="s">
        <v>799</v>
      </c>
      <c r="L144" s="90">
        <v>30000</v>
      </c>
      <c r="M144" s="64">
        <v>20</v>
      </c>
      <c r="N144" s="39" t="s">
        <v>48</v>
      </c>
      <c r="O144" s="39" t="s">
        <v>49</v>
      </c>
      <c r="P144" s="212" t="s">
        <v>838</v>
      </c>
      <c r="Q144" s="19">
        <v>125</v>
      </c>
      <c r="R144" s="15">
        <f>Q144/I144</f>
        <v>0.11363636363636363</v>
      </c>
      <c r="S144" s="5">
        <f>($AC144*$AD144)/(($Z144/$Y144)+($AA144/$Z144)+($AB144/$AA144))</f>
        <v>62.448979591836739</v>
      </c>
      <c r="U144" s="109" t="s">
        <v>129</v>
      </c>
      <c r="V144" s="205" t="s">
        <v>738</v>
      </c>
      <c r="W144" s="205"/>
      <c r="Y144" s="2">
        <v>2</v>
      </c>
      <c r="Z144" s="2">
        <v>5</v>
      </c>
      <c r="AA144" s="2">
        <v>15</v>
      </c>
      <c r="AB144" s="2">
        <v>40</v>
      </c>
      <c r="AC144" s="2">
        <v>17</v>
      </c>
      <c r="AD144" s="2">
        <v>30</v>
      </c>
      <c r="AE144" s="2">
        <f>AC144*AD144</f>
        <v>510</v>
      </c>
      <c r="AF144" s="2">
        <f>Z144/Y144</f>
        <v>2.5</v>
      </c>
      <c r="AG144" s="2">
        <f>AA144/Z144</f>
        <v>3</v>
      </c>
      <c r="AH144" s="2">
        <f>AB144/AA144</f>
        <v>2.6666666666666665</v>
      </c>
    </row>
    <row r="145" spans="1:34">
      <c r="A145" s="96" t="s">
        <v>461</v>
      </c>
      <c r="B145" s="96" t="s">
        <v>462</v>
      </c>
      <c r="C145" s="40">
        <v>46170</v>
      </c>
      <c r="D145" s="42">
        <v>0.75694444444444442</v>
      </c>
      <c r="E145" s="43"/>
      <c r="F145" s="8" t="s">
        <v>458</v>
      </c>
      <c r="G145" s="2">
        <v>1</v>
      </c>
      <c r="I145" s="125">
        <v>200</v>
      </c>
      <c r="J145" s="2" t="s">
        <v>766</v>
      </c>
      <c r="K145" s="109" t="s">
        <v>602</v>
      </c>
      <c r="L145" s="8">
        <v>30000</v>
      </c>
      <c r="M145" s="202">
        <v>20</v>
      </c>
      <c r="N145" s="39" t="s">
        <v>48</v>
      </c>
      <c r="O145" s="39" t="s">
        <v>49</v>
      </c>
      <c r="P145" s="212" t="s">
        <v>833</v>
      </c>
      <c r="Q145" s="19">
        <v>40</v>
      </c>
      <c r="R145" s="15">
        <f>Q145/I145</f>
        <v>0.2</v>
      </c>
      <c r="S145" s="5">
        <f>($AC145*$AD145)/(($Z145/$Y145)+($AA145/$Z145)+($AB145/$AA145))</f>
        <v>41.632653061224495</v>
      </c>
      <c r="U145" s="109" t="s">
        <v>767</v>
      </c>
      <c r="V145" s="205" t="s">
        <v>735</v>
      </c>
      <c r="W145" s="205"/>
      <c r="Y145" s="2">
        <v>2</v>
      </c>
      <c r="Z145" s="2">
        <v>5</v>
      </c>
      <c r="AA145" s="2">
        <v>15</v>
      </c>
      <c r="AB145" s="2">
        <v>40</v>
      </c>
      <c r="AC145" s="2">
        <v>17</v>
      </c>
      <c r="AD145" s="2">
        <v>20</v>
      </c>
      <c r="AE145" s="2">
        <f>AC145*AD145</f>
        <v>340</v>
      </c>
      <c r="AF145" s="2">
        <f>Z145/Y145</f>
        <v>2.5</v>
      </c>
      <c r="AG145" s="2">
        <f>AA145/Z145</f>
        <v>3</v>
      </c>
      <c r="AH145" s="2">
        <f>AB145/AA145</f>
        <v>2.6666666666666665</v>
      </c>
    </row>
    <row r="146" spans="1:34">
      <c r="A146" s="68" t="s">
        <v>357</v>
      </c>
      <c r="B146" s="68" t="s">
        <v>358</v>
      </c>
      <c r="C146" s="48">
        <v>46170</v>
      </c>
      <c r="D146" s="42">
        <v>0.75694444444444442</v>
      </c>
      <c r="E146" s="194">
        <v>21</v>
      </c>
      <c r="F146" s="63" t="s">
        <v>292</v>
      </c>
      <c r="G146" s="2">
        <v>1</v>
      </c>
      <c r="H146" s="2">
        <v>9</v>
      </c>
      <c r="I146" s="125">
        <v>400</v>
      </c>
      <c r="J146" s="2" t="s">
        <v>766</v>
      </c>
      <c r="K146" s="137" t="s">
        <v>602</v>
      </c>
      <c r="L146" s="89">
        <v>25000</v>
      </c>
      <c r="M146" s="202">
        <v>30</v>
      </c>
      <c r="N146" s="39" t="s">
        <v>48</v>
      </c>
      <c r="O146" s="39" t="s">
        <v>49</v>
      </c>
      <c r="P146" s="212" t="s">
        <v>834</v>
      </c>
      <c r="Q146" s="19">
        <v>60</v>
      </c>
      <c r="R146" s="15">
        <f>Q146/I146</f>
        <v>0.15</v>
      </c>
      <c r="S146" s="5">
        <f>($AC146*$AD146)/(($Z146/$Y146)+($AA146/$Z146)+($AB146/$AA146))</f>
        <v>55.03292568203198</v>
      </c>
      <c r="U146" s="109" t="s">
        <v>219</v>
      </c>
      <c r="V146" s="205" t="s">
        <v>664</v>
      </c>
      <c r="W146" s="218" t="s">
        <v>656</v>
      </c>
      <c r="Y146" s="2">
        <v>2.5</v>
      </c>
      <c r="Z146" s="2">
        <v>6.5</v>
      </c>
      <c r="AA146" s="2">
        <v>20</v>
      </c>
      <c r="AB146" s="2">
        <v>50</v>
      </c>
      <c r="AC146" s="2">
        <v>30</v>
      </c>
      <c r="AD146" s="2">
        <v>15</v>
      </c>
      <c r="AE146" s="2">
        <f>AC146*AD146</f>
        <v>450</v>
      </c>
      <c r="AF146" s="2">
        <f>Z146/Y146</f>
        <v>2.6</v>
      </c>
      <c r="AG146" s="2">
        <f>AA146/Z146</f>
        <v>3.0769230769230771</v>
      </c>
      <c r="AH146" s="2">
        <f>AB146/AA146</f>
        <v>2.5</v>
      </c>
    </row>
    <row r="147" spans="1:34">
      <c r="A147" s="95" t="s">
        <v>447</v>
      </c>
      <c r="B147" s="95" t="s">
        <v>448</v>
      </c>
      <c r="C147" s="40">
        <v>46170</v>
      </c>
      <c r="D147" s="42">
        <v>0.79166666666666663</v>
      </c>
      <c r="E147" s="43"/>
      <c r="F147" s="194" t="s">
        <v>403</v>
      </c>
      <c r="G147" s="2">
        <v>1</v>
      </c>
      <c r="H147" s="2">
        <v>9</v>
      </c>
      <c r="I147" s="125">
        <v>300</v>
      </c>
      <c r="J147" s="2" t="s">
        <v>766</v>
      </c>
      <c r="K147" s="109" t="s">
        <v>602</v>
      </c>
      <c r="L147" s="8">
        <v>25000</v>
      </c>
      <c r="M147" s="8">
        <v>25</v>
      </c>
      <c r="N147" s="39" t="s">
        <v>48</v>
      </c>
      <c r="O147" s="39" t="s">
        <v>49</v>
      </c>
      <c r="P147" s="134" t="s">
        <v>834</v>
      </c>
      <c r="Q147" s="19">
        <v>50</v>
      </c>
      <c r="R147" s="15">
        <f>Q147/I147</f>
        <v>0.16666666666666666</v>
      </c>
      <c r="S147" s="5">
        <f>($AC147*$AD147)/(($Z147/$Y147)+($AA147/$Z147)+($AB147/$AA147))</f>
        <v>37.5</v>
      </c>
      <c r="U147" s="109" t="s">
        <v>767</v>
      </c>
      <c r="V147" s="205" t="s">
        <v>741</v>
      </c>
      <c r="W147" s="205"/>
      <c r="Y147" s="2">
        <v>2.5</v>
      </c>
      <c r="Z147" s="2">
        <v>7.5</v>
      </c>
      <c r="AA147" s="2">
        <v>25</v>
      </c>
      <c r="AB147" s="2">
        <v>75</v>
      </c>
      <c r="AC147" s="2">
        <v>14</v>
      </c>
      <c r="AD147" s="2">
        <v>25</v>
      </c>
      <c r="AE147" s="2">
        <f>AC147*AD147</f>
        <v>350</v>
      </c>
      <c r="AF147" s="2">
        <f>Z147/Y147</f>
        <v>3</v>
      </c>
      <c r="AG147" s="2">
        <f>AA147/Z147</f>
        <v>3.3333333333333335</v>
      </c>
      <c r="AH147" s="2">
        <f>AB147/AA147</f>
        <v>3</v>
      </c>
    </row>
    <row r="148" spans="1:34">
      <c r="A148" s="165" t="s">
        <v>1383</v>
      </c>
      <c r="B148" s="39" t="s">
        <v>63</v>
      </c>
      <c r="C148" s="192">
        <v>46170</v>
      </c>
      <c r="D148" s="144">
        <v>0.79166666666666663</v>
      </c>
      <c r="E148" s="43"/>
      <c r="F148" s="8" t="s">
        <v>917</v>
      </c>
      <c r="G148" s="2">
        <v>1</v>
      </c>
      <c r="H148" s="2">
        <v>9</v>
      </c>
      <c r="I148" s="57">
        <v>585</v>
      </c>
      <c r="J148" s="2" t="s">
        <v>766</v>
      </c>
      <c r="K148" s="88" t="s">
        <v>800</v>
      </c>
      <c r="L148" s="89">
        <v>10000</v>
      </c>
      <c r="M148" s="202">
        <v>20</v>
      </c>
      <c r="N148" s="132" t="s">
        <v>821</v>
      </c>
      <c r="O148" s="39" t="s">
        <v>49</v>
      </c>
      <c r="P148" s="210"/>
      <c r="Q148" s="19">
        <v>89</v>
      </c>
      <c r="R148" s="59">
        <f>Q148/I148</f>
        <v>0.15213675213675212</v>
      </c>
      <c r="S148" s="5">
        <v>29</v>
      </c>
      <c r="U148" s="109" t="s">
        <v>767</v>
      </c>
      <c r="V148" s="83" t="s">
        <v>362</v>
      </c>
      <c r="W148" s="8" t="s">
        <v>368</v>
      </c>
      <c r="Y148" s="175"/>
      <c r="Z148" s="175"/>
      <c r="AA148" s="175"/>
      <c r="AB148" s="175"/>
      <c r="AC148" s="175"/>
      <c r="AD148" s="175"/>
      <c r="AE148" s="175"/>
      <c r="AF148" s="175"/>
      <c r="AG148" s="175"/>
      <c r="AH148" s="175"/>
    </row>
    <row r="149" spans="1:34">
      <c r="A149" s="165" t="s">
        <v>1383</v>
      </c>
      <c r="B149" s="39" t="s">
        <v>63</v>
      </c>
      <c r="C149" s="192">
        <v>46170</v>
      </c>
      <c r="D149" s="144">
        <v>0.83333333333333337</v>
      </c>
      <c r="E149" s="194"/>
      <c r="F149" s="8" t="s">
        <v>1023</v>
      </c>
      <c r="G149" s="2">
        <v>1</v>
      </c>
      <c r="H149" s="2">
        <v>9</v>
      </c>
      <c r="I149" s="37">
        <v>200</v>
      </c>
      <c r="J149" s="2" t="s">
        <v>766</v>
      </c>
      <c r="K149" s="88" t="s">
        <v>806</v>
      </c>
      <c r="L149" s="89">
        <v>20000</v>
      </c>
      <c r="M149" s="205">
        <v>20</v>
      </c>
      <c r="N149" s="39" t="s">
        <v>817</v>
      </c>
      <c r="O149" s="39" t="s">
        <v>49</v>
      </c>
      <c r="P149" s="210"/>
      <c r="Q149" s="19">
        <v>45</v>
      </c>
      <c r="R149" s="15">
        <f>Q149/I149</f>
        <v>0.22500000000000001</v>
      </c>
      <c r="S149" s="5">
        <v>23</v>
      </c>
      <c r="U149" s="109" t="s">
        <v>129</v>
      </c>
      <c r="V149" s="71" t="s">
        <v>360</v>
      </c>
      <c r="W149" s="10"/>
      <c r="Y149" s="175"/>
      <c r="Z149" s="175"/>
      <c r="AA149" s="175"/>
      <c r="AB149" s="175"/>
      <c r="AC149" s="175"/>
      <c r="AD149" s="175"/>
      <c r="AE149" s="175"/>
      <c r="AF149" s="175"/>
      <c r="AG149" s="175"/>
      <c r="AH149" s="175"/>
    </row>
    <row r="150" spans="1:34">
      <c r="A150" s="165" t="s">
        <v>1383</v>
      </c>
      <c r="B150" s="39" t="s">
        <v>63</v>
      </c>
      <c r="C150" s="192">
        <v>46170</v>
      </c>
      <c r="D150" s="144">
        <v>0.91666666666666663</v>
      </c>
      <c r="E150" s="43"/>
      <c r="F150" s="8" t="s">
        <v>909</v>
      </c>
      <c r="G150" s="2">
        <v>1</v>
      </c>
      <c r="H150" s="2">
        <v>9</v>
      </c>
      <c r="I150" s="37">
        <v>135</v>
      </c>
      <c r="J150" s="2" t="s">
        <v>766</v>
      </c>
      <c r="K150" s="88" t="s">
        <v>813</v>
      </c>
      <c r="L150" s="89">
        <v>10000</v>
      </c>
      <c r="M150" s="202">
        <v>15</v>
      </c>
      <c r="N150" s="132" t="s">
        <v>821</v>
      </c>
      <c r="O150" s="39" t="s">
        <v>49</v>
      </c>
      <c r="P150" s="210"/>
      <c r="Q150" s="19">
        <v>35</v>
      </c>
      <c r="R150" s="15">
        <f>Q150/I150</f>
        <v>0.25925925925925924</v>
      </c>
      <c r="S150" s="5">
        <v>22</v>
      </c>
      <c r="U150" s="109" t="s">
        <v>767</v>
      </c>
      <c r="V150" s="71" t="s">
        <v>362</v>
      </c>
      <c r="W150" s="8" t="s">
        <v>369</v>
      </c>
      <c r="Y150" s="175"/>
      <c r="Z150" s="175"/>
      <c r="AA150" s="175"/>
      <c r="AB150" s="175"/>
      <c r="AC150" s="175"/>
      <c r="AD150" s="175"/>
      <c r="AE150" s="175"/>
      <c r="AF150" s="175"/>
      <c r="AG150" s="175"/>
      <c r="AH150" s="175"/>
    </row>
    <row r="151" spans="1:34">
      <c r="A151" s="96" t="s">
        <v>461</v>
      </c>
      <c r="B151" s="96" t="s">
        <v>462</v>
      </c>
      <c r="C151" s="40">
        <v>46170</v>
      </c>
      <c r="D151" s="42">
        <v>0.92361111111111116</v>
      </c>
      <c r="E151" s="43"/>
      <c r="F151" s="8" t="s">
        <v>456</v>
      </c>
      <c r="G151" s="2">
        <v>1</v>
      </c>
      <c r="I151" s="125">
        <v>120</v>
      </c>
      <c r="J151" s="2" t="s">
        <v>766</v>
      </c>
      <c r="K151" s="109" t="s">
        <v>737</v>
      </c>
      <c r="L151" s="8">
        <v>20000</v>
      </c>
      <c r="M151" s="202">
        <v>15</v>
      </c>
      <c r="N151" s="39" t="s">
        <v>48</v>
      </c>
      <c r="O151" s="39" t="s">
        <v>49</v>
      </c>
      <c r="P151" s="135" t="s">
        <v>827</v>
      </c>
      <c r="Q151" s="19">
        <v>24</v>
      </c>
      <c r="R151" s="15">
        <f>Q151/I151</f>
        <v>0.2</v>
      </c>
      <c r="S151" s="5">
        <f>($AC151*$AD151)/(($Z151/$Y151)+($AA151/$Z151)+($AB151/$AA151))</f>
        <v>25.161290322580644</v>
      </c>
      <c r="U151" s="109" t="s">
        <v>463</v>
      </c>
      <c r="V151" s="2" t="s">
        <v>735</v>
      </c>
      <c r="W151" s="96" t="s">
        <v>464</v>
      </c>
      <c r="Y151" s="2">
        <v>2.5</v>
      </c>
      <c r="Z151" s="2">
        <v>7.5</v>
      </c>
      <c r="AA151" s="2">
        <v>30</v>
      </c>
      <c r="AB151" s="2">
        <v>100</v>
      </c>
      <c r="AC151" s="2">
        <v>13</v>
      </c>
      <c r="AD151" s="2">
        <v>20</v>
      </c>
      <c r="AE151" s="2">
        <f>AC151*AD151</f>
        <v>260</v>
      </c>
      <c r="AF151" s="2">
        <f>Z151/Y151</f>
        <v>3</v>
      </c>
      <c r="AG151" s="2">
        <f>AA151/Z151</f>
        <v>4</v>
      </c>
      <c r="AH151" s="2">
        <f>AB151/AA151</f>
        <v>3.3333333333333335</v>
      </c>
    </row>
    <row r="152" spans="1:34">
      <c r="A152" s="165" t="s">
        <v>1383</v>
      </c>
      <c r="B152" s="36" t="s">
        <v>63</v>
      </c>
      <c r="C152" s="4">
        <v>46170</v>
      </c>
      <c r="D152" s="144" t="s">
        <v>117</v>
      </c>
      <c r="E152" s="228">
        <v>1</v>
      </c>
      <c r="F152" s="8" t="s">
        <v>928</v>
      </c>
      <c r="G152" s="2">
        <v>3</v>
      </c>
      <c r="H152" s="2">
        <v>9</v>
      </c>
      <c r="I152" s="37">
        <v>550</v>
      </c>
      <c r="J152" s="2" t="s">
        <v>763</v>
      </c>
      <c r="K152" s="109" t="s">
        <v>815</v>
      </c>
      <c r="L152" s="89">
        <v>25000</v>
      </c>
      <c r="M152" s="202" t="s">
        <v>22</v>
      </c>
      <c r="N152" s="39" t="s">
        <v>48</v>
      </c>
      <c r="O152" s="39" t="s">
        <v>49</v>
      </c>
      <c r="Q152" s="19">
        <f>R152*I152</f>
        <v>93.5</v>
      </c>
      <c r="R152" s="15">
        <v>0.17</v>
      </c>
      <c r="S152" s="5">
        <v>69</v>
      </c>
      <c r="U152" s="109" t="s">
        <v>55</v>
      </c>
      <c r="V152" s="2" t="s">
        <v>121</v>
      </c>
      <c r="Y152" s="175"/>
      <c r="Z152" s="175"/>
      <c r="AA152" s="175"/>
      <c r="AB152" s="175"/>
      <c r="AC152" s="175"/>
      <c r="AD152" s="175"/>
      <c r="AE152" s="175"/>
      <c r="AF152" s="175"/>
      <c r="AG152" s="175"/>
      <c r="AH152" s="175"/>
    </row>
    <row r="153" spans="1:34">
      <c r="A153" s="165" t="s">
        <v>1383</v>
      </c>
      <c r="B153" s="36" t="s">
        <v>63</v>
      </c>
      <c r="C153" s="192">
        <v>46170</v>
      </c>
      <c r="D153" s="144" t="s">
        <v>115</v>
      </c>
      <c r="E153">
        <v>3</v>
      </c>
      <c r="F153" s="8" t="s">
        <v>1288</v>
      </c>
      <c r="G153" s="2">
        <v>2</v>
      </c>
      <c r="H153" s="2">
        <v>9</v>
      </c>
      <c r="I153" s="37">
        <v>500</v>
      </c>
      <c r="J153" s="2" t="s">
        <v>760</v>
      </c>
      <c r="K153" s="109" t="s">
        <v>598</v>
      </c>
      <c r="L153" s="89">
        <v>25000</v>
      </c>
      <c r="M153" s="202">
        <v>40</v>
      </c>
      <c r="N153" s="39" t="s">
        <v>48</v>
      </c>
      <c r="O153" s="39" t="s">
        <v>49</v>
      </c>
      <c r="P153" s="210"/>
      <c r="Q153" s="19">
        <f>R153*I153</f>
        <v>85</v>
      </c>
      <c r="R153" s="15">
        <v>0.17</v>
      </c>
      <c r="S153" s="5">
        <v>94</v>
      </c>
      <c r="U153" s="109" t="s">
        <v>851</v>
      </c>
      <c r="V153" s="205" t="s">
        <v>121</v>
      </c>
      <c r="Y153" s="175"/>
      <c r="Z153" s="175"/>
      <c r="AA153" s="175"/>
      <c r="AB153" s="175"/>
      <c r="AC153" s="175"/>
      <c r="AD153" s="175"/>
      <c r="AE153" s="175"/>
      <c r="AF153" s="175"/>
      <c r="AG153" s="175"/>
      <c r="AH153" s="175"/>
    </row>
    <row r="154" spans="1:34">
      <c r="A154" s="165" t="s">
        <v>1383</v>
      </c>
      <c r="B154" s="36" t="s">
        <v>63</v>
      </c>
      <c r="C154" s="192">
        <v>46170</v>
      </c>
      <c r="D154" s="144" t="s">
        <v>115</v>
      </c>
      <c r="E154" s="194">
        <v>5</v>
      </c>
      <c r="F154" s="8" t="s">
        <v>159</v>
      </c>
      <c r="G154" s="2">
        <v>3</v>
      </c>
      <c r="H154" s="2">
        <v>8</v>
      </c>
      <c r="I154" s="37">
        <v>5000</v>
      </c>
      <c r="J154" s="2" t="s">
        <v>762</v>
      </c>
      <c r="K154" s="109" t="s">
        <v>601</v>
      </c>
      <c r="L154" s="89">
        <v>50000</v>
      </c>
      <c r="M154" s="202" t="s">
        <v>97</v>
      </c>
      <c r="N154" s="39" t="s">
        <v>48</v>
      </c>
      <c r="O154" s="39" t="s">
        <v>57</v>
      </c>
      <c r="P154" s="213"/>
      <c r="Q154" s="38">
        <f>R154*I154</f>
        <v>400</v>
      </c>
      <c r="R154" s="15">
        <v>0.08</v>
      </c>
      <c r="S154" s="149" t="s">
        <v>110</v>
      </c>
      <c r="T154" s="149"/>
      <c r="U154" s="109" t="s">
        <v>767</v>
      </c>
      <c r="V154" s="2" t="s">
        <v>121</v>
      </c>
      <c r="W154" s="205"/>
      <c r="Y154" s="70"/>
      <c r="Z154" s="70"/>
      <c r="AA154" s="70"/>
      <c r="AC154" s="70"/>
      <c r="AD154" s="70"/>
      <c r="AE154" s="2" t="e">
        <f>AD154*#REF!</f>
        <v>#REF!</v>
      </c>
      <c r="AF154" s="2" t="e">
        <f>Z154/Y154</f>
        <v>#DIV/0!</v>
      </c>
      <c r="AG154" s="2" t="e">
        <f>AA154/Z154</f>
        <v>#DIV/0!</v>
      </c>
      <c r="AH154" s="2" t="e">
        <f>AC154/AA154</f>
        <v>#DIV/0!</v>
      </c>
    </row>
    <row r="155" spans="1:34">
      <c r="A155" s="165" t="s">
        <v>1383</v>
      </c>
      <c r="B155" s="36" t="s">
        <v>63</v>
      </c>
      <c r="C155" s="192">
        <v>46170</v>
      </c>
      <c r="D155" s="144" t="s">
        <v>116</v>
      </c>
      <c r="E155" s="194">
        <v>6</v>
      </c>
      <c r="F155" s="8" t="s">
        <v>156</v>
      </c>
      <c r="G155" s="2">
        <v>3</v>
      </c>
      <c r="H155" s="2">
        <v>2</v>
      </c>
      <c r="I155" s="37">
        <v>1500</v>
      </c>
      <c r="J155" s="2" t="s">
        <v>110</v>
      </c>
      <c r="K155" s="109" t="s">
        <v>598</v>
      </c>
      <c r="L155" s="89">
        <v>25000</v>
      </c>
      <c r="M155" s="202" t="s">
        <v>97</v>
      </c>
      <c r="N155" s="39" t="s">
        <v>48</v>
      </c>
      <c r="O155" s="39" t="s">
        <v>371</v>
      </c>
      <c r="P155" s="213"/>
      <c r="Q155" s="38">
        <f>R155*I155</f>
        <v>172.5</v>
      </c>
      <c r="R155" s="15">
        <v>0.115</v>
      </c>
      <c r="S155" s="149" t="s">
        <v>110</v>
      </c>
      <c r="T155" s="149"/>
      <c r="U155" s="109" t="s">
        <v>767</v>
      </c>
      <c r="V155" s="2" t="s">
        <v>121</v>
      </c>
      <c r="AE155" s="2" t="e">
        <f>AD155*#REF!</f>
        <v>#REF!</v>
      </c>
      <c r="AF155" s="2" t="e">
        <f>Z155/Y155</f>
        <v>#DIV/0!</v>
      </c>
      <c r="AG155" s="2" t="e">
        <f>AA155/Z155</f>
        <v>#DIV/0!</v>
      </c>
      <c r="AH155" s="2" t="e">
        <f>AC155/AA155</f>
        <v>#DIV/0!</v>
      </c>
    </row>
    <row r="156" spans="1:34">
      <c r="A156" s="96" t="s">
        <v>461</v>
      </c>
      <c r="B156" s="96" t="s">
        <v>462</v>
      </c>
      <c r="C156" s="40">
        <v>46171</v>
      </c>
      <c r="D156" s="42">
        <v>0.4236111111111111</v>
      </c>
      <c r="E156" s="43"/>
      <c r="F156" s="8" t="s">
        <v>457</v>
      </c>
      <c r="G156" s="2">
        <v>1</v>
      </c>
      <c r="I156" s="125">
        <v>120</v>
      </c>
      <c r="J156" s="2" t="s">
        <v>766</v>
      </c>
      <c r="K156" s="109" t="s">
        <v>602</v>
      </c>
      <c r="L156" s="8">
        <v>20000</v>
      </c>
      <c r="M156" s="202">
        <v>20</v>
      </c>
      <c r="N156" s="39" t="s">
        <v>48</v>
      </c>
      <c r="O156" s="39" t="s">
        <v>49</v>
      </c>
      <c r="P156" s="135" t="s">
        <v>832</v>
      </c>
      <c r="Q156" s="19">
        <v>24</v>
      </c>
      <c r="R156" s="15">
        <f>Q156/I156</f>
        <v>0.2</v>
      </c>
      <c r="S156" s="5">
        <f>($AC156*$AD156)/(($Z156/$Y156)+($AA156/$Z156)+($AB156/$AA156))</f>
        <v>25.161290322580644</v>
      </c>
      <c r="U156" s="109" t="s">
        <v>767</v>
      </c>
      <c r="V156" s="2" t="s">
        <v>735</v>
      </c>
      <c r="Y156" s="2">
        <v>2.5</v>
      </c>
      <c r="Z156" s="2">
        <v>7.5</v>
      </c>
      <c r="AA156" s="2">
        <v>30</v>
      </c>
      <c r="AB156" s="2">
        <v>100</v>
      </c>
      <c r="AC156" s="2">
        <v>13</v>
      </c>
      <c r="AD156" s="2">
        <v>20</v>
      </c>
      <c r="AE156" s="2">
        <f>AC156*AD156</f>
        <v>260</v>
      </c>
      <c r="AF156" s="2">
        <f>Z156/Y156</f>
        <v>3</v>
      </c>
      <c r="AG156" s="2">
        <f>AA156/Z156</f>
        <v>4</v>
      </c>
      <c r="AH156" s="2">
        <f>AB156/AA156</f>
        <v>3.3333333333333335</v>
      </c>
    </row>
    <row r="157" spans="1:34">
      <c r="A157" s="95" t="s">
        <v>447</v>
      </c>
      <c r="B157" s="95" t="s">
        <v>448</v>
      </c>
      <c r="C157" s="40">
        <v>46171</v>
      </c>
      <c r="D157" s="42">
        <v>0.45833333333333331</v>
      </c>
      <c r="E157" s="43"/>
      <c r="F157" s="8" t="s">
        <v>406</v>
      </c>
      <c r="G157" s="2">
        <v>1</v>
      </c>
      <c r="H157" s="2">
        <v>8</v>
      </c>
      <c r="I157" s="125">
        <v>600</v>
      </c>
      <c r="J157" s="2" t="s">
        <v>766</v>
      </c>
      <c r="K157" s="109" t="s">
        <v>602</v>
      </c>
      <c r="L157" s="8">
        <v>30000</v>
      </c>
      <c r="M157" s="8">
        <v>30</v>
      </c>
      <c r="N157" s="39" t="s">
        <v>48</v>
      </c>
      <c r="O157" s="39" t="s">
        <v>451</v>
      </c>
      <c r="P157" s="63">
        <v>30000</v>
      </c>
      <c r="Q157" s="2">
        <v>90</v>
      </c>
      <c r="R157" s="15">
        <f>Q157/I157</f>
        <v>0.15</v>
      </c>
      <c r="S157" s="176" t="s">
        <v>110</v>
      </c>
      <c r="T157" s="176"/>
      <c r="U157" s="109" t="s">
        <v>767</v>
      </c>
      <c r="V157" s="2" t="s">
        <v>741</v>
      </c>
      <c r="AE157" s="2">
        <f>AC157*AD157</f>
        <v>0</v>
      </c>
      <c r="AF157" s="2" t="e">
        <f>Z157/Y157</f>
        <v>#DIV/0!</v>
      </c>
      <c r="AG157" s="2" t="e">
        <f>AA157/Z157</f>
        <v>#DIV/0!</v>
      </c>
      <c r="AH157" s="2" t="e">
        <f>AB157/AA157</f>
        <v>#DIV/0!</v>
      </c>
    </row>
    <row r="158" spans="1:34">
      <c r="A158" s="52" t="s">
        <v>229</v>
      </c>
      <c r="B158" s="52" t="s">
        <v>230</v>
      </c>
      <c r="C158" s="40">
        <v>46171</v>
      </c>
      <c r="D158" s="42">
        <v>0.45833333333333331</v>
      </c>
      <c r="E158" s="43"/>
      <c r="F158" s="8" t="s">
        <v>249</v>
      </c>
      <c r="G158" s="2">
        <v>1</v>
      </c>
      <c r="I158" s="125">
        <v>300</v>
      </c>
      <c r="J158" s="2" t="s">
        <v>766</v>
      </c>
      <c r="K158" s="88" t="s">
        <v>788</v>
      </c>
      <c r="L158" s="90">
        <v>30000</v>
      </c>
      <c r="M158" s="8">
        <v>30</v>
      </c>
      <c r="N158" s="39" t="s">
        <v>48</v>
      </c>
      <c r="O158" s="39" t="s">
        <v>49</v>
      </c>
      <c r="P158" s="134" t="s">
        <v>835</v>
      </c>
      <c r="Q158" s="19">
        <v>45</v>
      </c>
      <c r="R158" s="15">
        <f>IF(Q158&gt;0,Q158/I158,"")</f>
        <v>0.15</v>
      </c>
      <c r="S158" s="5">
        <f>($AC158*$AD158)/(($Z158/$Y158)+($AA158/$Z158)+($AB158/$AA158))</f>
        <v>72.897196261682254</v>
      </c>
      <c r="U158" s="109" t="s">
        <v>767</v>
      </c>
      <c r="V158" s="205" t="s">
        <v>719</v>
      </c>
      <c r="W158" s="205"/>
      <c r="Y158" s="2">
        <v>2</v>
      </c>
      <c r="Z158" s="2">
        <v>5</v>
      </c>
      <c r="AA158" s="2">
        <v>13</v>
      </c>
      <c r="AB158" s="2">
        <v>30</v>
      </c>
      <c r="AC158" s="2">
        <v>18</v>
      </c>
      <c r="AD158" s="2">
        <v>30</v>
      </c>
      <c r="AE158" s="2">
        <f>AC158*AD158</f>
        <v>540</v>
      </c>
      <c r="AF158" s="2">
        <f>Z158/Y158</f>
        <v>2.5</v>
      </c>
      <c r="AG158" s="2">
        <f>AA158/Z158</f>
        <v>2.6</v>
      </c>
      <c r="AH158" s="2">
        <f>AB158/AA158</f>
        <v>2.3076923076923075</v>
      </c>
    </row>
    <row r="159" spans="1:34">
      <c r="A159" s="52" t="s">
        <v>220</v>
      </c>
      <c r="B159" s="52" t="s">
        <v>221</v>
      </c>
      <c r="C159" s="48">
        <v>46171</v>
      </c>
      <c r="D159" s="42">
        <v>0.45833333333333331</v>
      </c>
      <c r="E159" s="43"/>
      <c r="F159" s="8" t="s">
        <v>1044</v>
      </c>
      <c r="G159" s="2">
        <v>2</v>
      </c>
      <c r="H159" s="2">
        <v>9</v>
      </c>
      <c r="I159" s="125">
        <v>1100</v>
      </c>
      <c r="J159" s="2" t="s">
        <v>766</v>
      </c>
      <c r="K159" s="88" t="s">
        <v>791</v>
      </c>
      <c r="L159" s="90">
        <v>40000</v>
      </c>
      <c r="M159" s="64">
        <v>40</v>
      </c>
      <c r="N159" s="39" t="s">
        <v>48</v>
      </c>
      <c r="O159" s="39" t="s">
        <v>49</v>
      </c>
      <c r="P159" s="135" t="s">
        <v>848</v>
      </c>
      <c r="Q159" s="19">
        <v>135</v>
      </c>
      <c r="R159" s="15">
        <f>Q159/I159</f>
        <v>0.12272727272727273</v>
      </c>
      <c r="S159" s="5">
        <f>($AC159*$AD159)/(($Z159/$Y159)+($AA159/$Z159)+($AB159/$AA159))</f>
        <v>102.59605399792316</v>
      </c>
      <c r="U159" s="109" t="s">
        <v>767</v>
      </c>
      <c r="V159" s="10" t="s">
        <v>738</v>
      </c>
      <c r="W159" s="205"/>
      <c r="Y159" s="2">
        <v>2</v>
      </c>
      <c r="Z159" s="2">
        <v>5</v>
      </c>
      <c r="AA159" s="2">
        <v>13</v>
      </c>
      <c r="AB159" s="2">
        <v>30</v>
      </c>
      <c r="AC159" s="2">
        <v>40</v>
      </c>
      <c r="AD159" s="2">
        <v>19</v>
      </c>
      <c r="AE159" s="2">
        <f>AC159*AD159</f>
        <v>760</v>
      </c>
      <c r="AF159" s="2">
        <f>Z159/Y159</f>
        <v>2.5</v>
      </c>
      <c r="AG159" s="2">
        <f>AA159/Z159</f>
        <v>2.6</v>
      </c>
      <c r="AH159" s="2">
        <f>AB159/AA159</f>
        <v>2.3076923076923075</v>
      </c>
    </row>
    <row r="160" spans="1:34">
      <c r="A160" s="68" t="s">
        <v>357</v>
      </c>
      <c r="B160" s="68" t="s">
        <v>358</v>
      </c>
      <c r="C160" s="48">
        <v>46171</v>
      </c>
      <c r="D160" s="42">
        <v>0.46527777777777779</v>
      </c>
      <c r="E160" s="194">
        <v>22</v>
      </c>
      <c r="F160" s="63" t="s">
        <v>290</v>
      </c>
      <c r="G160" s="2">
        <v>1</v>
      </c>
      <c r="H160" s="2">
        <v>9</v>
      </c>
      <c r="I160" s="125">
        <v>600</v>
      </c>
      <c r="J160" s="2" t="s">
        <v>766</v>
      </c>
      <c r="K160" s="137" t="s">
        <v>815</v>
      </c>
      <c r="L160" s="89">
        <v>30000</v>
      </c>
      <c r="M160" s="202">
        <v>30</v>
      </c>
      <c r="N160" s="39" t="s">
        <v>48</v>
      </c>
      <c r="O160" s="39" t="s">
        <v>49</v>
      </c>
      <c r="P160" s="212" t="s">
        <v>836</v>
      </c>
      <c r="Q160" s="19">
        <v>90</v>
      </c>
      <c r="R160" s="15">
        <f>Q160/I160</f>
        <v>0.15</v>
      </c>
      <c r="S160" s="5">
        <f>($AC160*$AD160)/(($Z160/$Y160)+($AA160/$Z160)+($AB160/$AA160))</f>
        <v>67.332430602572785</v>
      </c>
      <c r="U160" s="109" t="s">
        <v>219</v>
      </c>
      <c r="V160" s="2" t="s">
        <v>661</v>
      </c>
      <c r="W160" s="220" t="s">
        <v>389</v>
      </c>
      <c r="Y160" s="2">
        <v>2.5</v>
      </c>
      <c r="Z160" s="2">
        <v>6.5</v>
      </c>
      <c r="AA160" s="2">
        <v>15</v>
      </c>
      <c r="AB160" s="2">
        <v>40</v>
      </c>
      <c r="AC160" s="2">
        <v>30</v>
      </c>
      <c r="AD160" s="2">
        <v>17</v>
      </c>
      <c r="AE160" s="2">
        <f>AC160*AD160</f>
        <v>510</v>
      </c>
      <c r="AF160" s="2">
        <f>Z160/Y160</f>
        <v>2.6</v>
      </c>
      <c r="AG160" s="2">
        <f>AA160/Z160</f>
        <v>2.3076923076923075</v>
      </c>
      <c r="AH160" s="2">
        <f>AB160/AA160</f>
        <v>2.6666666666666665</v>
      </c>
    </row>
    <row r="161" spans="1:34">
      <c r="A161" s="165" t="s">
        <v>1383</v>
      </c>
      <c r="B161" s="36" t="s">
        <v>63</v>
      </c>
      <c r="C161" s="192">
        <v>46171</v>
      </c>
      <c r="D161" s="144">
        <v>0.5</v>
      </c>
      <c r="E161" s="194">
        <v>5</v>
      </c>
      <c r="F161" s="8" t="s">
        <v>1282</v>
      </c>
      <c r="G161" s="2">
        <v>3</v>
      </c>
      <c r="H161" s="2">
        <v>8</v>
      </c>
      <c r="I161" s="37">
        <v>5000</v>
      </c>
      <c r="J161" s="2" t="s">
        <v>762</v>
      </c>
      <c r="K161" s="109" t="s">
        <v>601</v>
      </c>
      <c r="L161" s="89">
        <v>50000</v>
      </c>
      <c r="M161" s="202" t="s">
        <v>97</v>
      </c>
      <c r="N161" s="39" t="s">
        <v>48</v>
      </c>
      <c r="O161" s="39" t="s">
        <v>57</v>
      </c>
      <c r="P161" s="19"/>
      <c r="Q161" s="38">
        <f>R161*I161</f>
        <v>400</v>
      </c>
      <c r="R161" s="15">
        <v>0.08</v>
      </c>
      <c r="S161" s="149" t="s">
        <v>110</v>
      </c>
      <c r="T161" s="149"/>
      <c r="U161" s="109" t="s">
        <v>767</v>
      </c>
      <c r="V161" s="10" t="s">
        <v>121</v>
      </c>
      <c r="W161" s="205"/>
      <c r="Y161" s="70"/>
      <c r="Z161" s="70"/>
      <c r="AA161" s="70"/>
      <c r="AC161" s="70"/>
      <c r="AD161" s="70"/>
      <c r="AE161" s="2" t="e">
        <f>AD161*#REF!</f>
        <v>#REF!</v>
      </c>
      <c r="AF161" s="2" t="e">
        <f>Z161/Y161</f>
        <v>#DIV/0!</v>
      </c>
      <c r="AG161" s="2" t="e">
        <f>AA161/Z161</f>
        <v>#DIV/0!</v>
      </c>
      <c r="AH161" s="2" t="e">
        <f>AC161/AA161</f>
        <v>#DIV/0!</v>
      </c>
    </row>
    <row r="162" spans="1:34">
      <c r="A162" s="165" t="s">
        <v>1383</v>
      </c>
      <c r="B162" s="39" t="s">
        <v>63</v>
      </c>
      <c r="C162" s="40">
        <v>46171</v>
      </c>
      <c r="D162" s="144">
        <v>0.5</v>
      </c>
      <c r="E162" s="43"/>
      <c r="F162" s="8" t="s">
        <v>130</v>
      </c>
      <c r="G162" s="2">
        <v>1</v>
      </c>
      <c r="H162" s="2">
        <v>9</v>
      </c>
      <c r="I162" s="125">
        <v>70</v>
      </c>
      <c r="J162" s="2" t="s">
        <v>766</v>
      </c>
      <c r="K162" s="88" t="s">
        <v>771</v>
      </c>
      <c r="L162" s="90">
        <v>10000</v>
      </c>
      <c r="M162" s="8">
        <v>10</v>
      </c>
      <c r="N162" s="132" t="s">
        <v>821</v>
      </c>
      <c r="O162" s="39" t="s">
        <v>49</v>
      </c>
      <c r="Q162" s="19">
        <v>20</v>
      </c>
      <c r="R162" s="15">
        <f>Q162/I162</f>
        <v>0.2857142857142857</v>
      </c>
      <c r="S162" s="5">
        <v>15</v>
      </c>
      <c r="U162" s="109" t="s">
        <v>767</v>
      </c>
      <c r="V162" s="21" t="s">
        <v>362</v>
      </c>
      <c r="W162" s="46" t="s">
        <v>139</v>
      </c>
      <c r="Y162" s="175"/>
      <c r="Z162" s="175"/>
      <c r="AA162" s="175"/>
      <c r="AB162" s="175"/>
      <c r="AC162" s="175"/>
      <c r="AD162" s="175"/>
      <c r="AE162" s="175"/>
      <c r="AF162" s="175"/>
      <c r="AG162" s="175"/>
      <c r="AH162" s="175"/>
    </row>
    <row r="163" spans="1:34">
      <c r="A163" s="52" t="s">
        <v>220</v>
      </c>
      <c r="B163" s="52" t="s">
        <v>221</v>
      </c>
      <c r="C163" s="48">
        <v>46171</v>
      </c>
      <c r="D163" s="42">
        <v>0.5</v>
      </c>
      <c r="E163" s="43"/>
      <c r="F163" s="8" t="s">
        <v>1213</v>
      </c>
      <c r="G163" s="2">
        <v>2</v>
      </c>
      <c r="H163" s="2">
        <v>9</v>
      </c>
      <c r="I163" s="125">
        <v>1100</v>
      </c>
      <c r="J163" s="2" t="s">
        <v>766</v>
      </c>
      <c r="K163" s="109" t="s">
        <v>767</v>
      </c>
      <c r="L163" s="90">
        <v>40000</v>
      </c>
      <c r="M163" s="64">
        <v>40</v>
      </c>
      <c r="N163" s="39" t="s">
        <v>48</v>
      </c>
      <c r="O163" s="39" t="s">
        <v>49</v>
      </c>
      <c r="P163" s="135" t="s">
        <v>843</v>
      </c>
      <c r="Q163" s="19">
        <v>135</v>
      </c>
      <c r="R163" s="15">
        <f>Q163/I163</f>
        <v>0.12272727272727273</v>
      </c>
      <c r="S163" s="5">
        <f>($AC163*$AD163)/(($Z163/$Y163)+($AA163/$Z163)+($AB163/$AA163))</f>
        <v>102.59605399792316</v>
      </c>
      <c r="U163" s="109" t="s">
        <v>54</v>
      </c>
      <c r="V163" s="2" t="s">
        <v>738</v>
      </c>
      <c r="W163" s="205"/>
      <c r="Y163" s="2">
        <v>2</v>
      </c>
      <c r="Z163" s="2">
        <v>5</v>
      </c>
      <c r="AA163" s="2">
        <v>13</v>
      </c>
      <c r="AB163" s="2">
        <v>30</v>
      </c>
      <c r="AC163" s="2">
        <v>19</v>
      </c>
      <c r="AD163" s="2">
        <v>40</v>
      </c>
      <c r="AE163" s="2">
        <f>AC163*AD163</f>
        <v>760</v>
      </c>
      <c r="AF163" s="2">
        <f>Z163/Y163</f>
        <v>2.5</v>
      </c>
      <c r="AG163" s="2">
        <f>AA163/Z163</f>
        <v>2.6</v>
      </c>
      <c r="AH163" s="2">
        <f>AB163/AA163</f>
        <v>2.3076923076923075</v>
      </c>
    </row>
    <row r="164" spans="1:34">
      <c r="A164" s="68" t="s">
        <v>357</v>
      </c>
      <c r="B164" s="68" t="s">
        <v>358</v>
      </c>
      <c r="C164" s="48">
        <v>46171</v>
      </c>
      <c r="D164" s="42">
        <v>0.50694444444444442</v>
      </c>
      <c r="E164" s="194">
        <v>23</v>
      </c>
      <c r="F164" s="63" t="s">
        <v>293</v>
      </c>
      <c r="G164" s="2">
        <v>1</v>
      </c>
      <c r="H164" s="2">
        <v>8</v>
      </c>
      <c r="I164" s="125">
        <v>800</v>
      </c>
      <c r="J164" s="2" t="s">
        <v>766</v>
      </c>
      <c r="K164" s="137" t="s">
        <v>815</v>
      </c>
      <c r="L164" s="89">
        <v>30000</v>
      </c>
      <c r="M164" s="202">
        <v>30</v>
      </c>
      <c r="N164" s="39" t="s">
        <v>48</v>
      </c>
      <c r="O164" s="39" t="s">
        <v>359</v>
      </c>
      <c r="P164" s="234">
        <v>75000</v>
      </c>
      <c r="Q164" s="2">
        <v>100</v>
      </c>
      <c r="R164" s="15">
        <f>Q164/I164</f>
        <v>0.125</v>
      </c>
      <c r="S164" s="149" t="s">
        <v>110</v>
      </c>
      <c r="T164" s="149"/>
      <c r="U164" s="109" t="s">
        <v>767</v>
      </c>
      <c r="V164" s="2" t="s">
        <v>665</v>
      </c>
      <c r="W164" s="205"/>
      <c r="AE164" s="2">
        <f>AC164*AD164</f>
        <v>0</v>
      </c>
      <c r="AF164" s="2" t="e">
        <f>Z164/Y164</f>
        <v>#DIV/0!</v>
      </c>
      <c r="AG164" s="2" t="e">
        <f>AA164/Z164</f>
        <v>#DIV/0!</v>
      </c>
      <c r="AH164" s="2" t="e">
        <f>AB164/AA164</f>
        <v>#DIV/0!</v>
      </c>
    </row>
    <row r="165" spans="1:34">
      <c r="A165" s="95" t="s">
        <v>447</v>
      </c>
      <c r="B165" s="95" t="s">
        <v>448</v>
      </c>
      <c r="C165" s="40">
        <v>46171</v>
      </c>
      <c r="D165" s="42">
        <v>0.54166666666666663</v>
      </c>
      <c r="E165" s="43"/>
      <c r="F165" s="8" t="s">
        <v>405</v>
      </c>
      <c r="G165" s="2">
        <v>1</v>
      </c>
      <c r="H165" s="2">
        <v>9</v>
      </c>
      <c r="I165" s="125">
        <v>800</v>
      </c>
      <c r="J165" s="2" t="s">
        <v>766</v>
      </c>
      <c r="K165" s="109" t="s">
        <v>602</v>
      </c>
      <c r="L165" s="8">
        <v>30000</v>
      </c>
      <c r="M165" s="8">
        <v>30</v>
      </c>
      <c r="N165" s="39" t="s">
        <v>48</v>
      </c>
      <c r="O165" s="39" t="s">
        <v>49</v>
      </c>
      <c r="P165" s="135" t="s">
        <v>840</v>
      </c>
      <c r="Q165" s="19">
        <v>100</v>
      </c>
      <c r="R165" s="15">
        <f>Q165/I165</f>
        <v>0.125</v>
      </c>
      <c r="S165" s="5">
        <f>($AC165*$AD165)/(($Z165/$Y165)+($AA165/$Z165)+($AB165/$AA165))</f>
        <v>72.897196261682254</v>
      </c>
      <c r="U165" s="109" t="s">
        <v>767</v>
      </c>
      <c r="V165" s="205" t="s">
        <v>741</v>
      </c>
      <c r="W165" s="205"/>
      <c r="Y165" s="2">
        <v>2</v>
      </c>
      <c r="Z165" s="2">
        <v>5</v>
      </c>
      <c r="AA165" s="2">
        <v>13</v>
      </c>
      <c r="AB165" s="2">
        <v>30</v>
      </c>
      <c r="AC165" s="2">
        <v>18</v>
      </c>
      <c r="AD165" s="2">
        <v>30</v>
      </c>
      <c r="AE165" s="2">
        <f>AC165*AD165</f>
        <v>540</v>
      </c>
      <c r="AF165" s="2">
        <f>Z165/Y165</f>
        <v>2.5</v>
      </c>
      <c r="AG165" s="2">
        <f>AA165/Z165</f>
        <v>2.6</v>
      </c>
      <c r="AH165" s="2">
        <f>AB165/AA165</f>
        <v>2.3076923076923075</v>
      </c>
    </row>
    <row r="166" spans="1:34">
      <c r="A166" s="165" t="s">
        <v>1383</v>
      </c>
      <c r="B166" s="36" t="s">
        <v>63</v>
      </c>
      <c r="C166" s="192">
        <v>46171</v>
      </c>
      <c r="D166" s="144">
        <v>0.54166666666666663</v>
      </c>
      <c r="E166" s="194">
        <v>4</v>
      </c>
      <c r="F166" s="8" t="s">
        <v>1229</v>
      </c>
      <c r="G166" s="2">
        <v>3</v>
      </c>
      <c r="H166" s="2">
        <v>7</v>
      </c>
      <c r="I166" s="37">
        <v>1500</v>
      </c>
      <c r="J166" s="2" t="s">
        <v>110</v>
      </c>
      <c r="K166" s="109" t="s">
        <v>598</v>
      </c>
      <c r="L166" s="89">
        <v>25000</v>
      </c>
      <c r="M166" s="202" t="s">
        <v>97</v>
      </c>
      <c r="N166" s="39" t="s">
        <v>48</v>
      </c>
      <c r="O166" s="39" t="s">
        <v>451</v>
      </c>
      <c r="P166" s="213"/>
      <c r="Q166" s="38">
        <f>R166*I166</f>
        <v>172.5</v>
      </c>
      <c r="R166" s="15">
        <v>0.115</v>
      </c>
      <c r="S166" s="149" t="s">
        <v>110</v>
      </c>
      <c r="T166" s="149"/>
      <c r="U166" s="109" t="s">
        <v>767</v>
      </c>
      <c r="V166" s="2" t="s">
        <v>121</v>
      </c>
      <c r="W166" s="205"/>
      <c r="AE166" s="2" t="e">
        <f>AD166*#REF!</f>
        <v>#REF!</v>
      </c>
      <c r="AF166" s="2" t="e">
        <f>Z166/Y166</f>
        <v>#DIV/0!</v>
      </c>
      <c r="AG166" s="2" t="e">
        <f>AA166/Z166</f>
        <v>#DIV/0!</v>
      </c>
      <c r="AH166" s="2" t="e">
        <f>AC166/AA166</f>
        <v>#DIV/0!</v>
      </c>
    </row>
    <row r="167" spans="1:34">
      <c r="A167" s="165" t="s">
        <v>1383</v>
      </c>
      <c r="B167" s="36" t="s">
        <v>63</v>
      </c>
      <c r="C167" s="40">
        <v>46171</v>
      </c>
      <c r="D167" s="144">
        <v>0.54166666666666663</v>
      </c>
      <c r="E167" s="194">
        <v>6</v>
      </c>
      <c r="F167" s="194" t="s">
        <v>1234</v>
      </c>
      <c r="G167" s="2">
        <v>3</v>
      </c>
      <c r="H167" s="2">
        <v>2</v>
      </c>
      <c r="I167" s="37">
        <v>1500</v>
      </c>
      <c r="J167" s="2" t="s">
        <v>110</v>
      </c>
      <c r="K167" s="109" t="s">
        <v>598</v>
      </c>
      <c r="L167" s="89">
        <v>25000</v>
      </c>
      <c r="M167" s="202" t="s">
        <v>97</v>
      </c>
      <c r="N167" s="39" t="s">
        <v>48</v>
      </c>
      <c r="O167" s="39" t="s">
        <v>371</v>
      </c>
      <c r="P167" s="213"/>
      <c r="Q167" s="38">
        <f>R167*I167</f>
        <v>172.5</v>
      </c>
      <c r="R167" s="15">
        <v>0.115</v>
      </c>
      <c r="S167" s="149" t="s">
        <v>110</v>
      </c>
      <c r="T167" s="149"/>
      <c r="U167" s="109" t="s">
        <v>767</v>
      </c>
      <c r="V167" s="205" t="s">
        <v>121</v>
      </c>
      <c r="W167" s="46"/>
      <c r="AE167" s="2" t="e">
        <f>AD167*#REF!</f>
        <v>#REF!</v>
      </c>
      <c r="AF167" s="2" t="e">
        <f>Z167/Y167</f>
        <v>#DIV/0!</v>
      </c>
      <c r="AG167" s="2" t="e">
        <f>AA167/Z167</f>
        <v>#DIV/0!</v>
      </c>
      <c r="AH167" s="2" t="e">
        <f>AC167/AA167</f>
        <v>#DIV/0!</v>
      </c>
    </row>
    <row r="168" spans="1:34">
      <c r="A168" s="165" t="s">
        <v>1383</v>
      </c>
      <c r="B168" s="39" t="s">
        <v>63</v>
      </c>
      <c r="C168" s="192">
        <v>46171</v>
      </c>
      <c r="D168" s="144">
        <v>0.54166666666666663</v>
      </c>
      <c r="E168" s="194"/>
      <c r="F168" s="194" t="s">
        <v>881</v>
      </c>
      <c r="G168" s="2">
        <v>1</v>
      </c>
      <c r="H168" s="2">
        <v>9</v>
      </c>
      <c r="I168" s="37">
        <v>250</v>
      </c>
      <c r="J168" s="2" t="s">
        <v>766</v>
      </c>
      <c r="K168" s="88" t="s">
        <v>787</v>
      </c>
      <c r="L168" s="89">
        <v>25000</v>
      </c>
      <c r="M168" s="205">
        <v>30</v>
      </c>
      <c r="N168" s="39" t="s">
        <v>817</v>
      </c>
      <c r="O168" s="39" t="s">
        <v>49</v>
      </c>
      <c r="P168" s="210"/>
      <c r="Q168" s="19">
        <v>50</v>
      </c>
      <c r="R168" s="15">
        <f>Q168/I168</f>
        <v>0.2</v>
      </c>
      <c r="S168" s="5">
        <v>44</v>
      </c>
      <c r="U168" s="109" t="s">
        <v>767</v>
      </c>
      <c r="V168" s="71" t="s">
        <v>360</v>
      </c>
      <c r="W168" s="205"/>
      <c r="Y168" s="175"/>
      <c r="Z168" s="175"/>
      <c r="AA168" s="175"/>
      <c r="AB168" s="175"/>
      <c r="AC168" s="175"/>
      <c r="AD168" s="175"/>
      <c r="AE168" s="175"/>
      <c r="AF168" s="175"/>
      <c r="AG168" s="175"/>
      <c r="AH168" s="175"/>
    </row>
    <row r="169" spans="1:34">
      <c r="A169" s="96" t="s">
        <v>461</v>
      </c>
      <c r="B169" s="96" t="s">
        <v>462</v>
      </c>
      <c r="C169" s="40">
        <v>46171</v>
      </c>
      <c r="D169" s="42">
        <v>0.59027777777777779</v>
      </c>
      <c r="E169" s="43"/>
      <c r="F169" s="194" t="s">
        <v>459</v>
      </c>
      <c r="G169" s="2">
        <v>1</v>
      </c>
      <c r="I169" s="125">
        <v>120</v>
      </c>
      <c r="J169" s="2" t="s">
        <v>766</v>
      </c>
      <c r="K169" s="109" t="s">
        <v>602</v>
      </c>
      <c r="L169" s="8">
        <v>20000</v>
      </c>
      <c r="M169" s="202">
        <v>20</v>
      </c>
      <c r="N169" s="39" t="s">
        <v>48</v>
      </c>
      <c r="O169" s="39" t="s">
        <v>465</v>
      </c>
      <c r="P169" s="63">
        <v>6000</v>
      </c>
      <c r="Q169" s="2">
        <v>24</v>
      </c>
      <c r="R169" s="15">
        <f>Q169/I169</f>
        <v>0.2</v>
      </c>
      <c r="S169" s="149" t="s">
        <v>110</v>
      </c>
      <c r="T169" s="149"/>
      <c r="U169" s="109" t="s">
        <v>767</v>
      </c>
      <c r="V169" s="205" t="s">
        <v>735</v>
      </c>
      <c r="W169" s="10"/>
      <c r="AE169" s="2">
        <f>AC169*AD169</f>
        <v>0</v>
      </c>
      <c r="AF169" s="2" t="e">
        <f>Z169/Y169</f>
        <v>#DIV/0!</v>
      </c>
      <c r="AG169" s="2" t="e">
        <f>AA169/Z169</f>
        <v>#DIV/0!</v>
      </c>
      <c r="AH169" s="2" t="e">
        <f>AB169/AA169</f>
        <v>#DIV/0!</v>
      </c>
    </row>
    <row r="170" spans="1:34">
      <c r="A170" s="165" t="s">
        <v>1383</v>
      </c>
      <c r="B170" s="39" t="s">
        <v>63</v>
      </c>
      <c r="C170" s="192">
        <v>46171</v>
      </c>
      <c r="D170" s="144">
        <v>0.625</v>
      </c>
      <c r="E170" s="43"/>
      <c r="F170" s="8" t="s">
        <v>912</v>
      </c>
      <c r="G170" s="2">
        <v>1</v>
      </c>
      <c r="H170" s="2">
        <v>9</v>
      </c>
      <c r="I170" s="37">
        <v>240</v>
      </c>
      <c r="J170" s="2" t="s">
        <v>766</v>
      </c>
      <c r="K170" s="88" t="s">
        <v>784</v>
      </c>
      <c r="L170" s="89">
        <v>10000</v>
      </c>
      <c r="M170" s="202">
        <v>20</v>
      </c>
      <c r="N170" s="132" t="s">
        <v>821</v>
      </c>
      <c r="O170" s="39" t="s">
        <v>49</v>
      </c>
      <c r="P170" s="210"/>
      <c r="Q170" s="19">
        <v>40</v>
      </c>
      <c r="R170" s="15">
        <v>0.16666666666666666</v>
      </c>
      <c r="S170" s="5">
        <v>29</v>
      </c>
      <c r="U170" s="109" t="s">
        <v>767</v>
      </c>
      <c r="V170" s="71" t="s">
        <v>362</v>
      </c>
      <c r="W170" s="8" t="s">
        <v>367</v>
      </c>
      <c r="Y170" s="175"/>
      <c r="Z170" s="175"/>
      <c r="AA170" s="175"/>
      <c r="AB170" s="175"/>
      <c r="AC170" s="175"/>
      <c r="AD170" s="175"/>
      <c r="AE170" s="175"/>
      <c r="AF170" s="175"/>
      <c r="AG170" s="175"/>
      <c r="AH170" s="175"/>
    </row>
    <row r="171" spans="1:34">
      <c r="A171" s="165" t="s">
        <v>1383</v>
      </c>
      <c r="B171" s="39" t="s">
        <v>63</v>
      </c>
      <c r="C171" s="192">
        <v>46171</v>
      </c>
      <c r="D171" s="144">
        <v>0.66666666666666663</v>
      </c>
      <c r="E171" s="194"/>
      <c r="F171" s="8" t="s">
        <v>1024</v>
      </c>
      <c r="G171" s="2">
        <v>1</v>
      </c>
      <c r="H171" s="2">
        <v>9</v>
      </c>
      <c r="I171" s="37">
        <v>400</v>
      </c>
      <c r="J171" s="2" t="s">
        <v>766</v>
      </c>
      <c r="K171" s="88" t="s">
        <v>794</v>
      </c>
      <c r="L171" s="89">
        <v>30000</v>
      </c>
      <c r="M171" s="205">
        <v>20</v>
      </c>
      <c r="N171" s="39" t="s">
        <v>817</v>
      </c>
      <c r="O171" s="39" t="s">
        <v>49</v>
      </c>
      <c r="Q171" s="19">
        <v>70</v>
      </c>
      <c r="R171" s="15">
        <f>Q171/I171</f>
        <v>0.17499999999999999</v>
      </c>
      <c r="S171" s="5">
        <v>37</v>
      </c>
      <c r="U171" s="109" t="s">
        <v>129</v>
      </c>
      <c r="V171" s="71" t="s">
        <v>360</v>
      </c>
      <c r="W171" s="205"/>
      <c r="Y171" s="175"/>
      <c r="Z171" s="175"/>
      <c r="AA171" s="175"/>
      <c r="AB171" s="175"/>
      <c r="AC171" s="175"/>
      <c r="AD171" s="175"/>
      <c r="AE171" s="175"/>
      <c r="AF171" s="175"/>
      <c r="AG171" s="175"/>
      <c r="AH171" s="175"/>
    </row>
    <row r="172" spans="1:34">
      <c r="A172" s="52" t="s">
        <v>229</v>
      </c>
      <c r="B172" s="52" t="s">
        <v>230</v>
      </c>
      <c r="C172" s="40">
        <v>46171</v>
      </c>
      <c r="D172" s="42">
        <v>0.66666666666666663</v>
      </c>
      <c r="E172" s="43"/>
      <c r="F172" s="8" t="s">
        <v>251</v>
      </c>
      <c r="G172" s="2">
        <v>1</v>
      </c>
      <c r="I172" s="125">
        <v>240</v>
      </c>
      <c r="J172" s="2" t="s">
        <v>766</v>
      </c>
      <c r="K172" s="88" t="s">
        <v>795</v>
      </c>
      <c r="L172" s="90">
        <v>30000</v>
      </c>
      <c r="M172" s="8">
        <v>20</v>
      </c>
      <c r="N172" s="39" t="s">
        <v>48</v>
      </c>
      <c r="O172" s="39" t="s">
        <v>452</v>
      </c>
      <c r="P172" s="19">
        <v>10000</v>
      </c>
      <c r="Q172" s="2">
        <v>40</v>
      </c>
      <c r="R172" s="15">
        <f>IF(Q172&gt;0,Q172/I172,"")</f>
        <v>0.16666666666666666</v>
      </c>
      <c r="S172" s="149" t="s">
        <v>110</v>
      </c>
      <c r="T172" s="149"/>
      <c r="U172" s="109" t="s">
        <v>767</v>
      </c>
      <c r="V172" s="205" t="s">
        <v>719</v>
      </c>
      <c r="W172" s="205"/>
      <c r="AE172" s="2">
        <f>AC172*AD172</f>
        <v>0</v>
      </c>
      <c r="AF172" s="2" t="e">
        <f>Z172/Y172</f>
        <v>#DIV/0!</v>
      </c>
      <c r="AG172" s="2" t="e">
        <f>AA172/Z172</f>
        <v>#DIV/0!</v>
      </c>
      <c r="AH172" s="2" t="e">
        <f>AB172/AA172</f>
        <v>#DIV/0!</v>
      </c>
    </row>
    <row r="173" spans="1:34">
      <c r="A173" s="165" t="s">
        <v>1383</v>
      </c>
      <c r="B173" s="39" t="s">
        <v>63</v>
      </c>
      <c r="C173" s="40">
        <v>46171</v>
      </c>
      <c r="D173" s="144">
        <v>0.75</v>
      </c>
      <c r="E173" s="43"/>
      <c r="F173" s="8" t="s">
        <v>131</v>
      </c>
      <c r="G173" s="2">
        <v>1</v>
      </c>
      <c r="H173" s="2">
        <v>2</v>
      </c>
      <c r="I173" s="125">
        <v>2750</v>
      </c>
      <c r="J173" s="2" t="s">
        <v>766</v>
      </c>
      <c r="K173" s="109" t="s">
        <v>767</v>
      </c>
      <c r="L173" s="90">
        <v>20000</v>
      </c>
      <c r="M173" s="8">
        <v>15</v>
      </c>
      <c r="N173" s="39" t="s">
        <v>61</v>
      </c>
      <c r="O173" s="39" t="s">
        <v>49</v>
      </c>
      <c r="P173" s="210"/>
      <c r="Q173" s="19">
        <v>250</v>
      </c>
      <c r="R173" s="15">
        <f>Q173/I173</f>
        <v>9.0909090909090912E-2</v>
      </c>
      <c r="S173" s="177" t="s">
        <v>110</v>
      </c>
      <c r="T173" s="177"/>
      <c r="U173" s="109" t="s">
        <v>154</v>
      </c>
      <c r="V173" s="83" t="s">
        <v>362</v>
      </c>
      <c r="W173" s="8" t="s">
        <v>378</v>
      </c>
      <c r="AE173" s="2">
        <f>AC173*AD173</f>
        <v>0</v>
      </c>
      <c r="AF173" s="2" t="e">
        <f>Z173/Y173</f>
        <v>#DIV/0!</v>
      </c>
      <c r="AG173" s="2" t="e">
        <f>AA173/Z173</f>
        <v>#DIV/0!</v>
      </c>
      <c r="AH173" s="2" t="e">
        <f>AB173/AA173</f>
        <v>#DIV/0!</v>
      </c>
    </row>
    <row r="174" spans="1:34">
      <c r="A174" s="165" t="s">
        <v>1383</v>
      </c>
      <c r="B174" s="39" t="s">
        <v>63</v>
      </c>
      <c r="C174" s="40">
        <v>46171</v>
      </c>
      <c r="D174" s="144">
        <v>0.75</v>
      </c>
      <c r="E174" s="43"/>
      <c r="F174" s="8" t="s">
        <v>131</v>
      </c>
      <c r="G174" s="2">
        <v>1</v>
      </c>
      <c r="H174" s="2">
        <v>2</v>
      </c>
      <c r="I174" s="125">
        <v>2750</v>
      </c>
      <c r="J174" s="2" t="s">
        <v>766</v>
      </c>
      <c r="K174" s="150" t="s">
        <v>878</v>
      </c>
      <c r="L174" s="139">
        <v>20000</v>
      </c>
      <c r="M174" s="8">
        <v>15</v>
      </c>
      <c r="N174" s="39" t="s">
        <v>61</v>
      </c>
      <c r="O174" s="39" t="s">
        <v>49</v>
      </c>
      <c r="P174" s="210"/>
      <c r="Q174" s="19">
        <v>175</v>
      </c>
      <c r="R174" s="15">
        <f>Q174/I174</f>
        <v>6.363636363636363E-2</v>
      </c>
      <c r="S174" s="177" t="s">
        <v>110</v>
      </c>
      <c r="T174" s="177"/>
      <c r="U174" s="109" t="s">
        <v>154</v>
      </c>
      <c r="V174" s="83" t="s">
        <v>362</v>
      </c>
      <c r="W174" s="8" t="s">
        <v>378</v>
      </c>
      <c r="AE174" s="2">
        <f>AC174*AD174</f>
        <v>0</v>
      </c>
      <c r="AF174" s="2" t="e">
        <f>Z174/Y174</f>
        <v>#DIV/0!</v>
      </c>
      <c r="AG174" s="2" t="e">
        <f>AA174/Z174</f>
        <v>#DIV/0!</v>
      </c>
      <c r="AH174" s="2" t="e">
        <f>AB174/AA174</f>
        <v>#DIV/0!</v>
      </c>
    </row>
    <row r="175" spans="1:34">
      <c r="A175" s="52" t="s">
        <v>229</v>
      </c>
      <c r="B175" s="52" t="s">
        <v>230</v>
      </c>
      <c r="C175" s="40">
        <v>46171</v>
      </c>
      <c r="D175" s="42">
        <v>0.75</v>
      </c>
      <c r="E175" s="43"/>
      <c r="F175" s="8" t="s">
        <v>243</v>
      </c>
      <c r="G175" s="2">
        <v>1</v>
      </c>
      <c r="I175" s="125">
        <v>200</v>
      </c>
      <c r="J175" s="2" t="s">
        <v>766</v>
      </c>
      <c r="K175" s="88" t="s">
        <v>809</v>
      </c>
      <c r="L175" s="90">
        <v>30000</v>
      </c>
      <c r="M175" s="46" t="s">
        <v>128</v>
      </c>
      <c r="N175" s="39" t="s">
        <v>48</v>
      </c>
      <c r="O175" s="39" t="s">
        <v>49</v>
      </c>
      <c r="P175" s="134" t="s">
        <v>835</v>
      </c>
      <c r="Q175" s="19">
        <v>40</v>
      </c>
      <c r="R175" s="15">
        <f>IF(Q175&gt;0,Q175/I175,"")</f>
        <v>0.2</v>
      </c>
      <c r="S175" s="5">
        <f>($AC175*$AD175)/(($Z175/$Y175)+($AA175/$Z175)+($AB175/$AA175))</f>
        <v>48.598130841121502</v>
      </c>
      <c r="U175" s="109" t="s">
        <v>767</v>
      </c>
      <c r="V175" s="205" t="s">
        <v>719</v>
      </c>
      <c r="W175" s="205"/>
      <c r="Y175" s="2">
        <v>2</v>
      </c>
      <c r="Z175" s="2">
        <v>5</v>
      </c>
      <c r="AA175" s="2">
        <v>13</v>
      </c>
      <c r="AB175" s="2">
        <v>30</v>
      </c>
      <c r="AC175" s="2">
        <v>18</v>
      </c>
      <c r="AD175" s="2">
        <v>20</v>
      </c>
      <c r="AE175" s="2">
        <f>AC175*AD175</f>
        <v>360</v>
      </c>
      <c r="AF175" s="2">
        <f>Z175/Y175</f>
        <v>2.5</v>
      </c>
      <c r="AG175" s="2">
        <f>AA175/Z175</f>
        <v>2.6</v>
      </c>
      <c r="AH175" s="2">
        <f>AB175/AA175</f>
        <v>2.3076923076923075</v>
      </c>
    </row>
    <row r="176" spans="1:34">
      <c r="A176" s="52" t="s">
        <v>220</v>
      </c>
      <c r="B176" s="52" t="s">
        <v>221</v>
      </c>
      <c r="C176" s="48">
        <v>46171</v>
      </c>
      <c r="D176" s="42">
        <v>0.75</v>
      </c>
      <c r="E176" s="43"/>
      <c r="F176" s="8" t="s">
        <v>1073</v>
      </c>
      <c r="G176" s="2">
        <v>1</v>
      </c>
      <c r="H176" s="2">
        <v>9</v>
      </c>
      <c r="I176" s="125">
        <v>1100</v>
      </c>
      <c r="J176" s="2" t="s">
        <v>766</v>
      </c>
      <c r="K176" s="88" t="s">
        <v>799</v>
      </c>
      <c r="L176" s="90">
        <v>30000</v>
      </c>
      <c r="M176" s="64">
        <v>20</v>
      </c>
      <c r="N176" s="39" t="s">
        <v>48</v>
      </c>
      <c r="O176" s="39" t="s">
        <v>49</v>
      </c>
      <c r="P176" s="212" t="s">
        <v>838</v>
      </c>
      <c r="Q176" s="19">
        <v>125</v>
      </c>
      <c r="R176" s="15">
        <f>Q176/I176</f>
        <v>0.11363636363636363</v>
      </c>
      <c r="S176" s="5">
        <f>($AC176*$AD176)/(($Z176/$Y176)+($AA176/$Z176)+($AB176/$AA176))</f>
        <v>62.448979591836739</v>
      </c>
      <c r="U176" s="109" t="s">
        <v>129</v>
      </c>
      <c r="V176" s="205" t="s">
        <v>738</v>
      </c>
      <c r="W176" s="205"/>
      <c r="Y176" s="2">
        <v>2</v>
      </c>
      <c r="Z176" s="2">
        <v>5</v>
      </c>
      <c r="AA176" s="2">
        <v>15</v>
      </c>
      <c r="AB176" s="2">
        <v>40</v>
      </c>
      <c r="AC176" s="2">
        <v>17</v>
      </c>
      <c r="AD176" s="2">
        <v>30</v>
      </c>
      <c r="AE176" s="2">
        <f>AC176*AD176</f>
        <v>510</v>
      </c>
      <c r="AF176" s="2">
        <f>Z176/Y176</f>
        <v>2.5</v>
      </c>
      <c r="AG176" s="2">
        <f>AA176/Z176</f>
        <v>3</v>
      </c>
      <c r="AH176" s="2">
        <f>AB176/AA176</f>
        <v>2.6666666666666665</v>
      </c>
    </row>
    <row r="177" spans="1:34" ht="15.75" customHeight="1">
      <c r="A177" s="96" t="s">
        <v>461</v>
      </c>
      <c r="B177" s="96" t="s">
        <v>462</v>
      </c>
      <c r="C177" s="40">
        <v>46171</v>
      </c>
      <c r="D177" s="42">
        <v>0.75694444444444442</v>
      </c>
      <c r="E177" s="43"/>
      <c r="F177" s="8" t="s">
        <v>458</v>
      </c>
      <c r="G177" s="2">
        <v>1</v>
      </c>
      <c r="I177" s="125">
        <v>200</v>
      </c>
      <c r="J177" s="2" t="s">
        <v>766</v>
      </c>
      <c r="K177" s="109" t="s">
        <v>602</v>
      </c>
      <c r="L177" s="8">
        <v>30000</v>
      </c>
      <c r="M177" s="202">
        <v>20</v>
      </c>
      <c r="N177" s="39" t="s">
        <v>48</v>
      </c>
      <c r="O177" s="39" t="s">
        <v>49</v>
      </c>
      <c r="P177" s="212" t="s">
        <v>833</v>
      </c>
      <c r="Q177" s="19">
        <v>40</v>
      </c>
      <c r="R177" s="15">
        <f>Q177/I177</f>
        <v>0.2</v>
      </c>
      <c r="S177" s="5">
        <f>($AC177*$AD177)/(($Z177/$Y177)+($AA177/$Z177)+($AB177/$AA177))</f>
        <v>41.632653061224495</v>
      </c>
      <c r="U177" s="109" t="s">
        <v>767</v>
      </c>
      <c r="V177" s="205" t="s">
        <v>735</v>
      </c>
      <c r="W177" s="205"/>
      <c r="Y177" s="2">
        <v>2</v>
      </c>
      <c r="Z177" s="2">
        <v>5</v>
      </c>
      <c r="AA177" s="2">
        <v>15</v>
      </c>
      <c r="AB177" s="2">
        <v>40</v>
      </c>
      <c r="AC177" s="2">
        <v>17</v>
      </c>
      <c r="AD177" s="2">
        <v>20</v>
      </c>
      <c r="AE177" s="2">
        <f>AC177*AD177</f>
        <v>340</v>
      </c>
      <c r="AF177" s="2">
        <f>Z177/Y177</f>
        <v>2.5</v>
      </c>
      <c r="AG177" s="2">
        <f>AA177/Z177</f>
        <v>3</v>
      </c>
      <c r="AH177" s="2">
        <f>AB177/AA177</f>
        <v>2.6666666666666665</v>
      </c>
    </row>
    <row r="178" spans="1:34">
      <c r="A178" s="68" t="s">
        <v>357</v>
      </c>
      <c r="B178" s="68" t="s">
        <v>358</v>
      </c>
      <c r="C178" s="48">
        <v>46171</v>
      </c>
      <c r="D178" s="42">
        <v>0.75694444444444442</v>
      </c>
      <c r="E178" s="194">
        <v>24</v>
      </c>
      <c r="F178" s="63" t="s">
        <v>292</v>
      </c>
      <c r="G178" s="2">
        <v>1</v>
      </c>
      <c r="H178" s="2">
        <v>9</v>
      </c>
      <c r="I178" s="125">
        <v>400</v>
      </c>
      <c r="J178" s="2" t="s">
        <v>766</v>
      </c>
      <c r="K178" s="137" t="s">
        <v>602</v>
      </c>
      <c r="L178" s="89">
        <v>25000</v>
      </c>
      <c r="M178" s="202">
        <v>30</v>
      </c>
      <c r="N178" s="39" t="s">
        <v>48</v>
      </c>
      <c r="O178" s="39" t="s">
        <v>49</v>
      </c>
      <c r="P178" s="212" t="s">
        <v>834</v>
      </c>
      <c r="Q178" s="19">
        <v>60</v>
      </c>
      <c r="R178" s="15">
        <f>Q178/I178</f>
        <v>0.15</v>
      </c>
      <c r="S178" s="5">
        <f>($AC178*$AD178)/(($Z178/$Y178)+($AA178/$Z178)+($AB178/$AA178))</f>
        <v>55.03292568203198</v>
      </c>
      <c r="U178" s="109" t="s">
        <v>219</v>
      </c>
      <c r="V178" s="205" t="s">
        <v>664</v>
      </c>
      <c r="W178" s="218" t="s">
        <v>656</v>
      </c>
      <c r="Y178" s="2">
        <v>2.5</v>
      </c>
      <c r="Z178" s="2">
        <v>6.5</v>
      </c>
      <c r="AA178" s="2">
        <v>20</v>
      </c>
      <c r="AB178" s="2">
        <v>50</v>
      </c>
      <c r="AC178" s="2">
        <v>30</v>
      </c>
      <c r="AD178" s="2">
        <v>15</v>
      </c>
      <c r="AE178" s="2">
        <f>AC178*AD178</f>
        <v>450</v>
      </c>
      <c r="AF178" s="2">
        <f>Z178/Y178</f>
        <v>2.6</v>
      </c>
      <c r="AG178" s="2">
        <f>AA178/Z178</f>
        <v>3.0769230769230771</v>
      </c>
      <c r="AH178" s="2">
        <f>AB178/AA178</f>
        <v>2.5</v>
      </c>
    </row>
    <row r="179" spans="1:34">
      <c r="A179" s="95" t="s">
        <v>447</v>
      </c>
      <c r="B179" s="95" t="s">
        <v>448</v>
      </c>
      <c r="C179" s="40">
        <v>46171</v>
      </c>
      <c r="D179" s="42">
        <v>0.79166666666666663</v>
      </c>
      <c r="E179" s="43"/>
      <c r="F179" s="8" t="s">
        <v>403</v>
      </c>
      <c r="G179" s="2">
        <v>1</v>
      </c>
      <c r="H179" s="2">
        <v>9</v>
      </c>
      <c r="I179" s="125">
        <v>300</v>
      </c>
      <c r="J179" s="2" t="s">
        <v>766</v>
      </c>
      <c r="K179" s="109" t="s">
        <v>602</v>
      </c>
      <c r="L179" s="8">
        <v>25000</v>
      </c>
      <c r="M179" s="8">
        <v>25</v>
      </c>
      <c r="N179" s="39" t="s">
        <v>48</v>
      </c>
      <c r="O179" s="39" t="s">
        <v>49</v>
      </c>
      <c r="P179" s="134" t="s">
        <v>834</v>
      </c>
      <c r="Q179" s="19">
        <v>50</v>
      </c>
      <c r="R179" s="15">
        <f>Q179/I179</f>
        <v>0.16666666666666666</v>
      </c>
      <c r="S179" s="5">
        <f>($AC179*$AD179)/(($Z179/$Y179)+($AA179/$Z179)+($AB179/$AA179))</f>
        <v>37.5</v>
      </c>
      <c r="U179" s="109" t="s">
        <v>767</v>
      </c>
      <c r="V179" s="205" t="s">
        <v>741</v>
      </c>
      <c r="W179" s="205"/>
      <c r="Y179" s="2">
        <v>2.5</v>
      </c>
      <c r="Z179" s="2">
        <v>7.5</v>
      </c>
      <c r="AA179" s="2">
        <v>25</v>
      </c>
      <c r="AB179" s="2">
        <v>75</v>
      </c>
      <c r="AC179" s="2">
        <v>14</v>
      </c>
      <c r="AD179" s="2">
        <v>25</v>
      </c>
      <c r="AE179" s="2">
        <f>AC179*AD179</f>
        <v>350</v>
      </c>
      <c r="AF179" s="2">
        <f>Z179/Y179</f>
        <v>3</v>
      </c>
      <c r="AG179" s="2">
        <f>AA179/Z179</f>
        <v>3.3333333333333335</v>
      </c>
      <c r="AH179" s="2">
        <f>AB179/AA179</f>
        <v>3</v>
      </c>
    </row>
    <row r="180" spans="1:34">
      <c r="A180" s="165" t="s">
        <v>1383</v>
      </c>
      <c r="B180" s="39" t="s">
        <v>63</v>
      </c>
      <c r="C180" s="192">
        <v>46171</v>
      </c>
      <c r="D180" s="144">
        <v>0.79166666666666663</v>
      </c>
      <c r="E180" s="43"/>
      <c r="F180" s="8" t="s">
        <v>891</v>
      </c>
      <c r="G180" s="2">
        <v>1</v>
      </c>
      <c r="I180" s="37">
        <v>1100</v>
      </c>
      <c r="J180" s="2" t="s">
        <v>766</v>
      </c>
      <c r="K180" s="88" t="s">
        <v>807</v>
      </c>
      <c r="L180" s="89">
        <v>15000</v>
      </c>
      <c r="M180" s="202">
        <v>30</v>
      </c>
      <c r="N180" s="132" t="s">
        <v>821</v>
      </c>
      <c r="O180" s="39" t="s">
        <v>451</v>
      </c>
      <c r="P180" s="213"/>
      <c r="Q180" s="2">
        <f>88+37</f>
        <v>125</v>
      </c>
      <c r="R180" s="15">
        <f>Q180/I180</f>
        <v>0.11363636363636363</v>
      </c>
      <c r="S180" s="149" t="s">
        <v>110</v>
      </c>
      <c r="T180" s="149"/>
      <c r="U180" s="109" t="s">
        <v>767</v>
      </c>
      <c r="V180" s="71" t="s">
        <v>362</v>
      </c>
      <c r="W180" s="8" t="s">
        <v>370</v>
      </c>
      <c r="AE180" s="2" t="e">
        <f>AD180*#REF!</f>
        <v>#REF!</v>
      </c>
      <c r="AF180" s="2" t="e">
        <f>Z180/Y180</f>
        <v>#DIV/0!</v>
      </c>
      <c r="AG180" s="2" t="e">
        <f>AA180/Z180</f>
        <v>#DIV/0!</v>
      </c>
      <c r="AH180" s="2" t="e">
        <f>AC180/AA180</f>
        <v>#DIV/0!</v>
      </c>
    </row>
    <row r="181" spans="1:34">
      <c r="A181" s="165" t="s">
        <v>1383</v>
      </c>
      <c r="B181" s="39" t="s">
        <v>63</v>
      </c>
      <c r="C181" s="192">
        <v>46171</v>
      </c>
      <c r="D181" s="144">
        <v>0.83333333333333337</v>
      </c>
      <c r="E181" s="194"/>
      <c r="F181" s="8" t="s">
        <v>1023</v>
      </c>
      <c r="G181" s="2">
        <v>1</v>
      </c>
      <c r="H181" s="2">
        <v>9</v>
      </c>
      <c r="I181" s="37">
        <v>200</v>
      </c>
      <c r="J181" s="2" t="s">
        <v>766</v>
      </c>
      <c r="K181" s="88" t="s">
        <v>806</v>
      </c>
      <c r="L181" s="89">
        <v>20000</v>
      </c>
      <c r="M181" s="205">
        <v>20</v>
      </c>
      <c r="N181" s="39" t="s">
        <v>817</v>
      </c>
      <c r="O181" s="39" t="s">
        <v>49</v>
      </c>
      <c r="P181" s="210"/>
      <c r="Q181" s="19">
        <v>45</v>
      </c>
      <c r="R181" s="15">
        <f>Q181/I181</f>
        <v>0.22500000000000001</v>
      </c>
      <c r="S181" s="5">
        <v>23</v>
      </c>
      <c r="U181" s="109" t="s">
        <v>129</v>
      </c>
      <c r="V181" s="71" t="s">
        <v>360</v>
      </c>
      <c r="W181" s="205"/>
      <c r="Y181" s="175"/>
      <c r="Z181" s="175"/>
      <c r="AA181" s="175"/>
      <c r="AB181" s="175"/>
      <c r="AC181" s="175"/>
      <c r="AD181" s="175"/>
      <c r="AE181" s="175"/>
      <c r="AF181" s="175"/>
      <c r="AG181" s="175"/>
      <c r="AH181" s="175"/>
    </row>
    <row r="182" spans="1:34">
      <c r="A182" s="165" t="s">
        <v>1383</v>
      </c>
      <c r="B182" s="39" t="s">
        <v>63</v>
      </c>
      <c r="C182" s="192">
        <v>46171</v>
      </c>
      <c r="D182" s="144">
        <v>0.91666666666666663</v>
      </c>
      <c r="E182" s="43"/>
      <c r="F182" s="8" t="s">
        <v>909</v>
      </c>
      <c r="G182" s="2">
        <v>1</v>
      </c>
      <c r="H182" s="2">
        <v>9</v>
      </c>
      <c r="I182" s="37">
        <v>135</v>
      </c>
      <c r="J182" s="2" t="s">
        <v>766</v>
      </c>
      <c r="K182" s="88" t="s">
        <v>813</v>
      </c>
      <c r="L182" s="89">
        <v>10000</v>
      </c>
      <c r="M182" s="202">
        <v>15</v>
      </c>
      <c r="N182" s="132" t="s">
        <v>821</v>
      </c>
      <c r="O182" s="39" t="s">
        <v>49</v>
      </c>
      <c r="P182" s="210"/>
      <c r="Q182" s="19">
        <v>35</v>
      </c>
      <c r="R182" s="15">
        <f>Q182/I182</f>
        <v>0.25925925925925924</v>
      </c>
      <c r="S182" s="5">
        <v>22</v>
      </c>
      <c r="U182" s="109" t="s">
        <v>767</v>
      </c>
      <c r="V182" s="71" t="s">
        <v>362</v>
      </c>
      <c r="W182" s="8" t="s">
        <v>369</v>
      </c>
      <c r="Y182" s="175"/>
      <c r="Z182" s="175"/>
      <c r="AA182" s="175"/>
      <c r="AB182" s="175"/>
      <c r="AC182" s="175"/>
      <c r="AD182" s="175"/>
      <c r="AE182" s="175"/>
      <c r="AF182" s="175"/>
      <c r="AG182" s="175"/>
      <c r="AH182" s="175"/>
    </row>
    <row r="183" spans="1:34">
      <c r="A183" s="96" t="s">
        <v>461</v>
      </c>
      <c r="B183" s="96" t="s">
        <v>462</v>
      </c>
      <c r="C183" s="40">
        <v>46171</v>
      </c>
      <c r="D183" s="42">
        <v>0.92361111111111116</v>
      </c>
      <c r="E183" s="43"/>
      <c r="F183" s="8" t="s">
        <v>456</v>
      </c>
      <c r="G183" s="2">
        <v>1</v>
      </c>
      <c r="I183" s="125">
        <v>120</v>
      </c>
      <c r="J183" s="2" t="s">
        <v>766</v>
      </c>
      <c r="K183" s="109" t="s">
        <v>737</v>
      </c>
      <c r="L183" s="8">
        <v>20000</v>
      </c>
      <c r="M183" s="202">
        <v>15</v>
      </c>
      <c r="N183" s="39" t="s">
        <v>48</v>
      </c>
      <c r="O183" s="39" t="s">
        <v>49</v>
      </c>
      <c r="P183" s="135" t="s">
        <v>827</v>
      </c>
      <c r="Q183" s="19">
        <v>24</v>
      </c>
      <c r="R183" s="15">
        <f>Q183/I183</f>
        <v>0.2</v>
      </c>
      <c r="S183" s="5">
        <f>($AC183*$AD183)/(($Z183/$Y183)+($AA183/$Z183)+($AB183/$AA183))</f>
        <v>25.161290322580644</v>
      </c>
      <c r="U183" s="109" t="s">
        <v>463</v>
      </c>
      <c r="V183" s="2" t="s">
        <v>735</v>
      </c>
      <c r="W183" s="251" t="s">
        <v>464</v>
      </c>
      <c r="Y183" s="2">
        <v>2.5</v>
      </c>
      <c r="Z183" s="2">
        <v>7.5</v>
      </c>
      <c r="AA183" s="2">
        <v>30</v>
      </c>
      <c r="AB183" s="2">
        <v>100</v>
      </c>
      <c r="AC183" s="2">
        <v>13</v>
      </c>
      <c r="AD183" s="2">
        <v>20</v>
      </c>
      <c r="AE183" s="2">
        <f>AC183*AD183</f>
        <v>260</v>
      </c>
      <c r="AF183" s="2">
        <f>Z183/Y183</f>
        <v>3</v>
      </c>
      <c r="AG183" s="2">
        <f>AA183/Z183</f>
        <v>4</v>
      </c>
      <c r="AH183" s="2">
        <f>AB183/AA183</f>
        <v>3.3333333333333335</v>
      </c>
    </row>
    <row r="184" spans="1:34">
      <c r="A184" s="165" t="s">
        <v>1383</v>
      </c>
      <c r="B184" s="36" t="s">
        <v>63</v>
      </c>
      <c r="C184" s="4">
        <v>46171</v>
      </c>
      <c r="D184" s="144" t="s">
        <v>117</v>
      </c>
      <c r="E184" s="228">
        <v>1</v>
      </c>
      <c r="F184" s="8" t="s">
        <v>929</v>
      </c>
      <c r="G184" s="2">
        <v>3</v>
      </c>
      <c r="H184" s="2">
        <v>9</v>
      </c>
      <c r="I184" s="37">
        <v>550</v>
      </c>
      <c r="J184" s="2" t="s">
        <v>763</v>
      </c>
      <c r="K184" s="109" t="s">
        <v>815</v>
      </c>
      <c r="L184" s="89">
        <v>25000</v>
      </c>
      <c r="M184" s="54" t="s">
        <v>22</v>
      </c>
      <c r="N184" s="39" t="s">
        <v>48</v>
      </c>
      <c r="O184" s="39" t="s">
        <v>49</v>
      </c>
      <c r="Q184" s="19">
        <f>R184*I184</f>
        <v>93.5</v>
      </c>
      <c r="R184" s="15">
        <v>0.17</v>
      </c>
      <c r="S184" s="5">
        <v>69</v>
      </c>
      <c r="U184" s="109" t="s">
        <v>55</v>
      </c>
      <c r="V184" s="2" t="s">
        <v>121</v>
      </c>
      <c r="Y184" s="175"/>
      <c r="Z184" s="175"/>
      <c r="AA184" s="175"/>
      <c r="AB184" s="175"/>
      <c r="AC184" s="175"/>
      <c r="AD184" s="175"/>
      <c r="AE184" s="175"/>
      <c r="AF184" s="175"/>
      <c r="AG184" s="175"/>
      <c r="AH184" s="175"/>
    </row>
    <row r="185" spans="1:34">
      <c r="A185" s="165" t="s">
        <v>1383</v>
      </c>
      <c r="B185" s="36" t="s">
        <v>63</v>
      </c>
      <c r="C185" s="192">
        <v>46171</v>
      </c>
      <c r="D185" s="144" t="s">
        <v>115</v>
      </c>
      <c r="E185" s="228">
        <v>7</v>
      </c>
      <c r="F185" s="8" t="s">
        <v>934</v>
      </c>
      <c r="G185" s="2">
        <v>3</v>
      </c>
      <c r="H185" s="2">
        <v>2</v>
      </c>
      <c r="I185" s="37">
        <v>25000</v>
      </c>
      <c r="J185" s="2" t="s">
        <v>764</v>
      </c>
      <c r="K185" s="109" t="s">
        <v>814</v>
      </c>
      <c r="L185" s="89">
        <v>150000</v>
      </c>
      <c r="M185" s="202">
        <v>20</v>
      </c>
      <c r="N185" s="39" t="s">
        <v>48</v>
      </c>
      <c r="O185" s="39" t="s">
        <v>49</v>
      </c>
      <c r="P185" s="210"/>
      <c r="Q185" s="19">
        <f>R185*I185</f>
        <v>1500</v>
      </c>
      <c r="R185" s="15">
        <v>0.06</v>
      </c>
      <c r="S185" s="177" t="s">
        <v>110</v>
      </c>
      <c r="T185" s="177"/>
      <c r="U185" s="109" t="s">
        <v>154</v>
      </c>
      <c r="V185" s="2" t="s">
        <v>121</v>
      </c>
      <c r="AE185" s="2">
        <f>AC185*AD185</f>
        <v>0</v>
      </c>
      <c r="AF185" s="2" t="e">
        <f>Z185/Y185</f>
        <v>#DIV/0!</v>
      </c>
      <c r="AG185" s="2" t="e">
        <f>AA185/Z185</f>
        <v>#DIV/0!</v>
      </c>
      <c r="AH185" s="2" t="e">
        <f>AB185/AA185</f>
        <v>#DIV/0!</v>
      </c>
    </row>
    <row r="186" spans="1:34">
      <c r="A186" s="165" t="s">
        <v>1383</v>
      </c>
      <c r="B186" s="36" t="s">
        <v>63</v>
      </c>
      <c r="C186" s="192">
        <v>46171</v>
      </c>
      <c r="D186" s="144" t="s">
        <v>116</v>
      </c>
      <c r="E186" s="194">
        <v>8</v>
      </c>
      <c r="F186" s="8" t="s">
        <v>160</v>
      </c>
      <c r="G186" s="2">
        <v>3</v>
      </c>
      <c r="H186" s="2">
        <v>6</v>
      </c>
      <c r="I186" s="37">
        <v>1500</v>
      </c>
      <c r="J186" s="2" t="s">
        <v>760</v>
      </c>
      <c r="K186" s="109" t="s">
        <v>598</v>
      </c>
      <c r="L186" s="89">
        <v>25000</v>
      </c>
      <c r="M186" s="202" t="s">
        <v>97</v>
      </c>
      <c r="N186" s="39" t="s">
        <v>48</v>
      </c>
      <c r="O186" s="39" t="s">
        <v>449</v>
      </c>
      <c r="P186" s="213"/>
      <c r="Q186" s="38">
        <f>R186*I186</f>
        <v>172.5</v>
      </c>
      <c r="R186" s="15">
        <v>0.115</v>
      </c>
      <c r="S186" s="149" t="s">
        <v>110</v>
      </c>
      <c r="T186" s="149"/>
      <c r="U186" s="109" t="s">
        <v>375</v>
      </c>
      <c r="V186" s="205" t="s">
        <v>121</v>
      </c>
      <c r="W186" s="205"/>
      <c r="AE186" s="2" t="e">
        <f>AD186*#REF!</f>
        <v>#REF!</v>
      </c>
      <c r="AF186" s="2" t="e">
        <f>Z186/Y186</f>
        <v>#DIV/0!</v>
      </c>
      <c r="AG186" s="2" t="e">
        <f>AA186/Z186</f>
        <v>#DIV/0!</v>
      </c>
      <c r="AH186" s="2" t="e">
        <f>AC186/AA186</f>
        <v>#DIV/0!</v>
      </c>
    </row>
    <row r="187" spans="1:34">
      <c r="A187" s="165" t="s">
        <v>1383</v>
      </c>
      <c r="B187" s="36" t="s">
        <v>63</v>
      </c>
      <c r="C187" s="192">
        <v>46171</v>
      </c>
      <c r="D187" s="144" t="s">
        <v>876</v>
      </c>
      <c r="E187">
        <v>2</v>
      </c>
      <c r="F187" s="8" t="s">
        <v>1281</v>
      </c>
      <c r="G187" s="2">
        <v>4</v>
      </c>
      <c r="H187" s="2">
        <v>8</v>
      </c>
      <c r="I187" s="37">
        <v>5000</v>
      </c>
      <c r="J187" s="2" t="s">
        <v>760</v>
      </c>
      <c r="K187" s="109" t="s">
        <v>601</v>
      </c>
      <c r="L187" s="89">
        <v>50000</v>
      </c>
      <c r="M187" s="54">
        <v>60</v>
      </c>
      <c r="N187" s="39" t="s">
        <v>48</v>
      </c>
      <c r="O187" s="39" t="s">
        <v>49</v>
      </c>
      <c r="P187" s="210"/>
      <c r="Q187" s="19">
        <f>R187*I187</f>
        <v>400</v>
      </c>
      <c r="R187" s="15">
        <v>0.08</v>
      </c>
      <c r="S187" s="5">
        <v>162</v>
      </c>
      <c r="U187" s="109" t="s">
        <v>767</v>
      </c>
      <c r="V187" s="205" t="s">
        <v>121</v>
      </c>
      <c r="Y187" s="175"/>
      <c r="Z187" s="175"/>
      <c r="AA187" s="175"/>
      <c r="AB187" s="175"/>
      <c r="AC187" s="175"/>
      <c r="AD187" s="175"/>
      <c r="AE187" s="175"/>
      <c r="AF187" s="175"/>
      <c r="AG187" s="175"/>
      <c r="AH187" s="175"/>
    </row>
    <row r="188" spans="1:34">
      <c r="A188" s="96" t="s">
        <v>461</v>
      </c>
      <c r="B188" s="96" t="s">
        <v>462</v>
      </c>
      <c r="C188" s="40">
        <v>46172</v>
      </c>
      <c r="D188" s="42">
        <v>0.4236111111111111</v>
      </c>
      <c r="E188" s="43"/>
      <c r="F188" s="8" t="s">
        <v>457</v>
      </c>
      <c r="G188" s="2">
        <v>1</v>
      </c>
      <c r="I188" s="125">
        <v>120</v>
      </c>
      <c r="J188" s="2" t="s">
        <v>766</v>
      </c>
      <c r="K188" s="109" t="s">
        <v>602</v>
      </c>
      <c r="L188" s="8">
        <v>20000</v>
      </c>
      <c r="M188" s="202">
        <v>20</v>
      </c>
      <c r="N188" s="39" t="s">
        <v>48</v>
      </c>
      <c r="O188" s="39" t="s">
        <v>49</v>
      </c>
      <c r="P188" s="135" t="s">
        <v>832</v>
      </c>
      <c r="Q188" s="19">
        <v>24</v>
      </c>
      <c r="R188" s="15">
        <f>Q188/I188</f>
        <v>0.2</v>
      </c>
      <c r="S188" s="5">
        <f>($AC188*$AD188)/(($Z188/$Y188)+($AA188/$Z188)+($AB188/$AA188))</f>
        <v>25.161290322580644</v>
      </c>
      <c r="U188" s="109" t="s">
        <v>767</v>
      </c>
      <c r="V188" s="2" t="s">
        <v>735</v>
      </c>
      <c r="Y188" s="2">
        <v>2.5</v>
      </c>
      <c r="Z188" s="2">
        <v>7.5</v>
      </c>
      <c r="AA188" s="2">
        <v>30</v>
      </c>
      <c r="AB188" s="2">
        <v>100</v>
      </c>
      <c r="AC188" s="2">
        <v>13</v>
      </c>
      <c r="AD188" s="2">
        <v>20</v>
      </c>
      <c r="AE188" s="2">
        <f>AC188*AD188</f>
        <v>260</v>
      </c>
      <c r="AF188" s="2">
        <f>Z188/Y188</f>
        <v>3</v>
      </c>
      <c r="AG188" s="2">
        <f>AA188/Z188</f>
        <v>4</v>
      </c>
      <c r="AH188" s="2">
        <f>AB188/AA188</f>
        <v>3.3333333333333335</v>
      </c>
    </row>
    <row r="189" spans="1:34">
      <c r="A189" s="95" t="s">
        <v>447</v>
      </c>
      <c r="B189" s="95" t="s">
        <v>448</v>
      </c>
      <c r="C189" s="40">
        <v>46172</v>
      </c>
      <c r="D189" s="42">
        <v>0.45833333333333331</v>
      </c>
      <c r="E189" s="43"/>
      <c r="F189" s="8" t="s">
        <v>407</v>
      </c>
      <c r="G189" s="2">
        <v>1</v>
      </c>
      <c r="H189" s="2">
        <v>7</v>
      </c>
      <c r="I189" s="125">
        <v>600</v>
      </c>
      <c r="J189" s="2" t="s">
        <v>766</v>
      </c>
      <c r="K189" s="109" t="s">
        <v>602</v>
      </c>
      <c r="L189" s="8">
        <v>30000</v>
      </c>
      <c r="M189" s="8">
        <v>30</v>
      </c>
      <c r="N189" s="39" t="s">
        <v>48</v>
      </c>
      <c r="O189" s="39" t="s">
        <v>450</v>
      </c>
      <c r="P189" s="63">
        <v>30000</v>
      </c>
      <c r="Q189" s="2">
        <v>90</v>
      </c>
      <c r="R189" s="15">
        <f>Q189/I189</f>
        <v>0.15</v>
      </c>
      <c r="S189" s="176" t="s">
        <v>110</v>
      </c>
      <c r="T189" s="176"/>
      <c r="U189" s="109" t="s">
        <v>767</v>
      </c>
      <c r="V189" s="2" t="s">
        <v>741</v>
      </c>
      <c r="AE189" s="2">
        <f>AC189*AD189</f>
        <v>0</v>
      </c>
      <c r="AF189" s="2" t="e">
        <f>Z189/Y189</f>
        <v>#DIV/0!</v>
      </c>
      <c r="AG189" s="2" t="e">
        <f>AA189/Z189</f>
        <v>#DIV/0!</v>
      </c>
      <c r="AH189" s="2" t="e">
        <f>AB189/AA189</f>
        <v>#DIV/0!</v>
      </c>
    </row>
    <row r="190" spans="1:34">
      <c r="A190" s="52" t="s">
        <v>229</v>
      </c>
      <c r="B190" s="52" t="s">
        <v>230</v>
      </c>
      <c r="C190" s="40">
        <v>46172</v>
      </c>
      <c r="D190" s="42">
        <v>0.45833333333333331</v>
      </c>
      <c r="E190" s="43"/>
      <c r="F190" s="8" t="s">
        <v>240</v>
      </c>
      <c r="G190" s="2">
        <v>1</v>
      </c>
      <c r="I190" s="125">
        <v>400</v>
      </c>
      <c r="J190" s="2" t="s">
        <v>766</v>
      </c>
      <c r="K190" s="88" t="s">
        <v>788</v>
      </c>
      <c r="L190" s="90">
        <v>40000</v>
      </c>
      <c r="M190" s="46" t="s">
        <v>22</v>
      </c>
      <c r="N190" s="39" t="s">
        <v>48</v>
      </c>
      <c r="O190" s="39" t="s">
        <v>49</v>
      </c>
      <c r="P190" s="134" t="s">
        <v>836</v>
      </c>
      <c r="Q190" s="19">
        <v>60</v>
      </c>
      <c r="R190" s="15">
        <f>IF(Q190&gt;0,Q190/I190,"")</f>
        <v>0.15</v>
      </c>
      <c r="S190" s="5">
        <f>($AC190*$AD190)/(($Z190/$Y190)+($AA190/$Z190)+($AB190/$AA190))</f>
        <v>76.947040498442377</v>
      </c>
      <c r="U190" s="109" t="s">
        <v>767</v>
      </c>
      <c r="V190" s="205" t="s">
        <v>719</v>
      </c>
      <c r="W190" s="205"/>
      <c r="Y190" s="2">
        <v>2</v>
      </c>
      <c r="Z190" s="2">
        <v>5</v>
      </c>
      <c r="AA190" s="2">
        <v>13</v>
      </c>
      <c r="AB190" s="2">
        <v>30</v>
      </c>
      <c r="AC190" s="2">
        <v>19</v>
      </c>
      <c r="AD190" s="2">
        <v>30</v>
      </c>
      <c r="AE190" s="2">
        <f>AC190*AD190</f>
        <v>570</v>
      </c>
      <c r="AF190" s="2">
        <f>Z190/Y190</f>
        <v>2.5</v>
      </c>
      <c r="AG190" s="2">
        <f>AA190/Z190</f>
        <v>2.6</v>
      </c>
      <c r="AH190" s="2">
        <f>AB190/AA190</f>
        <v>2.3076923076923075</v>
      </c>
    </row>
    <row r="191" spans="1:34">
      <c r="A191" s="52" t="s">
        <v>220</v>
      </c>
      <c r="B191" s="52" t="s">
        <v>221</v>
      </c>
      <c r="C191" s="48">
        <v>46172</v>
      </c>
      <c r="D191" s="42">
        <v>0.45833333333333331</v>
      </c>
      <c r="E191" s="43"/>
      <c r="F191" s="8" t="s">
        <v>1047</v>
      </c>
      <c r="G191" s="2">
        <v>2</v>
      </c>
      <c r="H191" s="2">
        <v>9</v>
      </c>
      <c r="I191" s="125">
        <v>1100</v>
      </c>
      <c r="J191" s="2" t="s">
        <v>766</v>
      </c>
      <c r="K191" s="88" t="s">
        <v>791</v>
      </c>
      <c r="L191" s="90">
        <v>40000</v>
      </c>
      <c r="M191" s="64">
        <v>40</v>
      </c>
      <c r="N191" s="39" t="s">
        <v>48</v>
      </c>
      <c r="O191" s="39" t="s">
        <v>49</v>
      </c>
      <c r="P191" s="135" t="s">
        <v>848</v>
      </c>
      <c r="Q191" s="19">
        <v>135</v>
      </c>
      <c r="R191" s="15">
        <f>Q191/I191</f>
        <v>0.12272727272727273</v>
      </c>
      <c r="S191" s="5">
        <f>($AC191*$AD191)/(($Z191/$Y191)+($AA191/$Z191)+($AB191/$AA191))</f>
        <v>102.59605399792316</v>
      </c>
      <c r="U191" s="109" t="s">
        <v>767</v>
      </c>
      <c r="V191" s="205" t="s">
        <v>738</v>
      </c>
      <c r="W191" s="10"/>
      <c r="Y191" s="2">
        <v>2</v>
      </c>
      <c r="Z191" s="2">
        <v>5</v>
      </c>
      <c r="AA191" s="2">
        <v>13</v>
      </c>
      <c r="AB191" s="2">
        <v>30</v>
      </c>
      <c r="AC191" s="2">
        <v>40</v>
      </c>
      <c r="AD191" s="2">
        <v>19</v>
      </c>
      <c r="AE191" s="2">
        <f>AC191*AD191</f>
        <v>760</v>
      </c>
      <c r="AF191" s="2">
        <f>Z191/Y191</f>
        <v>2.5</v>
      </c>
      <c r="AG191" s="2">
        <f>AA191/Z191</f>
        <v>2.6</v>
      </c>
      <c r="AH191" s="2">
        <f>AB191/AA191</f>
        <v>2.3076923076923075</v>
      </c>
    </row>
    <row r="192" spans="1:34">
      <c r="A192" s="68" t="s">
        <v>357</v>
      </c>
      <c r="B192" s="68" t="s">
        <v>358</v>
      </c>
      <c r="C192" s="48">
        <v>46172</v>
      </c>
      <c r="D192" s="42">
        <v>0.46527777777777779</v>
      </c>
      <c r="E192" s="194">
        <v>25</v>
      </c>
      <c r="F192" s="63" t="s">
        <v>289</v>
      </c>
      <c r="G192" s="2">
        <v>1</v>
      </c>
      <c r="H192" s="2">
        <v>9</v>
      </c>
      <c r="I192" s="125">
        <v>600</v>
      </c>
      <c r="J192" s="2" t="s">
        <v>766</v>
      </c>
      <c r="K192" s="137" t="s">
        <v>815</v>
      </c>
      <c r="L192" s="89">
        <v>30000</v>
      </c>
      <c r="M192" s="202">
        <v>30</v>
      </c>
      <c r="N192" s="39" t="s">
        <v>48</v>
      </c>
      <c r="O192" s="39" t="s">
        <v>49</v>
      </c>
      <c r="P192" s="212" t="s">
        <v>836</v>
      </c>
      <c r="Q192" s="19">
        <v>90</v>
      </c>
      <c r="R192" s="15">
        <f>Q192/I192</f>
        <v>0.15</v>
      </c>
      <c r="S192" s="5">
        <f>($AC192*$AD192)/(($Z192/$Y192)+($AA192/$Z192)+($AB192/$AA192))</f>
        <v>67.332430602572785</v>
      </c>
      <c r="U192" s="109" t="s">
        <v>767</v>
      </c>
      <c r="V192" s="205" t="s">
        <v>660</v>
      </c>
      <c r="Y192" s="2">
        <v>2.5</v>
      </c>
      <c r="Z192" s="2">
        <v>6.5</v>
      </c>
      <c r="AA192" s="2">
        <v>15</v>
      </c>
      <c r="AB192" s="2">
        <v>40</v>
      </c>
      <c r="AC192" s="2">
        <v>30</v>
      </c>
      <c r="AD192" s="2">
        <v>17</v>
      </c>
      <c r="AE192" s="2">
        <f>AC192*AD192</f>
        <v>510</v>
      </c>
      <c r="AF192" s="2">
        <f>Z192/Y192</f>
        <v>2.6</v>
      </c>
      <c r="AG192" s="2">
        <f>AA192/Z192</f>
        <v>2.3076923076923075</v>
      </c>
      <c r="AH192" s="2">
        <f>AB192/AA192</f>
        <v>2.6666666666666665</v>
      </c>
    </row>
    <row r="193" spans="1:34">
      <c r="A193" s="165" t="s">
        <v>1383</v>
      </c>
      <c r="B193" s="36" t="s">
        <v>63</v>
      </c>
      <c r="C193" s="192">
        <v>46172</v>
      </c>
      <c r="D193" s="144">
        <v>0.5</v>
      </c>
      <c r="E193" s="194">
        <v>5</v>
      </c>
      <c r="F193" s="8" t="s">
        <v>1283</v>
      </c>
      <c r="G193" s="2">
        <v>3</v>
      </c>
      <c r="H193" s="2">
        <v>8</v>
      </c>
      <c r="I193" s="37">
        <v>5000</v>
      </c>
      <c r="J193" s="2" t="s">
        <v>762</v>
      </c>
      <c r="K193" s="109" t="s">
        <v>601</v>
      </c>
      <c r="L193" s="89">
        <v>50000</v>
      </c>
      <c r="M193" s="202" t="s">
        <v>97</v>
      </c>
      <c r="N193" s="39" t="s">
        <v>48</v>
      </c>
      <c r="O193" s="39" t="s">
        <v>57</v>
      </c>
      <c r="P193" s="19"/>
      <c r="Q193" s="38">
        <f>R193*I193</f>
        <v>400</v>
      </c>
      <c r="R193" s="15">
        <v>0.08</v>
      </c>
      <c r="S193" s="149" t="s">
        <v>110</v>
      </c>
      <c r="T193" s="149"/>
      <c r="U193" s="109" t="s">
        <v>767</v>
      </c>
      <c r="V193" s="205" t="s">
        <v>121</v>
      </c>
      <c r="W193" s="205"/>
      <c r="Y193" s="70"/>
      <c r="Z193" s="70"/>
      <c r="AA193" s="70"/>
      <c r="AC193" s="70"/>
      <c r="AD193" s="70"/>
      <c r="AE193" s="2" t="e">
        <f>AD193*#REF!</f>
        <v>#REF!</v>
      </c>
      <c r="AF193" s="2" t="e">
        <f>Z193/Y193</f>
        <v>#DIV/0!</v>
      </c>
      <c r="AG193" s="2" t="e">
        <f>AA193/Z193</f>
        <v>#DIV/0!</v>
      </c>
      <c r="AH193" s="2" t="e">
        <f>AC193/AA193</f>
        <v>#DIV/0!</v>
      </c>
    </row>
    <row r="194" spans="1:34">
      <c r="A194" s="165" t="s">
        <v>1383</v>
      </c>
      <c r="B194" s="39" t="s">
        <v>63</v>
      </c>
      <c r="C194" s="40">
        <v>46172</v>
      </c>
      <c r="D194" s="144">
        <v>0.5</v>
      </c>
      <c r="E194" s="43"/>
      <c r="F194" s="8" t="s">
        <v>130</v>
      </c>
      <c r="G194" s="2">
        <v>1</v>
      </c>
      <c r="H194" s="2">
        <v>9</v>
      </c>
      <c r="I194" s="125">
        <v>70</v>
      </c>
      <c r="J194" s="2" t="s">
        <v>766</v>
      </c>
      <c r="K194" s="88" t="s">
        <v>771</v>
      </c>
      <c r="L194" s="90">
        <v>10000</v>
      </c>
      <c r="M194" s="8">
        <v>10</v>
      </c>
      <c r="N194" s="132" t="s">
        <v>821</v>
      </c>
      <c r="O194" s="39" t="s">
        <v>49</v>
      </c>
      <c r="Q194" s="19">
        <v>20</v>
      </c>
      <c r="R194" s="15">
        <f>Q194/I194</f>
        <v>0.2857142857142857</v>
      </c>
      <c r="S194" s="5">
        <v>15</v>
      </c>
      <c r="U194" s="109" t="s">
        <v>767</v>
      </c>
      <c r="V194" s="71" t="s">
        <v>362</v>
      </c>
      <c r="W194" s="46" t="s">
        <v>139</v>
      </c>
      <c r="Y194" s="175"/>
      <c r="Z194" s="175"/>
      <c r="AA194" s="175"/>
      <c r="AB194" s="175"/>
      <c r="AC194" s="175"/>
      <c r="AD194" s="175"/>
      <c r="AE194" s="175"/>
      <c r="AF194" s="175"/>
      <c r="AG194" s="175"/>
      <c r="AH194" s="175"/>
    </row>
    <row r="195" spans="1:34">
      <c r="A195" s="52" t="s">
        <v>229</v>
      </c>
      <c r="B195" s="52" t="s">
        <v>230</v>
      </c>
      <c r="C195" s="40">
        <v>46172</v>
      </c>
      <c r="D195" s="42">
        <v>0.5</v>
      </c>
      <c r="E195" s="43"/>
      <c r="F195" s="8" t="s">
        <v>252</v>
      </c>
      <c r="G195" s="2">
        <v>1</v>
      </c>
      <c r="I195" s="37">
        <v>600</v>
      </c>
      <c r="J195" s="2" t="s">
        <v>766</v>
      </c>
      <c r="K195" s="88" t="s">
        <v>788</v>
      </c>
      <c r="L195" s="90">
        <v>40000</v>
      </c>
      <c r="M195" s="46" t="s">
        <v>22</v>
      </c>
      <c r="N195" s="39" t="s">
        <v>48</v>
      </c>
      <c r="O195" s="39" t="s">
        <v>123</v>
      </c>
      <c r="P195" s="19">
        <v>50000</v>
      </c>
      <c r="Q195" s="2">
        <v>85</v>
      </c>
      <c r="R195" s="15">
        <f>IF(Q195&gt;0,Q195/I195,"")</f>
        <v>0.14166666666666666</v>
      </c>
      <c r="S195" s="149" t="s">
        <v>110</v>
      </c>
      <c r="T195" s="149"/>
      <c r="U195" s="109" t="s">
        <v>767</v>
      </c>
      <c r="V195" s="205" t="s">
        <v>719</v>
      </c>
      <c r="W195" s="205"/>
      <c r="AE195" s="2">
        <f>AC195*AD195</f>
        <v>0</v>
      </c>
      <c r="AF195" s="2" t="e">
        <f>Z195/Y195</f>
        <v>#DIV/0!</v>
      </c>
      <c r="AG195" s="2" t="e">
        <f>AA195/Z195</f>
        <v>#DIV/0!</v>
      </c>
      <c r="AH195" s="2" t="e">
        <f>AB195/AA195</f>
        <v>#DIV/0!</v>
      </c>
    </row>
    <row r="196" spans="1:34">
      <c r="A196" s="95" t="s">
        <v>447</v>
      </c>
      <c r="B196" s="95" t="s">
        <v>448</v>
      </c>
      <c r="C196" s="40">
        <v>46172</v>
      </c>
      <c r="D196" s="42">
        <v>0.54166666666666663</v>
      </c>
      <c r="E196" s="43"/>
      <c r="F196" s="8" t="s">
        <v>408</v>
      </c>
      <c r="G196" s="2">
        <v>1</v>
      </c>
      <c r="H196" s="2">
        <v>8</v>
      </c>
      <c r="I196" s="125">
        <v>800</v>
      </c>
      <c r="J196" s="2" t="s">
        <v>766</v>
      </c>
      <c r="K196" s="109" t="s">
        <v>602</v>
      </c>
      <c r="L196" s="8">
        <v>30000</v>
      </c>
      <c r="M196" s="8">
        <v>30</v>
      </c>
      <c r="N196" s="39" t="s">
        <v>48</v>
      </c>
      <c r="O196" s="39" t="s">
        <v>57</v>
      </c>
      <c r="P196" s="63">
        <v>200000</v>
      </c>
      <c r="Q196" s="2">
        <v>100</v>
      </c>
      <c r="R196" s="15">
        <f>Q196/I196</f>
        <v>0.125</v>
      </c>
      <c r="S196" s="176" t="s">
        <v>110</v>
      </c>
      <c r="T196" s="176"/>
      <c r="U196" s="109" t="s">
        <v>767</v>
      </c>
      <c r="V196" s="205" t="s">
        <v>741</v>
      </c>
      <c r="W196" s="205"/>
      <c r="AE196" s="2">
        <f>AC196*AD196</f>
        <v>0</v>
      </c>
      <c r="AF196" s="2" t="e">
        <f>Z196/Y196</f>
        <v>#DIV/0!</v>
      </c>
      <c r="AG196" s="2" t="e">
        <f>AA196/Z196</f>
        <v>#DIV/0!</v>
      </c>
      <c r="AH196" s="2" t="e">
        <f>AB196/AA196</f>
        <v>#DIV/0!</v>
      </c>
    </row>
    <row r="197" spans="1:34">
      <c r="A197" s="165" t="s">
        <v>1383</v>
      </c>
      <c r="B197" s="36" t="s">
        <v>63</v>
      </c>
      <c r="C197" s="192">
        <v>46172</v>
      </c>
      <c r="D197" s="144">
        <v>0.54166666666666663</v>
      </c>
      <c r="E197" s="194">
        <v>8</v>
      </c>
      <c r="F197" s="8" t="s">
        <v>1217</v>
      </c>
      <c r="G197" s="2">
        <v>3</v>
      </c>
      <c r="H197" s="2">
        <v>6</v>
      </c>
      <c r="I197" s="37">
        <v>1500</v>
      </c>
      <c r="J197" s="2" t="s">
        <v>760</v>
      </c>
      <c r="K197" s="109" t="s">
        <v>598</v>
      </c>
      <c r="L197" s="89">
        <v>25000</v>
      </c>
      <c r="M197" s="202" t="s">
        <v>97</v>
      </c>
      <c r="N197" s="39" t="s">
        <v>48</v>
      </c>
      <c r="O197" s="39" t="s">
        <v>449</v>
      </c>
      <c r="P197" s="19"/>
      <c r="Q197" s="38">
        <f>R197*I197</f>
        <v>172.5</v>
      </c>
      <c r="R197" s="15">
        <v>0.115</v>
      </c>
      <c r="S197" s="149" t="s">
        <v>110</v>
      </c>
      <c r="T197" s="149"/>
      <c r="U197" s="109" t="s">
        <v>375</v>
      </c>
      <c r="V197" s="2" t="s">
        <v>121</v>
      </c>
      <c r="W197" s="205"/>
      <c r="AE197" s="2" t="e">
        <f>AD197*#REF!</f>
        <v>#REF!</v>
      </c>
      <c r="AF197" s="2" t="e">
        <f>Z197/Y197</f>
        <v>#DIV/0!</v>
      </c>
      <c r="AG197" s="2" t="e">
        <f>AA197/Z197</f>
        <v>#DIV/0!</v>
      </c>
      <c r="AH197" s="2" t="e">
        <f>AC197/AA197</f>
        <v>#DIV/0!</v>
      </c>
    </row>
    <row r="198" spans="1:34">
      <c r="A198" s="165" t="s">
        <v>1383</v>
      </c>
      <c r="B198" s="36" t="s">
        <v>63</v>
      </c>
      <c r="C198" s="40">
        <v>46172</v>
      </c>
      <c r="D198" s="144">
        <v>0.54166666666666663</v>
      </c>
      <c r="E198" s="194">
        <v>6</v>
      </c>
      <c r="F198" s="8" t="s">
        <v>1235</v>
      </c>
      <c r="G198" s="2">
        <v>3</v>
      </c>
      <c r="H198" s="2">
        <v>2</v>
      </c>
      <c r="I198" s="37">
        <v>1500</v>
      </c>
      <c r="J198" s="2" t="s">
        <v>110</v>
      </c>
      <c r="K198" s="109" t="s">
        <v>598</v>
      </c>
      <c r="L198" s="89">
        <v>25000</v>
      </c>
      <c r="M198" s="202" t="s">
        <v>97</v>
      </c>
      <c r="N198" s="39" t="s">
        <v>48</v>
      </c>
      <c r="O198" s="39" t="s">
        <v>371</v>
      </c>
      <c r="P198" s="213"/>
      <c r="Q198" s="38">
        <f>R198*I198</f>
        <v>172.5</v>
      </c>
      <c r="R198" s="15">
        <v>0.115</v>
      </c>
      <c r="S198" s="149" t="s">
        <v>110</v>
      </c>
      <c r="T198" s="149"/>
      <c r="U198" s="109" t="s">
        <v>767</v>
      </c>
      <c r="V198" s="205" t="s">
        <v>121</v>
      </c>
      <c r="W198" s="46"/>
      <c r="AE198" s="2" t="e">
        <f>AD198*#REF!</f>
        <v>#REF!</v>
      </c>
      <c r="AF198" s="2" t="e">
        <f>Z198/Y198</f>
        <v>#DIV/0!</v>
      </c>
      <c r="AG198" s="2" t="e">
        <f>AA198/Z198</f>
        <v>#DIV/0!</v>
      </c>
      <c r="AH198" s="2" t="e">
        <f>AC198/AA198</f>
        <v>#DIV/0!</v>
      </c>
    </row>
    <row r="199" spans="1:34">
      <c r="A199" s="165" t="s">
        <v>1383</v>
      </c>
      <c r="B199" s="36" t="s">
        <v>63</v>
      </c>
      <c r="C199" s="192">
        <v>46172</v>
      </c>
      <c r="D199" s="144">
        <v>0.54166666666666663</v>
      </c>
      <c r="E199" s="194">
        <v>9</v>
      </c>
      <c r="F199" s="8" t="s">
        <v>1250</v>
      </c>
      <c r="G199" s="2">
        <v>3</v>
      </c>
      <c r="H199" s="2">
        <v>9</v>
      </c>
      <c r="I199" s="37">
        <v>10000</v>
      </c>
      <c r="J199" s="2" t="s">
        <v>110</v>
      </c>
      <c r="K199" s="109" t="s">
        <v>816</v>
      </c>
      <c r="L199" s="89">
        <v>60000</v>
      </c>
      <c r="M199" s="202" t="s">
        <v>111</v>
      </c>
      <c r="N199" s="39" t="s">
        <v>48</v>
      </c>
      <c r="O199" s="39" t="s">
        <v>451</v>
      </c>
      <c r="P199" s="213"/>
      <c r="Q199" s="38">
        <f>R199*I199</f>
        <v>700.00000000000011</v>
      </c>
      <c r="R199" s="15">
        <v>7.0000000000000007E-2</v>
      </c>
      <c r="S199" s="149" t="s">
        <v>110</v>
      </c>
      <c r="T199" s="149"/>
      <c r="U199" s="109" t="s">
        <v>767</v>
      </c>
      <c r="V199" s="2" t="s">
        <v>121</v>
      </c>
      <c r="W199" s="205"/>
      <c r="AE199" s="2" t="e">
        <f>AD199*#REF!</f>
        <v>#REF!</v>
      </c>
      <c r="AF199" s="2" t="e">
        <f>Z199/Y199</f>
        <v>#DIV/0!</v>
      </c>
      <c r="AG199" s="2" t="e">
        <f>AA199/Z199</f>
        <v>#DIV/0!</v>
      </c>
      <c r="AH199" s="2" t="e">
        <f>AC199/AA199</f>
        <v>#DIV/0!</v>
      </c>
    </row>
    <row r="200" spans="1:34">
      <c r="A200" s="165" t="s">
        <v>1383</v>
      </c>
      <c r="B200" s="39" t="s">
        <v>63</v>
      </c>
      <c r="C200" s="192">
        <v>46172</v>
      </c>
      <c r="D200" s="144">
        <v>0.54166666666666663</v>
      </c>
      <c r="E200" s="194"/>
      <c r="F200" s="8" t="s">
        <v>881</v>
      </c>
      <c r="G200" s="2">
        <v>1</v>
      </c>
      <c r="H200" s="2">
        <v>9</v>
      </c>
      <c r="I200" s="37">
        <v>250</v>
      </c>
      <c r="J200" s="2" t="s">
        <v>766</v>
      </c>
      <c r="K200" s="88" t="s">
        <v>787</v>
      </c>
      <c r="L200" s="89">
        <v>25000</v>
      </c>
      <c r="M200" s="205">
        <v>30</v>
      </c>
      <c r="N200" s="39" t="s">
        <v>817</v>
      </c>
      <c r="O200" s="39" t="s">
        <v>49</v>
      </c>
      <c r="P200" s="210"/>
      <c r="Q200" s="19">
        <v>50</v>
      </c>
      <c r="R200" s="15">
        <f>Q200/I200</f>
        <v>0.2</v>
      </c>
      <c r="S200" s="5">
        <v>44</v>
      </c>
      <c r="U200" s="109" t="s">
        <v>767</v>
      </c>
      <c r="V200" s="71" t="s">
        <v>360</v>
      </c>
      <c r="W200" s="205"/>
      <c r="Y200" s="175"/>
      <c r="Z200" s="175"/>
      <c r="AA200" s="175"/>
      <c r="AB200" s="175"/>
      <c r="AC200" s="175"/>
      <c r="AD200" s="175"/>
      <c r="AE200" s="175"/>
      <c r="AF200" s="175"/>
      <c r="AG200" s="175"/>
      <c r="AH200" s="175"/>
    </row>
    <row r="201" spans="1:34">
      <c r="A201" s="96" t="s">
        <v>461</v>
      </c>
      <c r="B201" s="96" t="s">
        <v>462</v>
      </c>
      <c r="C201" s="40">
        <v>46172</v>
      </c>
      <c r="D201" s="42">
        <v>0.59027777777777779</v>
      </c>
      <c r="E201" s="43"/>
      <c r="F201" s="8" t="s">
        <v>276</v>
      </c>
      <c r="G201" s="2">
        <v>1</v>
      </c>
      <c r="I201" s="125">
        <v>200</v>
      </c>
      <c r="J201" s="2" t="s">
        <v>766</v>
      </c>
      <c r="K201" s="109" t="s">
        <v>602</v>
      </c>
      <c r="L201" s="8">
        <v>20000</v>
      </c>
      <c r="M201" s="202">
        <v>20</v>
      </c>
      <c r="N201" s="39" t="s">
        <v>48</v>
      </c>
      <c r="O201" s="39" t="s">
        <v>451</v>
      </c>
      <c r="P201" s="63">
        <v>15000</v>
      </c>
      <c r="Q201" s="2">
        <v>40</v>
      </c>
      <c r="R201" s="15">
        <f>Q201/I201</f>
        <v>0.2</v>
      </c>
      <c r="S201" s="149" t="s">
        <v>110</v>
      </c>
      <c r="T201" s="149"/>
      <c r="U201" s="109" t="s">
        <v>767</v>
      </c>
      <c r="V201" s="2" t="s">
        <v>735</v>
      </c>
      <c r="AE201" s="2">
        <f>AC201*AD201</f>
        <v>0</v>
      </c>
      <c r="AF201" s="2" t="e">
        <f>Z201/Y201</f>
        <v>#DIV/0!</v>
      </c>
      <c r="AG201" s="2" t="e">
        <f>AA201/Z201</f>
        <v>#DIV/0!</v>
      </c>
      <c r="AH201" s="2" t="e">
        <f>AB201/AA201</f>
        <v>#DIV/0!</v>
      </c>
    </row>
    <row r="202" spans="1:34">
      <c r="A202" s="165" t="s">
        <v>1383</v>
      </c>
      <c r="B202" s="39" t="s">
        <v>63</v>
      </c>
      <c r="C202" s="192">
        <v>46172</v>
      </c>
      <c r="D202" s="144">
        <v>0.625</v>
      </c>
      <c r="E202" s="43"/>
      <c r="F202" s="8" t="s">
        <v>912</v>
      </c>
      <c r="G202" s="2">
        <v>1</v>
      </c>
      <c r="H202" s="2">
        <v>9</v>
      </c>
      <c r="I202" s="37">
        <v>240</v>
      </c>
      <c r="J202" s="2" t="s">
        <v>766</v>
      </c>
      <c r="K202" s="88" t="s">
        <v>784</v>
      </c>
      <c r="L202" s="89">
        <v>10000</v>
      </c>
      <c r="M202" s="202">
        <v>20</v>
      </c>
      <c r="N202" s="132" t="s">
        <v>821</v>
      </c>
      <c r="O202" s="39" t="s">
        <v>49</v>
      </c>
      <c r="P202" s="210"/>
      <c r="Q202" s="19">
        <v>40</v>
      </c>
      <c r="R202" s="15">
        <v>0.16666666666666666</v>
      </c>
      <c r="S202" s="5">
        <v>29</v>
      </c>
      <c r="U202" s="109" t="s">
        <v>767</v>
      </c>
      <c r="V202" s="71" t="s">
        <v>362</v>
      </c>
      <c r="W202" s="8" t="s">
        <v>367</v>
      </c>
      <c r="Y202" s="175"/>
      <c r="Z202" s="175"/>
      <c r="AA202" s="175"/>
      <c r="AB202" s="175"/>
      <c r="AC202" s="175"/>
      <c r="AD202" s="175"/>
      <c r="AE202" s="175"/>
      <c r="AF202" s="175"/>
      <c r="AG202" s="175"/>
      <c r="AH202" s="175"/>
    </row>
    <row r="203" spans="1:34">
      <c r="A203" s="165" t="s">
        <v>1383</v>
      </c>
      <c r="B203" s="39" t="s">
        <v>63</v>
      </c>
      <c r="C203" s="192">
        <v>46172</v>
      </c>
      <c r="D203" s="144">
        <v>0.66666666666666663</v>
      </c>
      <c r="E203" s="194"/>
      <c r="F203" s="8" t="s">
        <v>1024</v>
      </c>
      <c r="G203" s="2">
        <v>1</v>
      </c>
      <c r="H203" s="2">
        <v>9</v>
      </c>
      <c r="I203" s="37">
        <v>400</v>
      </c>
      <c r="J203" s="2" t="s">
        <v>766</v>
      </c>
      <c r="K203" s="88" t="s">
        <v>794</v>
      </c>
      <c r="L203" s="89">
        <v>30000</v>
      </c>
      <c r="M203" s="205">
        <v>20</v>
      </c>
      <c r="N203" s="39" t="s">
        <v>817</v>
      </c>
      <c r="O203" s="39" t="s">
        <v>49</v>
      </c>
      <c r="Q203" s="19">
        <v>70</v>
      </c>
      <c r="R203" s="15">
        <f>Q203/I203</f>
        <v>0.17499999999999999</v>
      </c>
      <c r="S203" s="5">
        <v>37</v>
      </c>
      <c r="U203" s="109" t="s">
        <v>129</v>
      </c>
      <c r="V203" s="71" t="s">
        <v>360</v>
      </c>
      <c r="W203" s="205"/>
      <c r="Y203" s="175"/>
      <c r="Z203" s="175"/>
      <c r="AA203" s="175"/>
      <c r="AB203" s="175"/>
      <c r="AC203" s="175"/>
      <c r="AD203" s="175"/>
      <c r="AE203" s="175"/>
      <c r="AF203" s="175"/>
      <c r="AG203" s="175"/>
      <c r="AH203" s="175"/>
    </row>
    <row r="204" spans="1:34">
      <c r="A204" s="52" t="s">
        <v>229</v>
      </c>
      <c r="B204" s="52" t="s">
        <v>230</v>
      </c>
      <c r="C204" s="40">
        <v>46172</v>
      </c>
      <c r="D204" s="42">
        <v>0.66666666666666663</v>
      </c>
      <c r="E204" s="43"/>
      <c r="F204" s="8" t="s">
        <v>717</v>
      </c>
      <c r="G204" s="2">
        <v>1</v>
      </c>
      <c r="I204" s="125">
        <v>125</v>
      </c>
      <c r="J204" s="2" t="s">
        <v>766</v>
      </c>
      <c r="K204" s="88" t="s">
        <v>795</v>
      </c>
      <c r="L204" s="90">
        <v>20000</v>
      </c>
      <c r="M204" s="8">
        <v>20</v>
      </c>
      <c r="N204" s="39" t="s">
        <v>48</v>
      </c>
      <c r="O204" s="39" t="s">
        <v>49</v>
      </c>
      <c r="Q204" s="19">
        <v>25</v>
      </c>
      <c r="R204" s="15">
        <f>IF(Q204&gt;0,Q204/I204,"")</f>
        <v>0.2</v>
      </c>
      <c r="S204" s="5">
        <f>($AC204*$AD204)/(($Z204/$Y204)+($AA204/$Z204)+($AB204/$AA204))</f>
        <v>31.111111111111111</v>
      </c>
      <c r="U204" s="109" t="s">
        <v>767</v>
      </c>
      <c r="V204" s="205" t="s">
        <v>719</v>
      </c>
      <c r="W204" s="8" t="s">
        <v>718</v>
      </c>
      <c r="Y204" s="2">
        <v>2</v>
      </c>
      <c r="Z204" s="2">
        <v>5</v>
      </c>
      <c r="AA204" s="2">
        <v>20</v>
      </c>
      <c r="AB204" s="2">
        <v>50</v>
      </c>
      <c r="AC204" s="2">
        <v>14</v>
      </c>
      <c r="AD204" s="2">
        <v>20</v>
      </c>
      <c r="AE204" s="2">
        <f>AC204*AD204</f>
        <v>280</v>
      </c>
      <c r="AF204" s="2">
        <f>Z204/Y204</f>
        <v>2.5</v>
      </c>
      <c r="AG204" s="2">
        <f>AA204/Z204</f>
        <v>4</v>
      </c>
      <c r="AH204" s="2">
        <f>AB204/AA204</f>
        <v>2.5</v>
      </c>
    </row>
    <row r="205" spans="1:34">
      <c r="A205" s="52" t="s">
        <v>229</v>
      </c>
      <c r="B205" s="52" t="s">
        <v>230</v>
      </c>
      <c r="C205" s="40">
        <v>46172</v>
      </c>
      <c r="D205" s="42">
        <v>0.75</v>
      </c>
      <c r="E205" s="43"/>
      <c r="F205" s="8" t="s">
        <v>244</v>
      </c>
      <c r="G205" s="2">
        <v>1</v>
      </c>
      <c r="I205" s="125">
        <v>200</v>
      </c>
      <c r="J205" s="2" t="s">
        <v>766</v>
      </c>
      <c r="K205" s="88" t="s">
        <v>804</v>
      </c>
      <c r="L205" s="90">
        <v>30000</v>
      </c>
      <c r="M205" s="8">
        <v>20</v>
      </c>
      <c r="N205" s="39" t="s">
        <v>48</v>
      </c>
      <c r="O205" s="39" t="s">
        <v>49</v>
      </c>
      <c r="P205" s="135" t="s">
        <v>832</v>
      </c>
      <c r="Q205" s="19">
        <v>40</v>
      </c>
      <c r="R205" s="15">
        <f>IF(Q205&gt;0,Q205/I205,"")</f>
        <v>0.2</v>
      </c>
      <c r="S205" s="5">
        <f>($AC205*$AD205)/(($Z205/$Y205)+($AA205/$Z205)+($AB205/$AA205))</f>
        <v>35.555555555555557</v>
      </c>
      <c r="U205" s="109" t="s">
        <v>767</v>
      </c>
      <c r="V205" s="205" t="s">
        <v>719</v>
      </c>
      <c r="W205" s="205"/>
      <c r="Y205" s="2">
        <v>2</v>
      </c>
      <c r="Z205" s="2">
        <v>5</v>
      </c>
      <c r="AA205" s="2">
        <v>20</v>
      </c>
      <c r="AB205" s="2">
        <v>50</v>
      </c>
      <c r="AC205" s="2">
        <v>20</v>
      </c>
      <c r="AD205" s="2">
        <v>16</v>
      </c>
      <c r="AE205" s="2">
        <f>AC205*AD205</f>
        <v>320</v>
      </c>
      <c r="AF205" s="2">
        <f>Z205/Y205</f>
        <v>2.5</v>
      </c>
      <c r="AG205" s="2">
        <f>AA205/Z205</f>
        <v>4</v>
      </c>
      <c r="AH205" s="2">
        <f>AB205/AA205</f>
        <v>2.5</v>
      </c>
    </row>
    <row r="206" spans="1:34">
      <c r="A206" s="52" t="s">
        <v>220</v>
      </c>
      <c r="B206" s="52" t="s">
        <v>221</v>
      </c>
      <c r="C206" s="48">
        <v>46172</v>
      </c>
      <c r="D206" s="42">
        <v>0.75</v>
      </c>
      <c r="E206" s="43"/>
      <c r="F206" s="8" t="s">
        <v>1073</v>
      </c>
      <c r="G206" s="2">
        <v>1</v>
      </c>
      <c r="H206" s="2">
        <v>9</v>
      </c>
      <c r="I206" s="125">
        <v>1100</v>
      </c>
      <c r="J206" s="2" t="s">
        <v>766</v>
      </c>
      <c r="K206" s="88" t="s">
        <v>799</v>
      </c>
      <c r="L206" s="90">
        <v>30000</v>
      </c>
      <c r="M206" s="64">
        <v>20</v>
      </c>
      <c r="N206" s="39" t="s">
        <v>48</v>
      </c>
      <c r="O206" s="39" t="s">
        <v>49</v>
      </c>
      <c r="P206" s="212" t="s">
        <v>838</v>
      </c>
      <c r="Q206" s="19">
        <v>125</v>
      </c>
      <c r="R206" s="15">
        <f>Q206/I206</f>
        <v>0.11363636363636363</v>
      </c>
      <c r="S206" s="5">
        <f>($AC206*$AD206)/(($Z206/$Y206)+($AA206/$Z206)+($AB206/$AA206))</f>
        <v>62.448979591836739</v>
      </c>
      <c r="U206" s="109" t="s">
        <v>129</v>
      </c>
      <c r="V206" s="205" t="s">
        <v>738</v>
      </c>
      <c r="W206" s="205"/>
      <c r="Y206" s="2">
        <v>2</v>
      </c>
      <c r="Z206" s="2">
        <v>5</v>
      </c>
      <c r="AA206" s="2">
        <v>15</v>
      </c>
      <c r="AB206" s="2">
        <v>40</v>
      </c>
      <c r="AC206" s="2">
        <v>17</v>
      </c>
      <c r="AD206" s="2">
        <v>30</v>
      </c>
      <c r="AE206" s="2">
        <f>AC206*AD206</f>
        <v>510</v>
      </c>
      <c r="AF206" s="2">
        <f>Z206/Y206</f>
        <v>2.5</v>
      </c>
      <c r="AG206" s="2">
        <f>AA206/Z206</f>
        <v>3</v>
      </c>
      <c r="AH206" s="2">
        <f>AB206/AA206</f>
        <v>2.6666666666666665</v>
      </c>
    </row>
    <row r="207" spans="1:34">
      <c r="A207" s="96" t="s">
        <v>461</v>
      </c>
      <c r="B207" s="96" t="s">
        <v>462</v>
      </c>
      <c r="C207" s="40">
        <v>46172</v>
      </c>
      <c r="D207" s="42">
        <v>0.75694444444444442</v>
      </c>
      <c r="E207" s="43"/>
      <c r="F207" s="8" t="s">
        <v>460</v>
      </c>
      <c r="G207" s="2">
        <v>1</v>
      </c>
      <c r="I207" s="125">
        <v>200</v>
      </c>
      <c r="J207" s="2" t="s">
        <v>766</v>
      </c>
      <c r="K207" s="109" t="s">
        <v>602</v>
      </c>
      <c r="L207" s="8">
        <v>30000</v>
      </c>
      <c r="M207" s="54">
        <v>20</v>
      </c>
      <c r="N207" s="39" t="s">
        <v>48</v>
      </c>
      <c r="O207" s="39" t="s">
        <v>49</v>
      </c>
      <c r="P207" s="212" t="s">
        <v>833</v>
      </c>
      <c r="Q207" s="19">
        <v>40</v>
      </c>
      <c r="R207" s="15">
        <f>Q207/I207</f>
        <v>0.2</v>
      </c>
      <c r="S207" s="5">
        <f>($AC207*$AD207)/(($Z207/$Y207)+($AA207/$Z207)+($AB207/$AA207))</f>
        <v>41.632653061224495</v>
      </c>
      <c r="U207" s="109" t="s">
        <v>219</v>
      </c>
      <c r="V207" s="205" t="s">
        <v>735</v>
      </c>
      <c r="W207" s="251" t="s">
        <v>466</v>
      </c>
      <c r="Y207" s="2">
        <v>2</v>
      </c>
      <c r="Z207" s="2">
        <v>5</v>
      </c>
      <c r="AA207" s="2">
        <v>15</v>
      </c>
      <c r="AB207" s="2">
        <v>40</v>
      </c>
      <c r="AC207" s="2">
        <v>17</v>
      </c>
      <c r="AD207" s="2">
        <v>20</v>
      </c>
      <c r="AE207" s="2">
        <f>AC207*AD207</f>
        <v>340</v>
      </c>
      <c r="AF207" s="2">
        <f>Z207/Y207</f>
        <v>2.5</v>
      </c>
      <c r="AG207" s="2">
        <f>AA207/Z207</f>
        <v>3</v>
      </c>
      <c r="AH207" s="2">
        <f>AB207/AA207</f>
        <v>2.6666666666666665</v>
      </c>
    </row>
    <row r="208" spans="1:34">
      <c r="A208" s="68" t="s">
        <v>357</v>
      </c>
      <c r="B208" s="68" t="s">
        <v>358</v>
      </c>
      <c r="C208" s="48">
        <v>46172</v>
      </c>
      <c r="D208" s="42">
        <v>0.75694444444444442</v>
      </c>
      <c r="E208" s="194">
        <v>26</v>
      </c>
      <c r="F208" s="63" t="s">
        <v>292</v>
      </c>
      <c r="G208" s="2">
        <v>1</v>
      </c>
      <c r="H208" s="2">
        <v>9</v>
      </c>
      <c r="I208" s="125">
        <v>400</v>
      </c>
      <c r="J208" s="2" t="s">
        <v>766</v>
      </c>
      <c r="K208" s="137" t="s">
        <v>602</v>
      </c>
      <c r="L208" s="89">
        <v>25000</v>
      </c>
      <c r="M208" s="202">
        <v>30</v>
      </c>
      <c r="N208" s="39" t="s">
        <v>48</v>
      </c>
      <c r="O208" s="39" t="s">
        <v>49</v>
      </c>
      <c r="P208" s="212" t="s">
        <v>834</v>
      </c>
      <c r="Q208" s="19">
        <v>60</v>
      </c>
      <c r="R208" s="15">
        <f>Q208/I208</f>
        <v>0.15</v>
      </c>
      <c r="S208" s="5">
        <f>($AC208*$AD208)/(($Z208/$Y208)+($AA208/$Z208)+($AB208/$AA208))</f>
        <v>55.03292568203198</v>
      </c>
      <c r="U208" s="109" t="s">
        <v>219</v>
      </c>
      <c r="V208" s="205" t="s">
        <v>664</v>
      </c>
      <c r="W208" s="218" t="s">
        <v>656</v>
      </c>
      <c r="Y208" s="2">
        <v>2.5</v>
      </c>
      <c r="Z208" s="2">
        <v>6.5</v>
      </c>
      <c r="AA208" s="2">
        <v>20</v>
      </c>
      <c r="AB208" s="2">
        <v>50</v>
      </c>
      <c r="AC208" s="2">
        <v>30</v>
      </c>
      <c r="AD208" s="2">
        <v>15</v>
      </c>
      <c r="AE208" s="2">
        <f>AC208*AD208</f>
        <v>450</v>
      </c>
      <c r="AF208" s="2">
        <f>Z208/Y208</f>
        <v>2.6</v>
      </c>
      <c r="AG208" s="2">
        <f>AA208/Z208</f>
        <v>3.0769230769230771</v>
      </c>
      <c r="AH208" s="2">
        <f>AB208/AA208</f>
        <v>2.5</v>
      </c>
    </row>
    <row r="209" spans="1:34">
      <c r="A209" s="95" t="s">
        <v>447</v>
      </c>
      <c r="B209" s="95" t="s">
        <v>448</v>
      </c>
      <c r="C209" s="40">
        <v>46172</v>
      </c>
      <c r="D209" s="42">
        <v>0.79166666666666663</v>
      </c>
      <c r="E209" s="43"/>
      <c r="F209" s="8" t="s">
        <v>403</v>
      </c>
      <c r="G209" s="2">
        <v>1</v>
      </c>
      <c r="H209" s="2">
        <v>9</v>
      </c>
      <c r="I209" s="125">
        <v>300</v>
      </c>
      <c r="J209" s="2" t="s">
        <v>766</v>
      </c>
      <c r="K209" s="109" t="s">
        <v>602</v>
      </c>
      <c r="L209" s="8">
        <v>25000</v>
      </c>
      <c r="M209" s="8">
        <v>25</v>
      </c>
      <c r="N209" s="39" t="s">
        <v>48</v>
      </c>
      <c r="O209" s="39" t="s">
        <v>49</v>
      </c>
      <c r="P209" s="134" t="s">
        <v>834</v>
      </c>
      <c r="Q209" s="19">
        <v>50</v>
      </c>
      <c r="R209" s="15">
        <f>Q209/I209</f>
        <v>0.16666666666666666</v>
      </c>
      <c r="S209" s="5">
        <f>($AC209*$AD209)/(($Z209/$Y209)+($AA209/$Z209)+($AB209/$AA209))</f>
        <v>37.5</v>
      </c>
      <c r="U209" s="109" t="s">
        <v>767</v>
      </c>
      <c r="V209" s="2" t="s">
        <v>741</v>
      </c>
      <c r="Y209" s="2">
        <v>2.5</v>
      </c>
      <c r="Z209" s="2">
        <v>7.5</v>
      </c>
      <c r="AA209" s="2">
        <v>25</v>
      </c>
      <c r="AB209" s="2">
        <v>75</v>
      </c>
      <c r="AC209" s="2">
        <v>14</v>
      </c>
      <c r="AD209" s="2">
        <v>25</v>
      </c>
      <c r="AE209" s="2">
        <f>AC209*AD209</f>
        <v>350</v>
      </c>
      <c r="AF209" s="2">
        <f>Z209/Y209</f>
        <v>3</v>
      </c>
      <c r="AG209" s="2">
        <f>AA209/Z209</f>
        <v>3.3333333333333335</v>
      </c>
      <c r="AH209" s="2">
        <f>AB209/AA209</f>
        <v>3</v>
      </c>
    </row>
    <row r="210" spans="1:34">
      <c r="A210" s="165" t="s">
        <v>1383</v>
      </c>
      <c r="B210" s="39" t="s">
        <v>63</v>
      </c>
      <c r="C210" s="192">
        <v>46172</v>
      </c>
      <c r="D210" s="144">
        <v>0.79166666666666663</v>
      </c>
      <c r="E210" s="43"/>
      <c r="F210" s="8" t="s">
        <v>904</v>
      </c>
      <c r="G210" s="2">
        <v>1</v>
      </c>
      <c r="H210" s="2">
        <v>9</v>
      </c>
      <c r="I210" s="37">
        <v>1100</v>
      </c>
      <c r="J210" s="2" t="s">
        <v>766</v>
      </c>
      <c r="K210" s="88" t="s">
        <v>800</v>
      </c>
      <c r="L210" s="89">
        <v>15000</v>
      </c>
      <c r="M210" s="209" t="s">
        <v>128</v>
      </c>
      <c r="N210" s="132" t="s">
        <v>821</v>
      </c>
      <c r="O210" s="39" t="s">
        <v>49</v>
      </c>
      <c r="P210" s="210"/>
      <c r="Q210" s="19">
        <f>88+37</f>
        <v>125</v>
      </c>
      <c r="R210" s="15">
        <f>Q210/I210</f>
        <v>0.11363636363636363</v>
      </c>
      <c r="S210" s="5">
        <v>36</v>
      </c>
      <c r="U210" s="109" t="s">
        <v>767</v>
      </c>
      <c r="V210" s="71" t="s">
        <v>362</v>
      </c>
      <c r="W210" s="8" t="s">
        <v>370</v>
      </c>
      <c r="Y210" s="175"/>
      <c r="Z210" s="175"/>
      <c r="AA210" s="175"/>
      <c r="AB210" s="175"/>
      <c r="AC210" s="175"/>
      <c r="AD210" s="175"/>
      <c r="AE210" s="175"/>
      <c r="AF210" s="175"/>
      <c r="AG210" s="175"/>
      <c r="AH210" s="175"/>
    </row>
    <row r="211" spans="1:34">
      <c r="A211" s="165" t="s">
        <v>1383</v>
      </c>
      <c r="B211" s="39" t="s">
        <v>63</v>
      </c>
      <c r="C211" s="192">
        <v>46172</v>
      </c>
      <c r="D211" s="144">
        <v>0.83333333333333337</v>
      </c>
      <c r="E211" s="194"/>
      <c r="F211" s="8" t="s">
        <v>1023</v>
      </c>
      <c r="G211" s="2">
        <v>1</v>
      </c>
      <c r="H211" s="2">
        <v>9</v>
      </c>
      <c r="I211" s="37">
        <v>200</v>
      </c>
      <c r="J211" s="2" t="s">
        <v>766</v>
      </c>
      <c r="K211" s="88" t="s">
        <v>806</v>
      </c>
      <c r="L211" s="89">
        <v>20000</v>
      </c>
      <c r="M211" s="205">
        <v>20</v>
      </c>
      <c r="N211" s="39" t="s">
        <v>817</v>
      </c>
      <c r="O211" s="39" t="s">
        <v>49</v>
      </c>
      <c r="P211" s="210"/>
      <c r="Q211" s="19">
        <v>45</v>
      </c>
      <c r="R211" s="15">
        <f>Q211/I211</f>
        <v>0.22500000000000001</v>
      </c>
      <c r="S211" s="5">
        <v>23</v>
      </c>
      <c r="U211" s="109" t="s">
        <v>129</v>
      </c>
      <c r="V211" s="71" t="s">
        <v>360</v>
      </c>
      <c r="W211" s="205"/>
      <c r="Y211" s="175"/>
      <c r="Z211" s="175"/>
      <c r="AA211" s="175"/>
      <c r="AB211" s="175"/>
      <c r="AC211" s="175"/>
      <c r="AD211" s="175"/>
      <c r="AE211" s="175"/>
      <c r="AF211" s="175"/>
      <c r="AG211" s="175"/>
      <c r="AH211" s="175"/>
    </row>
    <row r="212" spans="1:34">
      <c r="A212" s="165" t="s">
        <v>1383</v>
      </c>
      <c r="B212" s="39" t="s">
        <v>63</v>
      </c>
      <c r="C212" s="192">
        <v>46172</v>
      </c>
      <c r="D212" s="144">
        <v>0.91666666666666663</v>
      </c>
      <c r="E212" s="43"/>
      <c r="F212" s="8" t="s">
        <v>909</v>
      </c>
      <c r="G212" s="2">
        <v>1</v>
      </c>
      <c r="H212" s="2">
        <v>9</v>
      </c>
      <c r="I212" s="37">
        <v>135</v>
      </c>
      <c r="J212" s="2" t="s">
        <v>766</v>
      </c>
      <c r="K212" s="88" t="s">
        <v>813</v>
      </c>
      <c r="L212" s="89">
        <v>10000</v>
      </c>
      <c r="M212" s="202">
        <v>15</v>
      </c>
      <c r="N212" s="132" t="s">
        <v>821</v>
      </c>
      <c r="O212" s="39" t="s">
        <v>49</v>
      </c>
      <c r="P212" s="210"/>
      <c r="Q212" s="19">
        <v>35</v>
      </c>
      <c r="R212" s="15">
        <f>Q212/I212</f>
        <v>0.25925925925925924</v>
      </c>
      <c r="S212" s="5">
        <v>22</v>
      </c>
      <c r="U212" s="109" t="s">
        <v>767</v>
      </c>
      <c r="V212" s="71" t="s">
        <v>362</v>
      </c>
      <c r="W212" s="8" t="s">
        <v>369</v>
      </c>
      <c r="Y212" s="175"/>
      <c r="Z212" s="175"/>
      <c r="AA212" s="175"/>
      <c r="AB212" s="175"/>
      <c r="AC212" s="175"/>
      <c r="AD212" s="175"/>
      <c r="AE212" s="175"/>
      <c r="AF212" s="175"/>
      <c r="AG212" s="175"/>
      <c r="AH212" s="175"/>
    </row>
    <row r="213" spans="1:34">
      <c r="A213" s="96" t="s">
        <v>461</v>
      </c>
      <c r="B213" s="96" t="s">
        <v>462</v>
      </c>
      <c r="C213" s="40">
        <v>46172</v>
      </c>
      <c r="D213" s="42">
        <v>0.92361111111111116</v>
      </c>
      <c r="E213" s="43"/>
      <c r="F213" s="8" t="s">
        <v>459</v>
      </c>
      <c r="G213" s="2">
        <v>1</v>
      </c>
      <c r="I213" s="125">
        <v>120</v>
      </c>
      <c r="J213" s="2" t="s">
        <v>766</v>
      </c>
      <c r="K213" s="109" t="s">
        <v>602</v>
      </c>
      <c r="L213" s="8">
        <v>20000</v>
      </c>
      <c r="M213" s="202">
        <v>20</v>
      </c>
      <c r="N213" s="39" t="s">
        <v>48</v>
      </c>
      <c r="O213" s="39" t="s">
        <v>465</v>
      </c>
      <c r="P213" s="63">
        <v>4000</v>
      </c>
      <c r="Q213" s="2">
        <v>24</v>
      </c>
      <c r="R213" s="15">
        <f>Q213/I213</f>
        <v>0.2</v>
      </c>
      <c r="S213" s="149" t="s">
        <v>110</v>
      </c>
      <c r="T213" s="149"/>
      <c r="U213" s="109" t="s">
        <v>767</v>
      </c>
      <c r="V213" s="2" t="s">
        <v>735</v>
      </c>
      <c r="AE213" s="2">
        <f>AC213*AD213</f>
        <v>0</v>
      </c>
      <c r="AF213" s="2" t="e">
        <f>Z213/Y213</f>
        <v>#DIV/0!</v>
      </c>
      <c r="AG213" s="2" t="e">
        <f>AA213/Z213</f>
        <v>#DIV/0!</v>
      </c>
      <c r="AH213" s="2" t="e">
        <f>AB213/AA213</f>
        <v>#DIV/0!</v>
      </c>
    </row>
    <row r="214" spans="1:34">
      <c r="A214" s="165" t="s">
        <v>1383</v>
      </c>
      <c r="B214" s="36" t="s">
        <v>63</v>
      </c>
      <c r="C214" s="4">
        <v>46172</v>
      </c>
      <c r="D214" s="144" t="s">
        <v>117</v>
      </c>
      <c r="E214" s="228">
        <v>1</v>
      </c>
      <c r="F214" s="8" t="s">
        <v>930</v>
      </c>
      <c r="G214" s="2">
        <v>3</v>
      </c>
      <c r="H214" s="2">
        <v>9</v>
      </c>
      <c r="I214" s="37">
        <v>550</v>
      </c>
      <c r="J214" s="2" t="s">
        <v>763</v>
      </c>
      <c r="K214" s="109" t="s">
        <v>815</v>
      </c>
      <c r="L214" s="89">
        <v>25000</v>
      </c>
      <c r="M214" s="54" t="s">
        <v>22</v>
      </c>
      <c r="N214" s="39" t="s">
        <v>48</v>
      </c>
      <c r="O214" s="39" t="s">
        <v>49</v>
      </c>
      <c r="P214" s="210"/>
      <c r="Q214" s="19">
        <f>R214*I214</f>
        <v>93.5</v>
      </c>
      <c r="R214" s="15">
        <v>0.17</v>
      </c>
      <c r="S214" s="5">
        <v>69</v>
      </c>
      <c r="U214" s="109" t="s">
        <v>55</v>
      </c>
      <c r="V214" s="2" t="s">
        <v>121</v>
      </c>
      <c r="Y214" s="175"/>
      <c r="Z214" s="175"/>
      <c r="AA214" s="175"/>
      <c r="AB214" s="175"/>
      <c r="AC214" s="175"/>
      <c r="AD214" s="175"/>
      <c r="AE214" s="175"/>
      <c r="AF214" s="175"/>
      <c r="AG214" s="175"/>
      <c r="AH214" s="175"/>
    </row>
    <row r="215" spans="1:34">
      <c r="A215" s="165" t="s">
        <v>1383</v>
      </c>
      <c r="B215" s="36" t="s">
        <v>63</v>
      </c>
      <c r="C215" s="192">
        <v>46172</v>
      </c>
      <c r="D215" s="144" t="s">
        <v>115</v>
      </c>
      <c r="E215" s="228">
        <v>7</v>
      </c>
      <c r="F215" s="8" t="s">
        <v>935</v>
      </c>
      <c r="G215" s="2">
        <v>3</v>
      </c>
      <c r="H215" s="2">
        <v>9</v>
      </c>
      <c r="I215" s="37">
        <v>25000</v>
      </c>
      <c r="J215" s="2" t="s">
        <v>110</v>
      </c>
      <c r="K215" s="109" t="s">
        <v>814</v>
      </c>
      <c r="L215" s="89">
        <v>150000</v>
      </c>
      <c r="M215" s="202">
        <v>20</v>
      </c>
      <c r="N215" s="39" t="s">
        <v>48</v>
      </c>
      <c r="O215" s="39" t="s">
        <v>49</v>
      </c>
      <c r="P215" s="210"/>
      <c r="Q215" s="19">
        <f>R215*I215</f>
        <v>1500</v>
      </c>
      <c r="R215" s="15">
        <v>0.06</v>
      </c>
      <c r="S215" s="177" t="s">
        <v>110</v>
      </c>
      <c r="T215" s="177"/>
      <c r="U215" s="109" t="s">
        <v>154</v>
      </c>
      <c r="V215" s="2" t="s">
        <v>121</v>
      </c>
      <c r="W215" s="205"/>
      <c r="AE215" s="2">
        <f>AC215*AD215</f>
        <v>0</v>
      </c>
      <c r="AF215" s="2" t="e">
        <f>Z215/Y215</f>
        <v>#DIV/0!</v>
      </c>
      <c r="AG215" s="2" t="e">
        <f>AA215/Z215</f>
        <v>#DIV/0!</v>
      </c>
      <c r="AH215" s="2" t="e">
        <f>AB215/AA215</f>
        <v>#DIV/0!</v>
      </c>
    </row>
    <row r="216" spans="1:34">
      <c r="A216" s="165" t="s">
        <v>1383</v>
      </c>
      <c r="B216" s="36" t="s">
        <v>63</v>
      </c>
      <c r="C216" s="192">
        <v>46172</v>
      </c>
      <c r="D216" s="144" t="s">
        <v>116</v>
      </c>
      <c r="E216" s="194">
        <v>9</v>
      </c>
      <c r="F216" s="8" t="s">
        <v>936</v>
      </c>
      <c r="G216" s="2">
        <v>3</v>
      </c>
      <c r="H216" s="2">
        <v>9</v>
      </c>
      <c r="I216" s="37">
        <v>10000</v>
      </c>
      <c r="J216" s="2" t="s">
        <v>110</v>
      </c>
      <c r="K216" s="109" t="s">
        <v>816</v>
      </c>
      <c r="L216" s="89">
        <v>60000</v>
      </c>
      <c r="M216" s="54" t="s">
        <v>111</v>
      </c>
      <c r="N216" s="39" t="s">
        <v>48</v>
      </c>
      <c r="O216" s="39" t="s">
        <v>451</v>
      </c>
      <c r="P216" s="213"/>
      <c r="Q216" s="38">
        <f>R216*I216</f>
        <v>700.00000000000011</v>
      </c>
      <c r="R216" s="15">
        <v>7.0000000000000007E-2</v>
      </c>
      <c r="S216" s="149" t="s">
        <v>110</v>
      </c>
      <c r="T216" s="149"/>
      <c r="U216" s="109" t="s">
        <v>767</v>
      </c>
      <c r="V216" s="2" t="s">
        <v>121</v>
      </c>
      <c r="AE216" s="2" t="e">
        <f>AD216*#REF!</f>
        <v>#REF!</v>
      </c>
      <c r="AF216" s="2" t="e">
        <f>Z216/Y216</f>
        <v>#DIV/0!</v>
      </c>
      <c r="AG216" s="2" t="e">
        <f>AA216/Z216</f>
        <v>#DIV/0!</v>
      </c>
      <c r="AH216" s="2" t="e">
        <f>AC216/AA216</f>
        <v>#DIV/0!</v>
      </c>
    </row>
    <row r="217" spans="1:34">
      <c r="A217" s="165" t="s">
        <v>1383</v>
      </c>
      <c r="B217" s="36" t="s">
        <v>63</v>
      </c>
      <c r="C217" s="192">
        <v>46172</v>
      </c>
      <c r="D217" s="144" t="s">
        <v>118</v>
      </c>
      <c r="E217" s="35">
        <v>1</v>
      </c>
      <c r="F217" s="8" t="s">
        <v>926</v>
      </c>
      <c r="G217" s="2">
        <v>3</v>
      </c>
      <c r="H217" s="2">
        <v>9</v>
      </c>
      <c r="I217" s="37">
        <v>550</v>
      </c>
      <c r="J217" s="2" t="s">
        <v>763</v>
      </c>
      <c r="K217" s="109" t="s">
        <v>815</v>
      </c>
      <c r="L217" s="89">
        <v>25000</v>
      </c>
      <c r="M217" s="54" t="s">
        <v>22</v>
      </c>
      <c r="N217" s="39" t="s">
        <v>48</v>
      </c>
      <c r="O217" s="39" t="s">
        <v>49</v>
      </c>
      <c r="P217" s="210"/>
      <c r="Q217" s="19">
        <f>R217*I217</f>
        <v>93.5</v>
      </c>
      <c r="R217" s="15">
        <v>0.17</v>
      </c>
      <c r="S217" s="5">
        <v>46</v>
      </c>
      <c r="U217" s="109" t="s">
        <v>55</v>
      </c>
      <c r="V217" s="2" t="s">
        <v>121</v>
      </c>
      <c r="Y217" s="175"/>
      <c r="Z217" s="175"/>
      <c r="AA217" s="175"/>
      <c r="AB217" s="175"/>
      <c r="AC217" s="175"/>
      <c r="AD217" s="175"/>
      <c r="AE217" s="175"/>
      <c r="AF217" s="175"/>
      <c r="AG217" s="175"/>
      <c r="AH217" s="175"/>
    </row>
    <row r="218" spans="1:34">
      <c r="A218" s="96" t="s">
        <v>461</v>
      </c>
      <c r="B218" s="96" t="s">
        <v>462</v>
      </c>
      <c r="C218" s="40">
        <v>46173</v>
      </c>
      <c r="D218" s="42">
        <v>0.4236111111111111</v>
      </c>
      <c r="E218" s="43"/>
      <c r="F218" s="8" t="s">
        <v>457</v>
      </c>
      <c r="G218" s="2">
        <v>1</v>
      </c>
      <c r="I218" s="125">
        <v>120</v>
      </c>
      <c r="J218" s="2" t="s">
        <v>766</v>
      </c>
      <c r="K218" s="109" t="s">
        <v>602</v>
      </c>
      <c r="L218" s="8">
        <v>20000</v>
      </c>
      <c r="M218" s="202">
        <v>20</v>
      </c>
      <c r="N218" s="39" t="s">
        <v>48</v>
      </c>
      <c r="O218" s="39" t="s">
        <v>49</v>
      </c>
      <c r="P218" s="135" t="s">
        <v>832</v>
      </c>
      <c r="Q218" s="19">
        <v>24</v>
      </c>
      <c r="R218" s="15">
        <f>Q218/I218</f>
        <v>0.2</v>
      </c>
      <c r="S218" s="5">
        <f>($AC218*$AD218)/(($Z218/$Y218)+($AA218/$Z218)+($AB218/$AA218))</f>
        <v>25.161290322580644</v>
      </c>
      <c r="U218" s="109" t="s">
        <v>767</v>
      </c>
      <c r="V218" s="205" t="s">
        <v>735</v>
      </c>
      <c r="Y218" s="2">
        <v>2.5</v>
      </c>
      <c r="Z218" s="2">
        <v>7.5</v>
      </c>
      <c r="AA218" s="2">
        <v>30</v>
      </c>
      <c r="AB218" s="2">
        <v>100</v>
      </c>
      <c r="AC218" s="2">
        <v>13</v>
      </c>
      <c r="AD218" s="2">
        <v>20</v>
      </c>
      <c r="AE218" s="2">
        <f>AC218*AD218</f>
        <v>260</v>
      </c>
      <c r="AF218" s="2">
        <f>Z218/Y218</f>
        <v>3</v>
      </c>
      <c r="AG218" s="2">
        <f>AA218/Z218</f>
        <v>4</v>
      </c>
      <c r="AH218" s="2">
        <f>AB218/AA218</f>
        <v>3.3333333333333335</v>
      </c>
    </row>
    <row r="219" spans="1:34">
      <c r="A219" s="68" t="s">
        <v>357</v>
      </c>
      <c r="B219" s="68" t="s">
        <v>358</v>
      </c>
      <c r="C219" s="48">
        <v>46173</v>
      </c>
      <c r="D219" s="42">
        <v>0.4236111111111111</v>
      </c>
      <c r="E219" s="194">
        <v>27</v>
      </c>
      <c r="F219" s="63" t="s">
        <v>294</v>
      </c>
      <c r="G219" s="2">
        <v>1</v>
      </c>
      <c r="H219" s="2">
        <v>9</v>
      </c>
      <c r="I219" s="125">
        <v>800</v>
      </c>
      <c r="J219" s="2" t="s">
        <v>766</v>
      </c>
      <c r="K219" s="137" t="s">
        <v>816</v>
      </c>
      <c r="L219" s="89">
        <v>40000</v>
      </c>
      <c r="M219" s="54">
        <v>30</v>
      </c>
      <c r="N219" s="39" t="s">
        <v>48</v>
      </c>
      <c r="O219" s="39" t="s">
        <v>49</v>
      </c>
      <c r="P219" s="134" t="s">
        <v>838</v>
      </c>
      <c r="Q219" s="19">
        <v>100</v>
      </c>
      <c r="R219" s="15">
        <f>Q219/I219</f>
        <v>0.125</v>
      </c>
      <c r="S219" s="5">
        <f>($AC219*$AD219)/(($Z219/$Y219)+($AA219/$Z219)+($AB219/$AA219))</f>
        <v>71.293161814488826</v>
      </c>
      <c r="U219" s="109" t="s">
        <v>54</v>
      </c>
      <c r="V219" s="2" t="s">
        <v>666</v>
      </c>
      <c r="W219" s="10"/>
      <c r="Y219" s="2">
        <v>2.5</v>
      </c>
      <c r="Z219" s="2">
        <v>6.5</v>
      </c>
      <c r="AA219" s="2">
        <v>15</v>
      </c>
      <c r="AB219" s="2">
        <v>40</v>
      </c>
      <c r="AC219" s="2">
        <v>30</v>
      </c>
      <c r="AD219" s="2">
        <v>18</v>
      </c>
      <c r="AE219" s="2">
        <f>AC219*AD219</f>
        <v>540</v>
      </c>
      <c r="AF219" s="2">
        <f>Z219/Y219</f>
        <v>2.6</v>
      </c>
      <c r="AG219" s="2">
        <f>AA219/Z219</f>
        <v>2.3076923076923075</v>
      </c>
      <c r="AH219" s="2">
        <f>AB219/AA219</f>
        <v>2.6666666666666665</v>
      </c>
    </row>
    <row r="220" spans="1:34">
      <c r="A220" s="95" t="s">
        <v>447</v>
      </c>
      <c r="B220" s="95" t="s">
        <v>448</v>
      </c>
      <c r="C220" s="40">
        <v>46173</v>
      </c>
      <c r="D220" s="42">
        <v>0.45833333333333331</v>
      </c>
      <c r="E220" s="43"/>
      <c r="F220" s="8" t="s">
        <v>409</v>
      </c>
      <c r="G220" s="2">
        <v>1</v>
      </c>
      <c r="H220" s="2">
        <v>8</v>
      </c>
      <c r="I220" s="125">
        <v>600</v>
      </c>
      <c r="J220" s="2" t="s">
        <v>766</v>
      </c>
      <c r="K220" s="109" t="s">
        <v>602</v>
      </c>
      <c r="L220" s="8">
        <v>30000</v>
      </c>
      <c r="M220" s="8">
        <v>30</v>
      </c>
      <c r="N220" s="39" t="s">
        <v>48</v>
      </c>
      <c r="O220" s="39" t="s">
        <v>122</v>
      </c>
      <c r="P220" s="63">
        <v>30000</v>
      </c>
      <c r="Q220" s="2">
        <v>90</v>
      </c>
      <c r="R220" s="15">
        <f>Q220/I220</f>
        <v>0.15</v>
      </c>
      <c r="S220" s="176" t="s">
        <v>110</v>
      </c>
      <c r="T220" s="176"/>
      <c r="U220" s="109" t="s">
        <v>767</v>
      </c>
      <c r="V220" s="2" t="s">
        <v>741</v>
      </c>
      <c r="AE220" s="2">
        <f>AC220*AD220</f>
        <v>0</v>
      </c>
      <c r="AF220" s="2" t="e">
        <f>Z220/Y220</f>
        <v>#DIV/0!</v>
      </c>
      <c r="AG220" s="2" t="e">
        <f>AA220/Z220</f>
        <v>#DIV/0!</v>
      </c>
      <c r="AH220" s="2" t="e">
        <f>AB220/AA220</f>
        <v>#DIV/0!</v>
      </c>
    </row>
    <row r="221" spans="1:34">
      <c r="A221" s="52" t="s">
        <v>229</v>
      </c>
      <c r="B221" s="52" t="s">
        <v>230</v>
      </c>
      <c r="C221" s="40">
        <v>46173</v>
      </c>
      <c r="D221" s="42">
        <v>0.45833333333333331</v>
      </c>
      <c r="E221" s="43"/>
      <c r="F221" s="8" t="s">
        <v>245</v>
      </c>
      <c r="G221" s="2">
        <v>1</v>
      </c>
      <c r="I221" s="125">
        <v>300</v>
      </c>
      <c r="J221" s="2" t="s">
        <v>766</v>
      </c>
      <c r="K221" s="88" t="s">
        <v>788</v>
      </c>
      <c r="L221" s="90">
        <v>25000</v>
      </c>
      <c r="M221" s="8">
        <v>30</v>
      </c>
      <c r="N221" s="39" t="s">
        <v>48</v>
      </c>
      <c r="O221" s="39" t="s">
        <v>49</v>
      </c>
      <c r="P221" s="134" t="s">
        <v>838</v>
      </c>
      <c r="Q221" s="19">
        <v>60</v>
      </c>
      <c r="R221" s="15">
        <f>IF(Q221&gt;0,Q221/I221,"")</f>
        <v>0.2</v>
      </c>
      <c r="S221" s="5">
        <f>($AC221*$AD221)/(($Z221/$Y221)+($AA221/$Z221)+($AB221/$AA221))</f>
        <v>80.996884735202499</v>
      </c>
      <c r="U221" s="109" t="s">
        <v>767</v>
      </c>
      <c r="V221" s="205" t="s">
        <v>719</v>
      </c>
      <c r="W221" s="205"/>
      <c r="Y221" s="2">
        <v>2</v>
      </c>
      <c r="Z221" s="2">
        <v>5</v>
      </c>
      <c r="AA221" s="2">
        <v>13</v>
      </c>
      <c r="AB221" s="2">
        <v>30</v>
      </c>
      <c r="AC221" s="2">
        <v>30</v>
      </c>
      <c r="AD221" s="2">
        <v>20</v>
      </c>
      <c r="AE221" s="2">
        <f>AC221*AD221</f>
        <v>600</v>
      </c>
      <c r="AF221" s="2">
        <f>Z221/Y221</f>
        <v>2.5</v>
      </c>
      <c r="AG221" s="2">
        <f>AA221/Z221</f>
        <v>2.6</v>
      </c>
      <c r="AH221" s="2">
        <f>AB221/AA221</f>
        <v>2.3076923076923075</v>
      </c>
    </row>
    <row r="222" spans="1:34">
      <c r="A222" s="52" t="s">
        <v>220</v>
      </c>
      <c r="B222" s="52" t="s">
        <v>221</v>
      </c>
      <c r="C222" s="48">
        <v>46173</v>
      </c>
      <c r="D222" s="42">
        <v>0.45833333333333331</v>
      </c>
      <c r="E222" s="43"/>
      <c r="F222" s="8" t="s">
        <v>1045</v>
      </c>
      <c r="G222" s="2">
        <v>2</v>
      </c>
      <c r="H222" s="2">
        <v>9</v>
      </c>
      <c r="I222" s="125">
        <v>1100</v>
      </c>
      <c r="J222" s="2" t="s">
        <v>766</v>
      </c>
      <c r="K222" s="88" t="s">
        <v>791</v>
      </c>
      <c r="L222" s="90">
        <v>40000</v>
      </c>
      <c r="M222" s="64">
        <v>40</v>
      </c>
      <c r="N222" s="39" t="s">
        <v>48</v>
      </c>
      <c r="O222" s="39" t="s">
        <v>49</v>
      </c>
      <c r="P222" s="135" t="s">
        <v>848</v>
      </c>
      <c r="Q222" s="19">
        <v>135</v>
      </c>
      <c r="R222" s="15">
        <f>Q222/I222</f>
        <v>0.12272727272727273</v>
      </c>
      <c r="S222" s="5">
        <f>($AC222*$AD222)/(($Z222/$Y222)+($AA222/$Z222)+($AB222/$AA222))</f>
        <v>102.59605399792316</v>
      </c>
      <c r="U222" s="109" t="s">
        <v>767</v>
      </c>
      <c r="V222" s="205" t="s">
        <v>738</v>
      </c>
      <c r="Y222" s="2">
        <v>2</v>
      </c>
      <c r="Z222" s="2">
        <v>5</v>
      </c>
      <c r="AA222" s="2">
        <v>13</v>
      </c>
      <c r="AB222" s="2">
        <v>30</v>
      </c>
      <c r="AC222" s="2">
        <v>40</v>
      </c>
      <c r="AD222" s="2">
        <v>19</v>
      </c>
      <c r="AE222" s="2">
        <f>AC222*AD222</f>
        <v>760</v>
      </c>
      <c r="AF222" s="2">
        <f>Z222/Y222</f>
        <v>2.5</v>
      </c>
      <c r="AG222" s="2">
        <f>AA222/Z222</f>
        <v>2.6</v>
      </c>
      <c r="AH222" s="2">
        <f>AB222/AA222</f>
        <v>2.3076923076923075</v>
      </c>
    </row>
    <row r="223" spans="1:34">
      <c r="A223" s="68" t="s">
        <v>357</v>
      </c>
      <c r="B223" s="68" t="s">
        <v>358</v>
      </c>
      <c r="C223" s="48">
        <v>46173</v>
      </c>
      <c r="D223" s="42">
        <v>0.50694444444444442</v>
      </c>
      <c r="E223" s="194">
        <v>28</v>
      </c>
      <c r="F223" s="63" t="s">
        <v>295</v>
      </c>
      <c r="G223" s="2">
        <v>1</v>
      </c>
      <c r="H223" s="2">
        <v>8</v>
      </c>
      <c r="I223" s="125">
        <v>1100</v>
      </c>
      <c r="J223" s="2" t="s">
        <v>766</v>
      </c>
      <c r="K223" s="137" t="s">
        <v>815</v>
      </c>
      <c r="L223" s="89">
        <v>30000</v>
      </c>
      <c r="M223" s="202">
        <v>30</v>
      </c>
      <c r="N223" s="39" t="s">
        <v>48</v>
      </c>
      <c r="O223" s="39" t="s">
        <v>57</v>
      </c>
      <c r="P223" s="234">
        <v>100000</v>
      </c>
      <c r="Q223" s="2">
        <v>130</v>
      </c>
      <c r="R223" s="15">
        <f>Q223/I223</f>
        <v>0.11818181818181818</v>
      </c>
      <c r="S223" s="149" t="s">
        <v>110</v>
      </c>
      <c r="T223" s="149"/>
      <c r="U223" s="109" t="s">
        <v>767</v>
      </c>
      <c r="V223" s="205" t="s">
        <v>667</v>
      </c>
      <c r="W223" s="205"/>
      <c r="AE223" s="2">
        <f>AC223*AD223</f>
        <v>0</v>
      </c>
      <c r="AF223" s="2" t="e">
        <f>Z223/Y223</f>
        <v>#DIV/0!</v>
      </c>
      <c r="AG223" s="2" t="e">
        <f>AA223/Z223</f>
        <v>#DIV/0!</v>
      </c>
      <c r="AH223" s="2" t="e">
        <f>AB223/AA223</f>
        <v>#DIV/0!</v>
      </c>
    </row>
    <row r="224" spans="1:34">
      <c r="A224" s="95" t="s">
        <v>447</v>
      </c>
      <c r="B224" s="95" t="s">
        <v>448</v>
      </c>
      <c r="C224" s="40">
        <v>46173</v>
      </c>
      <c r="D224" s="42">
        <v>0.54166666666666663</v>
      </c>
      <c r="E224" s="43"/>
      <c r="F224" s="8" t="s">
        <v>410</v>
      </c>
      <c r="G224" s="2">
        <v>1</v>
      </c>
      <c r="H224" s="2">
        <v>9</v>
      </c>
      <c r="I224" s="125">
        <v>600</v>
      </c>
      <c r="J224" s="2" t="s">
        <v>766</v>
      </c>
      <c r="K224" s="109" t="s">
        <v>602</v>
      </c>
      <c r="L224" s="8">
        <v>30000</v>
      </c>
      <c r="M224" s="8">
        <v>30</v>
      </c>
      <c r="N224" s="39" t="s">
        <v>48</v>
      </c>
      <c r="O224" s="39" t="s">
        <v>49</v>
      </c>
      <c r="P224" s="134" t="s">
        <v>839</v>
      </c>
      <c r="Q224" s="19">
        <v>90</v>
      </c>
      <c r="R224" s="15">
        <f>Q224/I224</f>
        <v>0.15</v>
      </c>
      <c r="S224" s="5">
        <f>($AC224*$AD224)/(($Z224/$Y224)+($AA224/$Z224)+($AB224/$AA224))</f>
        <v>72.897196261682254</v>
      </c>
      <c r="U224" s="109" t="s">
        <v>767</v>
      </c>
      <c r="V224" s="205" t="s">
        <v>741</v>
      </c>
      <c r="W224" s="205"/>
      <c r="Y224" s="2">
        <v>2</v>
      </c>
      <c r="Z224" s="2">
        <v>5</v>
      </c>
      <c r="AA224" s="2">
        <v>13</v>
      </c>
      <c r="AB224" s="2">
        <v>30</v>
      </c>
      <c r="AC224" s="2">
        <v>18</v>
      </c>
      <c r="AD224" s="2">
        <v>30</v>
      </c>
      <c r="AE224" s="2">
        <f>AC224*AD224</f>
        <v>540</v>
      </c>
      <c r="AF224" s="2">
        <f>Z224/Y224</f>
        <v>2.5</v>
      </c>
      <c r="AG224" s="2">
        <f>AA224/Z224</f>
        <v>2.6</v>
      </c>
      <c r="AH224" s="2">
        <f>AB224/AA224</f>
        <v>2.3076923076923075</v>
      </c>
    </row>
    <row r="225" spans="1:34">
      <c r="A225" s="165" t="s">
        <v>1383</v>
      </c>
      <c r="B225" s="36" t="s">
        <v>63</v>
      </c>
      <c r="C225" s="192">
        <v>46173</v>
      </c>
      <c r="D225" s="144">
        <v>0.54166666666666663</v>
      </c>
      <c r="E225" s="228">
        <v>1</v>
      </c>
      <c r="F225" s="8" t="s">
        <v>1291</v>
      </c>
      <c r="G225" s="2">
        <v>3</v>
      </c>
      <c r="H225" s="2">
        <v>9</v>
      </c>
      <c r="I225" s="37">
        <v>550</v>
      </c>
      <c r="J225" s="2" t="s">
        <v>763</v>
      </c>
      <c r="K225" s="109" t="s">
        <v>815</v>
      </c>
      <c r="L225" s="89">
        <v>25000</v>
      </c>
      <c r="M225" s="202" t="s">
        <v>22</v>
      </c>
      <c r="N225" s="39" t="s">
        <v>48</v>
      </c>
      <c r="O225" s="39" t="s">
        <v>49</v>
      </c>
      <c r="Q225" s="19">
        <f>R225*I225</f>
        <v>93.5</v>
      </c>
      <c r="R225" s="15">
        <v>0.17</v>
      </c>
      <c r="S225" s="5">
        <v>69</v>
      </c>
      <c r="U225" s="109" t="s">
        <v>55</v>
      </c>
      <c r="V225" s="2" t="s">
        <v>121</v>
      </c>
      <c r="W225" s="205"/>
      <c r="Y225" s="175"/>
      <c r="Z225" s="175"/>
      <c r="AA225" s="175"/>
      <c r="AB225" s="175"/>
      <c r="AC225" s="175"/>
      <c r="AD225" s="175"/>
      <c r="AE225" s="175"/>
      <c r="AF225" s="175"/>
      <c r="AG225" s="175"/>
      <c r="AH225" s="175"/>
    </row>
    <row r="226" spans="1:34">
      <c r="A226" s="165" t="s">
        <v>1383</v>
      </c>
      <c r="B226" s="36" t="s">
        <v>63</v>
      </c>
      <c r="C226" s="192">
        <v>46173</v>
      </c>
      <c r="D226" s="144">
        <v>0.54166666666666663</v>
      </c>
      <c r="E226" s="194">
        <v>9</v>
      </c>
      <c r="F226" s="8" t="s">
        <v>1249</v>
      </c>
      <c r="G226" s="2">
        <v>3</v>
      </c>
      <c r="H226" s="2">
        <v>9</v>
      </c>
      <c r="I226" s="37">
        <v>10000</v>
      </c>
      <c r="J226" s="2" t="s">
        <v>110</v>
      </c>
      <c r="K226" s="109" t="s">
        <v>816</v>
      </c>
      <c r="L226" s="89">
        <v>60000</v>
      </c>
      <c r="M226" s="202" t="s">
        <v>111</v>
      </c>
      <c r="N226" s="39" t="s">
        <v>48</v>
      </c>
      <c r="O226" s="39" t="s">
        <v>451</v>
      </c>
      <c r="P226" s="213"/>
      <c r="Q226" s="38">
        <f>R226*I226</f>
        <v>700.00000000000011</v>
      </c>
      <c r="R226" s="15">
        <v>7.0000000000000007E-2</v>
      </c>
      <c r="S226" s="149" t="s">
        <v>110</v>
      </c>
      <c r="T226" s="149"/>
      <c r="U226" s="109" t="s">
        <v>767</v>
      </c>
      <c r="V226" s="205" t="s">
        <v>121</v>
      </c>
      <c r="W226" s="205"/>
      <c r="AE226" s="2" t="e">
        <f>AD226*#REF!</f>
        <v>#REF!</v>
      </c>
      <c r="AF226" s="2" t="e">
        <f>Z226/Y226</f>
        <v>#DIV/0!</v>
      </c>
      <c r="AG226" s="2" t="e">
        <f>AA226/Z226</f>
        <v>#DIV/0!</v>
      </c>
      <c r="AH226" s="2" t="e">
        <f>AC226/AA226</f>
        <v>#DIV/0!</v>
      </c>
    </row>
    <row r="227" spans="1:34">
      <c r="A227" s="165" t="s">
        <v>1383</v>
      </c>
      <c r="B227" s="39" t="s">
        <v>63</v>
      </c>
      <c r="C227" s="192">
        <v>46173</v>
      </c>
      <c r="D227" s="144">
        <v>0.54166666666666663</v>
      </c>
      <c r="E227" s="194"/>
      <c r="F227" s="8" t="s">
        <v>881</v>
      </c>
      <c r="G227" s="2">
        <v>1</v>
      </c>
      <c r="H227" s="2">
        <v>9</v>
      </c>
      <c r="I227" s="37">
        <v>250</v>
      </c>
      <c r="J227" s="2" t="s">
        <v>766</v>
      </c>
      <c r="K227" s="88" t="s">
        <v>787</v>
      </c>
      <c r="L227" s="89">
        <v>25000</v>
      </c>
      <c r="M227" s="205">
        <v>30</v>
      </c>
      <c r="N227" s="39" t="s">
        <v>817</v>
      </c>
      <c r="O227" s="39" t="s">
        <v>49</v>
      </c>
      <c r="P227" s="210"/>
      <c r="Q227" s="19">
        <v>50</v>
      </c>
      <c r="R227" s="15">
        <f>Q227/I227</f>
        <v>0.2</v>
      </c>
      <c r="S227" s="5">
        <v>44</v>
      </c>
      <c r="U227" s="109" t="s">
        <v>767</v>
      </c>
      <c r="V227" s="71" t="s">
        <v>360</v>
      </c>
      <c r="W227" s="205"/>
      <c r="Y227" s="175"/>
      <c r="Z227" s="175"/>
      <c r="AA227" s="175"/>
      <c r="AB227" s="175"/>
      <c r="AC227" s="175"/>
      <c r="AD227" s="175"/>
      <c r="AE227" s="175"/>
      <c r="AF227" s="175"/>
      <c r="AG227" s="175"/>
      <c r="AH227" s="175"/>
    </row>
    <row r="228" spans="1:34">
      <c r="A228" s="96" t="s">
        <v>461</v>
      </c>
      <c r="B228" s="96" t="s">
        <v>462</v>
      </c>
      <c r="C228" s="40">
        <v>46173</v>
      </c>
      <c r="D228" s="42">
        <v>0.59027777777777779</v>
      </c>
      <c r="E228" s="43"/>
      <c r="F228" s="8" t="s">
        <v>456</v>
      </c>
      <c r="G228" s="2">
        <v>1</v>
      </c>
      <c r="I228" s="125">
        <v>120</v>
      </c>
      <c r="J228" s="2" t="s">
        <v>766</v>
      </c>
      <c r="K228" s="109" t="s">
        <v>737</v>
      </c>
      <c r="L228" s="8">
        <v>20000</v>
      </c>
      <c r="M228" s="202">
        <v>15</v>
      </c>
      <c r="N228" s="39" t="s">
        <v>48</v>
      </c>
      <c r="O228" s="39" t="s">
        <v>49</v>
      </c>
      <c r="P228" s="135" t="s">
        <v>829</v>
      </c>
      <c r="Q228" s="19">
        <v>24</v>
      </c>
      <c r="R228" s="15">
        <f>Q228/I228</f>
        <v>0.2</v>
      </c>
      <c r="S228" s="5">
        <f>($AC228*$AD228)/(($Z228/$Y228)+($AA228/$Z228)+($AB228/$AA228))</f>
        <v>25.161290322580644</v>
      </c>
      <c r="U228" s="109" t="s">
        <v>463</v>
      </c>
      <c r="V228" s="2" t="s">
        <v>735</v>
      </c>
      <c r="W228" s="96" t="s">
        <v>464</v>
      </c>
      <c r="Y228" s="2">
        <v>2.5</v>
      </c>
      <c r="Z228" s="2">
        <v>7.5</v>
      </c>
      <c r="AA228" s="2">
        <v>30</v>
      </c>
      <c r="AB228" s="2">
        <v>100</v>
      </c>
      <c r="AC228" s="2">
        <v>13</v>
      </c>
      <c r="AD228" s="2">
        <v>20</v>
      </c>
      <c r="AE228" s="2">
        <f>AC228*AD228</f>
        <v>260</v>
      </c>
      <c r="AF228" s="2">
        <f>Z228/Y228</f>
        <v>3</v>
      </c>
      <c r="AG228" s="2">
        <f>AA228/Z228</f>
        <v>4</v>
      </c>
      <c r="AH228" s="2">
        <f>AB228/AA228</f>
        <v>3.3333333333333335</v>
      </c>
    </row>
    <row r="229" spans="1:34">
      <c r="A229" s="165" t="s">
        <v>1383</v>
      </c>
      <c r="B229" s="39" t="s">
        <v>63</v>
      </c>
      <c r="C229" s="192">
        <v>46173</v>
      </c>
      <c r="D229" s="144">
        <v>0.625</v>
      </c>
      <c r="E229" s="43"/>
      <c r="F229" s="8" t="s">
        <v>912</v>
      </c>
      <c r="G229" s="2">
        <v>1</v>
      </c>
      <c r="H229" s="2">
        <v>9</v>
      </c>
      <c r="I229" s="37">
        <v>240</v>
      </c>
      <c r="J229" s="2" t="s">
        <v>766</v>
      </c>
      <c r="K229" s="88" t="s">
        <v>784</v>
      </c>
      <c r="L229" s="89">
        <v>10000</v>
      </c>
      <c r="M229" s="202">
        <v>20</v>
      </c>
      <c r="N229" s="132" t="s">
        <v>821</v>
      </c>
      <c r="O229" s="39" t="s">
        <v>49</v>
      </c>
      <c r="P229" s="210"/>
      <c r="Q229" s="19">
        <v>40</v>
      </c>
      <c r="R229" s="15">
        <v>0.16666666666666666</v>
      </c>
      <c r="S229" s="5">
        <v>29</v>
      </c>
      <c r="U229" s="109" t="s">
        <v>767</v>
      </c>
      <c r="V229" s="71" t="s">
        <v>362</v>
      </c>
      <c r="W229" s="8" t="s">
        <v>367</v>
      </c>
      <c r="Y229" s="175"/>
      <c r="Z229" s="175"/>
      <c r="AA229" s="175"/>
      <c r="AB229" s="175"/>
      <c r="AC229" s="175"/>
      <c r="AD229" s="175"/>
      <c r="AE229" s="175"/>
      <c r="AF229" s="175"/>
      <c r="AG229" s="175"/>
      <c r="AH229" s="175"/>
    </row>
    <row r="230" spans="1:34">
      <c r="A230" s="165" t="s">
        <v>1383</v>
      </c>
      <c r="B230" s="39" t="s">
        <v>63</v>
      </c>
      <c r="C230" s="192">
        <v>46173</v>
      </c>
      <c r="D230" s="144">
        <v>0.66666666666666663</v>
      </c>
      <c r="E230" s="194"/>
      <c r="F230" s="8" t="s">
        <v>1024</v>
      </c>
      <c r="G230" s="2">
        <v>1</v>
      </c>
      <c r="H230" s="2">
        <v>9</v>
      </c>
      <c r="I230" s="37">
        <v>400</v>
      </c>
      <c r="J230" s="2" t="s">
        <v>766</v>
      </c>
      <c r="K230" s="88" t="s">
        <v>794</v>
      </c>
      <c r="L230" s="89">
        <v>30000</v>
      </c>
      <c r="M230" s="205">
        <v>20</v>
      </c>
      <c r="N230" s="39" t="s">
        <v>817</v>
      </c>
      <c r="O230" s="39" t="s">
        <v>49</v>
      </c>
      <c r="Q230" s="19">
        <v>70</v>
      </c>
      <c r="R230" s="15">
        <f>Q230/I230</f>
        <v>0.17499999999999999</v>
      </c>
      <c r="S230" s="5">
        <v>37</v>
      </c>
      <c r="U230" s="109" t="s">
        <v>129</v>
      </c>
      <c r="V230" s="71" t="s">
        <v>360</v>
      </c>
      <c r="W230" s="205"/>
      <c r="Y230" s="175"/>
      <c r="Z230" s="175"/>
      <c r="AA230" s="175"/>
      <c r="AB230" s="175"/>
      <c r="AC230" s="175"/>
      <c r="AD230" s="175"/>
      <c r="AE230" s="175"/>
      <c r="AF230" s="175"/>
      <c r="AG230" s="175"/>
      <c r="AH230" s="175"/>
    </row>
    <row r="231" spans="1:34">
      <c r="A231" s="52" t="s">
        <v>229</v>
      </c>
      <c r="B231" s="52" t="s">
        <v>230</v>
      </c>
      <c r="C231" s="40">
        <v>46173</v>
      </c>
      <c r="D231" s="42">
        <v>0.75</v>
      </c>
      <c r="E231" s="43"/>
      <c r="F231" s="8" t="s">
        <v>264</v>
      </c>
      <c r="G231" s="2">
        <v>1</v>
      </c>
      <c r="I231" s="125">
        <v>240</v>
      </c>
      <c r="J231" s="2" t="s">
        <v>766</v>
      </c>
      <c r="K231" s="88" t="s">
        <v>804</v>
      </c>
      <c r="L231" s="90">
        <v>30000</v>
      </c>
      <c r="M231" s="8">
        <v>20</v>
      </c>
      <c r="N231" s="39" t="s">
        <v>48</v>
      </c>
      <c r="O231" s="39" t="s">
        <v>373</v>
      </c>
      <c r="P231" s="19">
        <v>10000</v>
      </c>
      <c r="Q231" s="2">
        <v>40</v>
      </c>
      <c r="R231" s="15">
        <f>IF(Q231&gt;0,Q231/I231,"")</f>
        <v>0.16666666666666666</v>
      </c>
      <c r="S231" s="149" t="s">
        <v>110</v>
      </c>
      <c r="T231" s="149"/>
      <c r="U231" s="109" t="s">
        <v>767</v>
      </c>
      <c r="V231" s="205" t="s">
        <v>719</v>
      </c>
      <c r="W231" s="205"/>
      <c r="AE231" s="2">
        <f>AC231*AD231</f>
        <v>0</v>
      </c>
      <c r="AF231" s="2" t="e">
        <f>Z231/Y231</f>
        <v>#DIV/0!</v>
      </c>
      <c r="AG231" s="2" t="e">
        <f>AA231/Z231</f>
        <v>#DIV/0!</v>
      </c>
      <c r="AH231" s="2" t="e">
        <f>AB231/AA231</f>
        <v>#DIV/0!</v>
      </c>
    </row>
    <row r="232" spans="1:34">
      <c r="A232" s="96" t="s">
        <v>461</v>
      </c>
      <c r="B232" s="96" t="s">
        <v>462</v>
      </c>
      <c r="C232" s="40">
        <v>46173</v>
      </c>
      <c r="D232" s="42">
        <v>0.75694444444444442</v>
      </c>
      <c r="E232" s="43"/>
      <c r="F232" s="8" t="s">
        <v>459</v>
      </c>
      <c r="G232" s="2">
        <v>1</v>
      </c>
      <c r="I232" s="125">
        <v>120</v>
      </c>
      <c r="J232" s="2" t="s">
        <v>766</v>
      </c>
      <c r="K232" s="109" t="s">
        <v>602</v>
      </c>
      <c r="L232" s="8">
        <v>20000</v>
      </c>
      <c r="M232" s="202">
        <v>20</v>
      </c>
      <c r="N232" s="39" t="s">
        <v>48</v>
      </c>
      <c r="O232" s="39" t="s">
        <v>465</v>
      </c>
      <c r="P232" s="63">
        <v>10000</v>
      </c>
      <c r="Q232" s="2">
        <v>24</v>
      </c>
      <c r="R232" s="15">
        <f>Q232/I232</f>
        <v>0.2</v>
      </c>
      <c r="S232" s="149" t="s">
        <v>110</v>
      </c>
      <c r="T232" s="149"/>
      <c r="U232" s="109" t="s">
        <v>767</v>
      </c>
      <c r="V232" s="205" t="s">
        <v>735</v>
      </c>
      <c r="W232" s="205"/>
      <c r="AE232" s="2">
        <f>AC232*AD232</f>
        <v>0</v>
      </c>
      <c r="AF232" s="2" t="e">
        <f>Z232/Y232</f>
        <v>#DIV/0!</v>
      </c>
      <c r="AG232" s="2" t="e">
        <f>AA232/Z232</f>
        <v>#DIV/0!</v>
      </c>
      <c r="AH232" s="2" t="e">
        <f>AB232/AA232</f>
        <v>#DIV/0!</v>
      </c>
    </row>
    <row r="233" spans="1:34">
      <c r="A233" s="68" t="s">
        <v>357</v>
      </c>
      <c r="B233" s="68" t="s">
        <v>358</v>
      </c>
      <c r="C233" s="48">
        <v>46173</v>
      </c>
      <c r="D233" s="42">
        <v>0.75694444444444442</v>
      </c>
      <c r="E233" s="194">
        <v>29</v>
      </c>
      <c r="F233" s="63" t="s">
        <v>292</v>
      </c>
      <c r="G233" s="2">
        <v>1</v>
      </c>
      <c r="H233" s="2">
        <v>9</v>
      </c>
      <c r="I233" s="125">
        <v>400</v>
      </c>
      <c r="J233" s="2" t="s">
        <v>766</v>
      </c>
      <c r="K233" s="137" t="s">
        <v>602</v>
      </c>
      <c r="L233" s="89">
        <v>25000</v>
      </c>
      <c r="M233" s="202">
        <v>30</v>
      </c>
      <c r="N233" s="39" t="s">
        <v>48</v>
      </c>
      <c r="O233" s="39" t="s">
        <v>49</v>
      </c>
      <c r="P233" s="212" t="s">
        <v>834</v>
      </c>
      <c r="Q233" s="19">
        <v>60</v>
      </c>
      <c r="R233" s="15">
        <f>Q233/I233</f>
        <v>0.15</v>
      </c>
      <c r="S233" s="5">
        <f>($AC233*$AD233)/(($Z233/$Y233)+($AA233/$Z233)+($AB233/$AA233))</f>
        <v>55.03292568203198</v>
      </c>
      <c r="U233" s="109" t="s">
        <v>219</v>
      </c>
      <c r="V233" s="205" t="s">
        <v>664</v>
      </c>
      <c r="W233" s="218" t="s">
        <v>656</v>
      </c>
      <c r="Y233" s="2">
        <v>2.5</v>
      </c>
      <c r="Z233" s="2">
        <v>6.5</v>
      </c>
      <c r="AA233" s="2">
        <v>20</v>
      </c>
      <c r="AB233" s="2">
        <v>50</v>
      </c>
      <c r="AC233" s="2">
        <v>30</v>
      </c>
      <c r="AD233" s="2">
        <v>15</v>
      </c>
      <c r="AE233" s="2">
        <f>AC233*AD233</f>
        <v>450</v>
      </c>
      <c r="AF233" s="2">
        <f>Z233/Y233</f>
        <v>2.6</v>
      </c>
      <c r="AG233" s="2">
        <f>AA233/Z233</f>
        <v>3.0769230769230771</v>
      </c>
      <c r="AH233" s="2">
        <f>AB233/AA233</f>
        <v>2.5</v>
      </c>
    </row>
    <row r="234" spans="1:34">
      <c r="A234" s="95" t="s">
        <v>447</v>
      </c>
      <c r="B234" s="95" t="s">
        <v>448</v>
      </c>
      <c r="C234" s="40">
        <v>46173</v>
      </c>
      <c r="D234" s="42">
        <v>0.79166666666666663</v>
      </c>
      <c r="E234" s="43"/>
      <c r="F234" s="8" t="s">
        <v>403</v>
      </c>
      <c r="G234" s="2">
        <v>1</v>
      </c>
      <c r="H234" s="2">
        <v>9</v>
      </c>
      <c r="I234" s="125">
        <v>300</v>
      </c>
      <c r="J234" s="2" t="s">
        <v>766</v>
      </c>
      <c r="K234" s="109" t="s">
        <v>602</v>
      </c>
      <c r="L234" s="8">
        <v>25000</v>
      </c>
      <c r="M234" s="8">
        <v>25</v>
      </c>
      <c r="N234" s="39" t="s">
        <v>48</v>
      </c>
      <c r="O234" s="39" t="s">
        <v>49</v>
      </c>
      <c r="P234" s="212" t="s">
        <v>834</v>
      </c>
      <c r="Q234" s="19">
        <v>50</v>
      </c>
      <c r="R234" s="15">
        <f>Q234/I234</f>
        <v>0.16666666666666666</v>
      </c>
      <c r="S234" s="5">
        <f>($AC234*$AD234)/(($Z234/$Y234)+($AA234/$Z234)+($AB234/$AA234))</f>
        <v>37.5</v>
      </c>
      <c r="U234" s="109" t="s">
        <v>767</v>
      </c>
      <c r="V234" s="205" t="s">
        <v>741</v>
      </c>
      <c r="Y234" s="2">
        <v>2.5</v>
      </c>
      <c r="Z234" s="2">
        <v>7.5</v>
      </c>
      <c r="AA234" s="2">
        <v>25</v>
      </c>
      <c r="AB234" s="2">
        <v>75</v>
      </c>
      <c r="AC234" s="2">
        <v>14</v>
      </c>
      <c r="AD234" s="2">
        <v>25</v>
      </c>
      <c r="AE234" s="2">
        <f>AC234*AD234</f>
        <v>350</v>
      </c>
      <c r="AF234" s="2">
        <f>Z234/Y234</f>
        <v>3</v>
      </c>
      <c r="AG234" s="2">
        <f>AA234/Z234</f>
        <v>3.3333333333333335</v>
      </c>
      <c r="AH234" s="2">
        <f>AB234/AA234</f>
        <v>3</v>
      </c>
    </row>
    <row r="235" spans="1:34">
      <c r="A235" s="165" t="s">
        <v>1383</v>
      </c>
      <c r="B235" s="39" t="s">
        <v>63</v>
      </c>
      <c r="C235" s="192">
        <v>46173</v>
      </c>
      <c r="D235" s="144">
        <v>0.79166666666666663</v>
      </c>
      <c r="E235" s="43"/>
      <c r="F235" s="8" t="s">
        <v>904</v>
      </c>
      <c r="G235" s="2">
        <v>1</v>
      </c>
      <c r="H235" s="2">
        <v>9</v>
      </c>
      <c r="I235" s="37">
        <v>1100</v>
      </c>
      <c r="J235" s="2" t="s">
        <v>766</v>
      </c>
      <c r="K235" s="88" t="s">
        <v>800</v>
      </c>
      <c r="L235" s="89">
        <v>15000</v>
      </c>
      <c r="M235" s="209" t="s">
        <v>128</v>
      </c>
      <c r="N235" s="132" t="s">
        <v>821</v>
      </c>
      <c r="O235" s="39" t="s">
        <v>49</v>
      </c>
      <c r="Q235" s="19">
        <f>88+37</f>
        <v>125</v>
      </c>
      <c r="R235" s="15">
        <f>Q235/I235</f>
        <v>0.11363636363636363</v>
      </c>
      <c r="S235" s="5">
        <v>36</v>
      </c>
      <c r="U235" s="109" t="s">
        <v>767</v>
      </c>
      <c r="V235" s="71" t="s">
        <v>362</v>
      </c>
      <c r="W235" s="8" t="s">
        <v>370</v>
      </c>
      <c r="Y235" s="175"/>
      <c r="Z235" s="175"/>
      <c r="AA235" s="175"/>
      <c r="AB235" s="175"/>
      <c r="AC235" s="175"/>
      <c r="AD235" s="175"/>
      <c r="AE235" s="175"/>
      <c r="AF235" s="175"/>
      <c r="AG235" s="175"/>
      <c r="AH235" s="175"/>
    </row>
    <row r="236" spans="1:34">
      <c r="A236" s="52" t="s">
        <v>220</v>
      </c>
      <c r="B236" s="52" t="s">
        <v>221</v>
      </c>
      <c r="C236" s="48">
        <v>46173</v>
      </c>
      <c r="D236" s="42">
        <v>0.8125</v>
      </c>
      <c r="E236" s="43"/>
      <c r="F236" s="8" t="s">
        <v>1042</v>
      </c>
      <c r="G236" s="2">
        <v>2</v>
      </c>
      <c r="H236" s="2">
        <v>9</v>
      </c>
      <c r="I236" s="125">
        <v>1100</v>
      </c>
      <c r="J236" s="2" t="s">
        <v>766</v>
      </c>
      <c r="K236" s="88" t="s">
        <v>809</v>
      </c>
      <c r="L236" s="90">
        <v>40000</v>
      </c>
      <c r="M236" s="64" t="s">
        <v>113</v>
      </c>
      <c r="N236" s="39" t="s">
        <v>48</v>
      </c>
      <c r="O236" s="39" t="s">
        <v>49</v>
      </c>
      <c r="P236" s="135" t="s">
        <v>848</v>
      </c>
      <c r="Q236" s="19">
        <v>135</v>
      </c>
      <c r="R236" s="15">
        <f>Q236/I236</f>
        <v>0.12272727272727273</v>
      </c>
      <c r="S236" s="5">
        <f>($AC236*$AD236)/(($Z236/$Y236)+($AA236/$Z236)+($AB236/$AA236))</f>
        <v>51.298026998961582</v>
      </c>
      <c r="U236" s="109" t="s">
        <v>129</v>
      </c>
      <c r="V236" s="2" t="s">
        <v>738</v>
      </c>
      <c r="Y236" s="2">
        <v>2</v>
      </c>
      <c r="Z236" s="2">
        <v>5</v>
      </c>
      <c r="AA236" s="2">
        <v>13</v>
      </c>
      <c r="AB236" s="2">
        <v>30</v>
      </c>
      <c r="AC236" s="2">
        <v>20</v>
      </c>
      <c r="AD236" s="2">
        <v>19</v>
      </c>
      <c r="AE236" s="2">
        <f>AC236*AD236</f>
        <v>380</v>
      </c>
      <c r="AF236" s="2">
        <f>Z236/Y236</f>
        <v>2.5</v>
      </c>
      <c r="AG236" s="2">
        <f>AA236/Z236</f>
        <v>2.6</v>
      </c>
      <c r="AH236" s="2">
        <f>AB236/AA236</f>
        <v>2.3076923076923075</v>
      </c>
    </row>
    <row r="237" spans="1:34">
      <c r="A237" s="165" t="s">
        <v>1383</v>
      </c>
      <c r="B237" s="39" t="s">
        <v>63</v>
      </c>
      <c r="C237" s="192">
        <v>46173</v>
      </c>
      <c r="D237" s="144">
        <v>0.83333333333333337</v>
      </c>
      <c r="E237" s="194"/>
      <c r="F237" s="8" t="s">
        <v>1023</v>
      </c>
      <c r="G237" s="2">
        <v>1</v>
      </c>
      <c r="H237" s="2">
        <v>9</v>
      </c>
      <c r="I237" s="37">
        <v>200</v>
      </c>
      <c r="J237" s="2" t="s">
        <v>766</v>
      </c>
      <c r="K237" s="88" t="s">
        <v>806</v>
      </c>
      <c r="L237" s="89">
        <v>20000</v>
      </c>
      <c r="M237" s="205">
        <v>20</v>
      </c>
      <c r="N237" s="39" t="s">
        <v>817</v>
      </c>
      <c r="O237" s="39" t="s">
        <v>49</v>
      </c>
      <c r="P237" s="210"/>
      <c r="Q237" s="19">
        <v>45</v>
      </c>
      <c r="R237" s="15">
        <f>Q237/I237</f>
        <v>0.22500000000000001</v>
      </c>
      <c r="S237" s="5">
        <v>23</v>
      </c>
      <c r="U237" s="109" t="s">
        <v>129</v>
      </c>
      <c r="V237" s="71" t="s">
        <v>360</v>
      </c>
      <c r="W237" s="205"/>
      <c r="Y237" s="175"/>
      <c r="Z237" s="175"/>
      <c r="AA237" s="175"/>
      <c r="AB237" s="175"/>
      <c r="AC237" s="175"/>
      <c r="AD237" s="175"/>
      <c r="AE237" s="175"/>
      <c r="AF237" s="175"/>
      <c r="AG237" s="175"/>
      <c r="AH237" s="175"/>
    </row>
    <row r="238" spans="1:34">
      <c r="A238" s="165" t="s">
        <v>1383</v>
      </c>
      <c r="B238" s="39" t="s">
        <v>63</v>
      </c>
      <c r="C238" s="192">
        <v>46173</v>
      </c>
      <c r="D238" s="144">
        <v>0.91666666666666663</v>
      </c>
      <c r="E238" s="43"/>
      <c r="F238" s="8" t="s">
        <v>909</v>
      </c>
      <c r="G238" s="2">
        <v>1</v>
      </c>
      <c r="H238" s="2">
        <v>9</v>
      </c>
      <c r="I238" s="37">
        <v>135</v>
      </c>
      <c r="J238" s="2" t="s">
        <v>766</v>
      </c>
      <c r="K238" s="88" t="s">
        <v>813</v>
      </c>
      <c r="L238" s="89">
        <v>10000</v>
      </c>
      <c r="M238" s="202">
        <v>15</v>
      </c>
      <c r="N238" s="132" t="s">
        <v>821</v>
      </c>
      <c r="O238" s="39" t="s">
        <v>49</v>
      </c>
      <c r="P238" s="210"/>
      <c r="Q238" s="19">
        <v>35</v>
      </c>
      <c r="R238" s="15">
        <f>Q238/I238</f>
        <v>0.25925925925925924</v>
      </c>
      <c r="S238" s="5">
        <v>22</v>
      </c>
      <c r="U238" s="109" t="s">
        <v>767</v>
      </c>
      <c r="V238" s="71" t="s">
        <v>362</v>
      </c>
      <c r="W238" s="8" t="s">
        <v>369</v>
      </c>
      <c r="Y238" s="175"/>
      <c r="Z238" s="175"/>
      <c r="AA238" s="175"/>
      <c r="AB238" s="175"/>
      <c r="AC238" s="175"/>
      <c r="AD238" s="175"/>
      <c r="AE238" s="175"/>
      <c r="AF238" s="175"/>
      <c r="AG238" s="175"/>
      <c r="AH238" s="175"/>
    </row>
    <row r="239" spans="1:34">
      <c r="A239" s="96" t="s">
        <v>461</v>
      </c>
      <c r="B239" s="96" t="s">
        <v>462</v>
      </c>
      <c r="C239" s="40">
        <v>46173</v>
      </c>
      <c r="D239" s="42">
        <v>0.92361111111111116</v>
      </c>
      <c r="E239" s="43"/>
      <c r="F239" s="8" t="s">
        <v>456</v>
      </c>
      <c r="G239" s="2">
        <v>1</v>
      </c>
      <c r="I239" s="125">
        <v>120</v>
      </c>
      <c r="J239" s="2" t="s">
        <v>766</v>
      </c>
      <c r="K239" s="109" t="s">
        <v>737</v>
      </c>
      <c r="L239" s="8">
        <v>20000</v>
      </c>
      <c r="M239" s="202">
        <v>15</v>
      </c>
      <c r="N239" s="39" t="s">
        <v>48</v>
      </c>
      <c r="O239" s="39" t="s">
        <v>49</v>
      </c>
      <c r="P239" s="135" t="s">
        <v>827</v>
      </c>
      <c r="Q239" s="19">
        <v>24</v>
      </c>
      <c r="R239" s="15">
        <f>Q239/I239</f>
        <v>0.2</v>
      </c>
      <c r="S239" s="5">
        <f>($AC239*$AD239)/(($Z239/$Y239)+($AA239/$Z239)+($AB239/$AA239))</f>
        <v>25.161290322580644</v>
      </c>
      <c r="U239" s="109" t="s">
        <v>463</v>
      </c>
      <c r="V239" s="2" t="s">
        <v>735</v>
      </c>
      <c r="W239" s="251" t="s">
        <v>464</v>
      </c>
      <c r="Y239" s="2">
        <v>2.5</v>
      </c>
      <c r="Z239" s="2">
        <v>7.5</v>
      </c>
      <c r="AA239" s="2">
        <v>30</v>
      </c>
      <c r="AB239" s="2">
        <v>100</v>
      </c>
      <c r="AC239" s="2">
        <v>13</v>
      </c>
      <c r="AD239" s="2">
        <v>20</v>
      </c>
      <c r="AE239" s="2">
        <f>AC239*AD239</f>
        <v>260</v>
      </c>
      <c r="AF239" s="2">
        <f>Z239/Y239</f>
        <v>3</v>
      </c>
      <c r="AG239" s="2">
        <f>AA239/Z239</f>
        <v>4</v>
      </c>
      <c r="AH239" s="2">
        <f>AB239/AA239</f>
        <v>3.3333333333333335</v>
      </c>
    </row>
    <row r="240" spans="1:34" s="70" customFormat="1">
      <c r="A240" s="165" t="s">
        <v>1383</v>
      </c>
      <c r="B240" s="36" t="s">
        <v>63</v>
      </c>
      <c r="C240" s="4">
        <v>46173</v>
      </c>
      <c r="D240" s="144" t="s">
        <v>117</v>
      </c>
      <c r="E240" s="194">
        <v>10</v>
      </c>
      <c r="F240" s="8" t="s">
        <v>937</v>
      </c>
      <c r="G240" s="2">
        <v>2</v>
      </c>
      <c r="H240" s="2">
        <v>9</v>
      </c>
      <c r="I240" s="57">
        <v>600</v>
      </c>
      <c r="J240" s="2" t="s">
        <v>760</v>
      </c>
      <c r="K240" s="109" t="s">
        <v>601</v>
      </c>
      <c r="L240" s="89">
        <v>30000</v>
      </c>
      <c r="M240" s="54">
        <v>30</v>
      </c>
      <c r="N240" s="39" t="s">
        <v>48</v>
      </c>
      <c r="O240" s="39" t="s">
        <v>49</v>
      </c>
      <c r="P240" s="129"/>
      <c r="Q240" s="19">
        <f>R240*I240</f>
        <v>96</v>
      </c>
      <c r="R240" s="15">
        <v>0.16</v>
      </c>
      <c r="S240" s="5">
        <v>74</v>
      </c>
      <c r="T240" s="5"/>
      <c r="U240" s="109" t="s">
        <v>767</v>
      </c>
      <c r="V240" s="205" t="s">
        <v>121</v>
      </c>
      <c r="W240" s="2"/>
      <c r="X240" s="2"/>
      <c r="Y240" s="175"/>
      <c r="Z240" s="175"/>
      <c r="AA240" s="175"/>
      <c r="AB240" s="175"/>
      <c r="AC240" s="175"/>
      <c r="AD240" s="175"/>
      <c r="AE240" s="175"/>
      <c r="AF240" s="175"/>
      <c r="AG240" s="175"/>
      <c r="AH240" s="175"/>
    </row>
    <row r="241" spans="1:34">
      <c r="A241" s="165" t="s">
        <v>1383</v>
      </c>
      <c r="B241" s="36" t="s">
        <v>63</v>
      </c>
      <c r="C241" s="192">
        <v>46173</v>
      </c>
      <c r="D241" s="144" t="s">
        <v>115</v>
      </c>
      <c r="E241" s="35">
        <v>11</v>
      </c>
      <c r="F241" s="8" t="s">
        <v>938</v>
      </c>
      <c r="G241" s="2">
        <v>4</v>
      </c>
      <c r="H241" s="2">
        <v>9</v>
      </c>
      <c r="I241" s="37">
        <v>10000</v>
      </c>
      <c r="J241" s="2" t="s">
        <v>766</v>
      </c>
      <c r="K241" s="109" t="s">
        <v>601</v>
      </c>
      <c r="L241" s="89">
        <v>100000</v>
      </c>
      <c r="M241" s="202">
        <v>60</v>
      </c>
      <c r="N241" s="39" t="s">
        <v>48</v>
      </c>
      <c r="O241" s="39" t="s">
        <v>49</v>
      </c>
      <c r="P241" s="210"/>
      <c r="Q241" s="19">
        <f>R241*I241</f>
        <v>700.00000000000011</v>
      </c>
      <c r="R241" s="15">
        <v>7.0000000000000007E-2</v>
      </c>
      <c r="S241" s="5">
        <v>196</v>
      </c>
      <c r="U241" s="109" t="s">
        <v>767</v>
      </c>
      <c r="V241" s="2" t="s">
        <v>121</v>
      </c>
      <c r="Y241" s="175"/>
      <c r="Z241" s="175"/>
      <c r="AA241" s="175"/>
      <c r="AB241" s="175"/>
      <c r="AC241" s="175"/>
      <c r="AD241" s="175"/>
      <c r="AE241" s="175"/>
      <c r="AF241" s="175"/>
      <c r="AG241" s="175"/>
      <c r="AH241" s="175"/>
    </row>
    <row r="242" spans="1:34" s="70" customFormat="1">
      <c r="A242" s="165" t="s">
        <v>1383</v>
      </c>
      <c r="B242" s="36" t="s">
        <v>63</v>
      </c>
      <c r="C242" s="192">
        <v>46173</v>
      </c>
      <c r="D242" s="144" t="s">
        <v>115</v>
      </c>
      <c r="E242" s="228">
        <v>7</v>
      </c>
      <c r="F242" s="8" t="s">
        <v>1266</v>
      </c>
      <c r="G242" s="2">
        <v>3</v>
      </c>
      <c r="H242" s="2">
        <v>9</v>
      </c>
      <c r="I242" s="37">
        <v>25000</v>
      </c>
      <c r="J242" s="2" t="s">
        <v>110</v>
      </c>
      <c r="K242" s="109" t="s">
        <v>814</v>
      </c>
      <c r="L242" s="89">
        <v>150000</v>
      </c>
      <c r="M242" s="202">
        <v>20</v>
      </c>
      <c r="N242" s="39" t="s">
        <v>48</v>
      </c>
      <c r="O242" s="39" t="s">
        <v>49</v>
      </c>
      <c r="P242" s="210"/>
      <c r="Q242" s="19">
        <f>R242*I242</f>
        <v>1500</v>
      </c>
      <c r="R242" s="15">
        <v>0.06</v>
      </c>
      <c r="S242" s="149" t="s">
        <v>110</v>
      </c>
      <c r="T242" s="149"/>
      <c r="U242" s="109" t="s">
        <v>154</v>
      </c>
      <c r="V242" s="2" t="s">
        <v>121</v>
      </c>
      <c r="W242" s="205"/>
      <c r="X242" s="2"/>
      <c r="Y242" s="2"/>
      <c r="Z242" s="2"/>
      <c r="AA242" s="2"/>
      <c r="AB242" s="2"/>
      <c r="AC242" s="2"/>
      <c r="AD242" s="2"/>
      <c r="AE242" s="2">
        <f>AC242*AD242</f>
        <v>0</v>
      </c>
      <c r="AF242" s="2" t="e">
        <f>Z242/Y242</f>
        <v>#DIV/0!</v>
      </c>
      <c r="AG242" s="2" t="e">
        <f>AA242/Z242</f>
        <v>#DIV/0!</v>
      </c>
      <c r="AH242" s="2" t="e">
        <f>AB242/AA242</f>
        <v>#DIV/0!</v>
      </c>
    </row>
    <row r="243" spans="1:34">
      <c r="A243" s="165" t="s">
        <v>1383</v>
      </c>
      <c r="B243" s="36" t="s">
        <v>63</v>
      </c>
      <c r="C243" s="192">
        <v>46173</v>
      </c>
      <c r="D243" s="144" t="s">
        <v>116</v>
      </c>
      <c r="E243" s="194">
        <v>12</v>
      </c>
      <c r="F243" s="8" t="s">
        <v>161</v>
      </c>
      <c r="G243" s="2">
        <v>3</v>
      </c>
      <c r="H243" s="2">
        <v>7</v>
      </c>
      <c r="I243" s="37">
        <v>1500</v>
      </c>
      <c r="J243" s="2" t="s">
        <v>762</v>
      </c>
      <c r="K243" s="109" t="s">
        <v>598</v>
      </c>
      <c r="L243" s="89">
        <v>25000</v>
      </c>
      <c r="M243" s="202" t="s">
        <v>97</v>
      </c>
      <c r="N243" s="39" t="s">
        <v>48</v>
      </c>
      <c r="O243" s="39" t="s">
        <v>872</v>
      </c>
      <c r="P243" s="213"/>
      <c r="Q243" s="38">
        <f>R243*I243</f>
        <v>172.5</v>
      </c>
      <c r="R243" s="15">
        <v>0.115</v>
      </c>
      <c r="S243" s="149" t="s">
        <v>110</v>
      </c>
      <c r="T243" s="149"/>
      <c r="U243" s="109" t="s">
        <v>767</v>
      </c>
      <c r="V243" s="2" t="s">
        <v>121</v>
      </c>
      <c r="AE243" s="2" t="e">
        <f>AD243*#REF!</f>
        <v>#REF!</v>
      </c>
      <c r="AF243" s="2" t="e">
        <f>Z243/Y243</f>
        <v>#DIV/0!</v>
      </c>
      <c r="AG243" s="2" t="e">
        <f>AA243/Z243</f>
        <v>#DIV/0!</v>
      </c>
      <c r="AH243" s="2" t="e">
        <f>AC243/AA243</f>
        <v>#DIV/0!</v>
      </c>
    </row>
    <row r="244" spans="1:34">
      <c r="A244" s="165" t="s">
        <v>1383</v>
      </c>
      <c r="B244" s="36" t="s">
        <v>63</v>
      </c>
      <c r="C244" s="192">
        <v>46173</v>
      </c>
      <c r="D244" s="144" t="s">
        <v>876</v>
      </c>
      <c r="E244" s="194">
        <v>8</v>
      </c>
      <c r="F244" s="8" t="s">
        <v>1218</v>
      </c>
      <c r="G244" s="2">
        <v>3</v>
      </c>
      <c r="H244" s="2">
        <v>6</v>
      </c>
      <c r="I244" s="37">
        <v>1500</v>
      </c>
      <c r="J244" s="2" t="s">
        <v>760</v>
      </c>
      <c r="K244" s="109" t="s">
        <v>598</v>
      </c>
      <c r="L244" s="89">
        <v>25000</v>
      </c>
      <c r="M244" s="202" t="s">
        <v>97</v>
      </c>
      <c r="N244" s="39" t="s">
        <v>48</v>
      </c>
      <c r="O244" s="39" t="s">
        <v>449</v>
      </c>
      <c r="P244" s="213"/>
      <c r="Q244" s="38">
        <f>R244*I244</f>
        <v>172.5</v>
      </c>
      <c r="R244" s="15">
        <v>0.115</v>
      </c>
      <c r="S244" s="149" t="s">
        <v>110</v>
      </c>
      <c r="T244" s="149"/>
      <c r="U244" s="109" t="s">
        <v>375</v>
      </c>
      <c r="V244" s="2" t="s">
        <v>121</v>
      </c>
      <c r="W244" s="205"/>
      <c r="AE244" s="2" t="e">
        <f>AD244*#REF!</f>
        <v>#REF!</v>
      </c>
      <c r="AF244" s="2" t="e">
        <f>Z244/Y244</f>
        <v>#DIV/0!</v>
      </c>
      <c r="AG244" s="2" t="e">
        <f>AA244/Z244</f>
        <v>#DIV/0!</v>
      </c>
      <c r="AH244" s="2" t="e">
        <f>AC244/AA244</f>
        <v>#DIV/0!</v>
      </c>
    </row>
    <row r="245" spans="1:34">
      <c r="A245" s="96" t="s">
        <v>461</v>
      </c>
      <c r="B245" s="96" t="s">
        <v>462</v>
      </c>
      <c r="C245" s="192">
        <v>46174</v>
      </c>
      <c r="D245" s="42">
        <v>0.4236111111111111</v>
      </c>
      <c r="E245" s="43"/>
      <c r="F245" s="8" t="s">
        <v>467</v>
      </c>
      <c r="G245" s="2">
        <v>2</v>
      </c>
      <c r="I245" s="125">
        <v>300</v>
      </c>
      <c r="J245" s="2" t="s">
        <v>766</v>
      </c>
      <c r="K245" s="109" t="s">
        <v>598</v>
      </c>
      <c r="L245" s="8">
        <v>30000</v>
      </c>
      <c r="M245" s="202">
        <v>30</v>
      </c>
      <c r="N245" s="39" t="s">
        <v>48</v>
      </c>
      <c r="O245" s="39" t="s">
        <v>49</v>
      </c>
      <c r="P245" s="135" t="s">
        <v>842</v>
      </c>
      <c r="Q245" s="19">
        <v>65</v>
      </c>
      <c r="R245" s="15">
        <f>Q245/I245</f>
        <v>0.21666666666666667</v>
      </c>
      <c r="S245" s="5">
        <f>($AC245*$AD245)/(($Z245/$Y245)+($AA245/$Z245)+($AB245/$AA245))</f>
        <v>53.333333333333336</v>
      </c>
      <c r="U245" s="109" t="s">
        <v>767</v>
      </c>
      <c r="V245" s="205" t="s">
        <v>735</v>
      </c>
      <c r="W245" s="205"/>
      <c r="Y245" s="2">
        <v>2</v>
      </c>
      <c r="Z245" s="2">
        <v>5</v>
      </c>
      <c r="AA245" s="2">
        <v>20</v>
      </c>
      <c r="AB245" s="2">
        <v>50</v>
      </c>
      <c r="AC245" s="2">
        <v>16</v>
      </c>
      <c r="AD245" s="2">
        <v>30</v>
      </c>
      <c r="AE245" s="2">
        <f>AC245*AD245</f>
        <v>480</v>
      </c>
      <c r="AF245" s="2">
        <f>Z245/Y245</f>
        <v>2.5</v>
      </c>
      <c r="AG245" s="2">
        <f>AA245/Z245</f>
        <v>4</v>
      </c>
      <c r="AH245" s="2">
        <f>AB245/AA245</f>
        <v>2.5</v>
      </c>
    </row>
    <row r="246" spans="1:34">
      <c r="A246" s="95" t="s">
        <v>447</v>
      </c>
      <c r="B246" s="95" t="s">
        <v>448</v>
      </c>
      <c r="C246" s="40">
        <v>46174</v>
      </c>
      <c r="D246" s="42">
        <v>0.45833333333333331</v>
      </c>
      <c r="E246" s="43"/>
      <c r="F246" s="8" t="s">
        <v>405</v>
      </c>
      <c r="G246" s="2">
        <v>1</v>
      </c>
      <c r="H246" s="2">
        <v>9</v>
      </c>
      <c r="I246" s="125">
        <v>800</v>
      </c>
      <c r="J246" s="2" t="s">
        <v>766</v>
      </c>
      <c r="K246" s="109" t="s">
        <v>602</v>
      </c>
      <c r="L246" s="8">
        <v>30000</v>
      </c>
      <c r="M246" s="8">
        <v>30</v>
      </c>
      <c r="N246" s="39" t="s">
        <v>48</v>
      </c>
      <c r="O246" s="39" t="s">
        <v>49</v>
      </c>
      <c r="P246" s="135" t="s">
        <v>840</v>
      </c>
      <c r="Q246" s="19">
        <v>100</v>
      </c>
      <c r="R246" s="15">
        <f>Q246/I246</f>
        <v>0.125</v>
      </c>
      <c r="S246" s="5">
        <f>($AC246*$AD246)/(($Z246/$Y246)+($AA246/$Z246)+($AB246/$AA246))</f>
        <v>72.897196261682254</v>
      </c>
      <c r="U246" s="109" t="s">
        <v>767</v>
      </c>
      <c r="V246" s="205" t="s">
        <v>741</v>
      </c>
      <c r="W246" s="205"/>
      <c r="Y246" s="2">
        <v>2</v>
      </c>
      <c r="Z246" s="2">
        <v>5</v>
      </c>
      <c r="AA246" s="2">
        <v>13</v>
      </c>
      <c r="AB246" s="2">
        <v>30</v>
      </c>
      <c r="AC246" s="2">
        <v>18</v>
      </c>
      <c r="AD246" s="2">
        <v>30</v>
      </c>
      <c r="AE246" s="2">
        <f>AC246*AD246</f>
        <v>540</v>
      </c>
      <c r="AF246" s="2">
        <f>Z246/Y246</f>
        <v>2.5</v>
      </c>
      <c r="AG246" s="2">
        <f>AA246/Z246</f>
        <v>2.6</v>
      </c>
      <c r="AH246" s="2">
        <f>AB246/AA246</f>
        <v>2.3076923076923075</v>
      </c>
    </row>
    <row r="247" spans="1:34">
      <c r="A247" s="165" t="s">
        <v>1383</v>
      </c>
      <c r="B247" s="36" t="s">
        <v>63</v>
      </c>
      <c r="C247" s="4">
        <v>46174</v>
      </c>
      <c r="D247" s="144">
        <v>0.45833333333333331</v>
      </c>
      <c r="E247">
        <v>10</v>
      </c>
      <c r="F247" s="8" t="s">
        <v>1293</v>
      </c>
      <c r="G247" s="2">
        <v>2</v>
      </c>
      <c r="H247" s="2">
        <v>9</v>
      </c>
      <c r="I247" s="37">
        <v>600</v>
      </c>
      <c r="J247" s="2" t="s">
        <v>760</v>
      </c>
      <c r="K247" s="109" t="s">
        <v>601</v>
      </c>
      <c r="L247" s="89">
        <v>30000</v>
      </c>
      <c r="M247" s="54">
        <v>30</v>
      </c>
      <c r="N247" s="39" t="s">
        <v>48</v>
      </c>
      <c r="O247" s="39" t="s">
        <v>49</v>
      </c>
      <c r="Q247" s="19">
        <f>R247*I247</f>
        <v>96</v>
      </c>
      <c r="R247" s="15">
        <v>0.16</v>
      </c>
      <c r="S247" s="5">
        <v>74</v>
      </c>
      <c r="U247" s="109" t="s">
        <v>767</v>
      </c>
      <c r="V247" s="205" t="s">
        <v>121</v>
      </c>
      <c r="Y247" s="175"/>
      <c r="Z247" s="175"/>
      <c r="AA247" s="175"/>
      <c r="AB247" s="175"/>
      <c r="AC247" s="175"/>
      <c r="AD247" s="175"/>
      <c r="AE247" s="175"/>
      <c r="AF247" s="175"/>
      <c r="AG247" s="175"/>
      <c r="AH247" s="175"/>
    </row>
    <row r="248" spans="1:34">
      <c r="A248" s="52" t="s">
        <v>229</v>
      </c>
      <c r="B248" s="52" t="s">
        <v>230</v>
      </c>
      <c r="C248" s="40">
        <v>46174</v>
      </c>
      <c r="D248" s="42">
        <v>0.45833333333333331</v>
      </c>
      <c r="E248" s="43"/>
      <c r="F248" s="8" t="s">
        <v>241</v>
      </c>
      <c r="G248" s="2">
        <v>1</v>
      </c>
      <c r="I248" s="125">
        <v>300</v>
      </c>
      <c r="J248" s="2" t="s">
        <v>766</v>
      </c>
      <c r="K248" s="88" t="s">
        <v>788</v>
      </c>
      <c r="L248" s="90">
        <v>30000</v>
      </c>
      <c r="M248" s="46">
        <v>30</v>
      </c>
      <c r="N248" s="39" t="s">
        <v>48</v>
      </c>
      <c r="O248" s="39" t="s">
        <v>49</v>
      </c>
      <c r="P248" s="134" t="s">
        <v>835</v>
      </c>
      <c r="Q248" s="19">
        <v>45</v>
      </c>
      <c r="R248" s="15">
        <f>IF(Q248&gt;0,Q248/I248,"")</f>
        <v>0.15</v>
      </c>
      <c r="S248" s="5">
        <f>($AC248*$AD248)/(($Z248/$Y248)+($AA248/$Z248)+($AB248/$AA248))</f>
        <v>72.897196261682254</v>
      </c>
      <c r="U248" s="109" t="s">
        <v>767</v>
      </c>
      <c r="V248" s="2" t="s">
        <v>719</v>
      </c>
      <c r="W248" s="205"/>
      <c r="Y248" s="2">
        <v>2</v>
      </c>
      <c r="Z248" s="2">
        <v>5</v>
      </c>
      <c r="AA248" s="2">
        <v>13</v>
      </c>
      <c r="AB248" s="2">
        <v>30</v>
      </c>
      <c r="AC248" s="2">
        <v>18</v>
      </c>
      <c r="AD248" s="2">
        <v>30</v>
      </c>
      <c r="AE248" s="2">
        <f>AC248*AD248</f>
        <v>540</v>
      </c>
      <c r="AF248" s="2">
        <f>Z248/Y248</f>
        <v>2.5</v>
      </c>
      <c r="AG248" s="2">
        <f>AA248/Z248</f>
        <v>2.6</v>
      </c>
      <c r="AH248" s="2">
        <f>AB248/AA248</f>
        <v>2.3076923076923075</v>
      </c>
    </row>
    <row r="249" spans="1:34">
      <c r="A249" s="52" t="s">
        <v>220</v>
      </c>
      <c r="B249" s="52" t="s">
        <v>221</v>
      </c>
      <c r="C249" s="48">
        <v>46174</v>
      </c>
      <c r="D249" s="42">
        <v>0.45833333333333331</v>
      </c>
      <c r="E249" s="43"/>
      <c r="F249" s="8" t="s">
        <v>1044</v>
      </c>
      <c r="G249" s="2">
        <v>2</v>
      </c>
      <c r="H249" s="2">
        <v>9</v>
      </c>
      <c r="I249" s="125">
        <v>1100</v>
      </c>
      <c r="J249" s="2" t="s">
        <v>766</v>
      </c>
      <c r="K249" s="88" t="s">
        <v>777</v>
      </c>
      <c r="L249" s="90">
        <v>40000</v>
      </c>
      <c r="M249" s="64" t="s">
        <v>22</v>
      </c>
      <c r="N249" s="39" t="s">
        <v>48</v>
      </c>
      <c r="O249" s="39" t="s">
        <v>49</v>
      </c>
      <c r="P249" s="135" t="s">
        <v>847</v>
      </c>
      <c r="Q249" s="19">
        <v>135</v>
      </c>
      <c r="R249" s="15">
        <f>Q249/I249</f>
        <v>0.12272727272727273</v>
      </c>
      <c r="S249" s="5">
        <f>($AC249*$AD249)/(($Z249/$Y249)+($AA249/$Z249)+($AB249/$AA249))</f>
        <v>66.122448979591837</v>
      </c>
      <c r="U249" s="109" t="s">
        <v>767</v>
      </c>
      <c r="V249" s="205" t="s">
        <v>738</v>
      </c>
      <c r="W249" s="205"/>
      <c r="Y249" s="2">
        <v>2</v>
      </c>
      <c r="Z249" s="2">
        <v>5</v>
      </c>
      <c r="AA249" s="2">
        <v>15</v>
      </c>
      <c r="AB249" s="2">
        <v>40</v>
      </c>
      <c r="AC249" s="2">
        <v>18</v>
      </c>
      <c r="AD249" s="2">
        <v>30</v>
      </c>
      <c r="AE249" s="2">
        <f>AC249*AD249</f>
        <v>540</v>
      </c>
      <c r="AF249" s="2">
        <f>Z249/Y249</f>
        <v>2.5</v>
      </c>
      <c r="AG249" s="2">
        <f>AA249/Z249</f>
        <v>3</v>
      </c>
      <c r="AH249" s="2">
        <f>AB249/AA249</f>
        <v>2.6666666666666665</v>
      </c>
    </row>
    <row r="250" spans="1:34">
      <c r="A250" s="68" t="s">
        <v>357</v>
      </c>
      <c r="B250" s="68" t="s">
        <v>358</v>
      </c>
      <c r="C250" s="48">
        <v>46174</v>
      </c>
      <c r="D250" s="42">
        <v>0.46527777777777779</v>
      </c>
      <c r="E250" s="194">
        <v>30</v>
      </c>
      <c r="F250" s="63" t="s">
        <v>296</v>
      </c>
      <c r="G250" s="2">
        <v>1</v>
      </c>
      <c r="H250" s="2">
        <v>9</v>
      </c>
      <c r="I250" s="125">
        <v>800</v>
      </c>
      <c r="J250" s="2" t="s">
        <v>766</v>
      </c>
      <c r="K250" s="137" t="s">
        <v>816</v>
      </c>
      <c r="L250" s="89">
        <v>40000</v>
      </c>
      <c r="M250" s="202">
        <v>30</v>
      </c>
      <c r="N250" s="39" t="s">
        <v>48</v>
      </c>
      <c r="O250" s="39" t="s">
        <v>49</v>
      </c>
      <c r="P250" s="212" t="s">
        <v>839</v>
      </c>
      <c r="Q250" s="19">
        <v>100</v>
      </c>
      <c r="R250" s="15">
        <f>Q250/I250</f>
        <v>0.125</v>
      </c>
      <c r="S250" s="5">
        <f>($AC250*$AD250)/(($Z250/$Y250)+($AA250/$Z250)+($AB250/$AA250))</f>
        <v>71.293161814488826</v>
      </c>
      <c r="U250" s="109" t="s">
        <v>767</v>
      </c>
      <c r="V250" s="205" t="s">
        <v>668</v>
      </c>
      <c r="W250" s="205"/>
      <c r="Y250" s="2">
        <v>2.5</v>
      </c>
      <c r="Z250" s="2">
        <v>6.5</v>
      </c>
      <c r="AA250" s="2">
        <v>15</v>
      </c>
      <c r="AB250" s="2">
        <v>40</v>
      </c>
      <c r="AC250" s="2">
        <v>30</v>
      </c>
      <c r="AD250" s="2">
        <v>18</v>
      </c>
      <c r="AE250" s="2">
        <f>AC250*AD250</f>
        <v>540</v>
      </c>
      <c r="AF250" s="2">
        <f>Z250/Y250</f>
        <v>2.6</v>
      </c>
      <c r="AG250" s="2">
        <f>AA250/Z250</f>
        <v>2.3076923076923075</v>
      </c>
      <c r="AH250" s="2">
        <f>AB250/AA250</f>
        <v>2.6666666666666665</v>
      </c>
    </row>
    <row r="251" spans="1:34">
      <c r="A251" s="95" t="s">
        <v>447</v>
      </c>
      <c r="B251" s="95" t="s">
        <v>448</v>
      </c>
      <c r="C251" s="40">
        <v>46174</v>
      </c>
      <c r="D251" s="42">
        <v>0.54166666666666663</v>
      </c>
      <c r="E251" s="43"/>
      <c r="F251" s="8" t="s">
        <v>411</v>
      </c>
      <c r="G251" s="2">
        <v>1</v>
      </c>
      <c r="H251" s="2">
        <v>6</v>
      </c>
      <c r="I251" s="125">
        <v>600</v>
      </c>
      <c r="J251" s="2" t="s">
        <v>766</v>
      </c>
      <c r="K251" s="109" t="s">
        <v>602</v>
      </c>
      <c r="L251" s="8">
        <v>30000</v>
      </c>
      <c r="M251" s="8">
        <v>30</v>
      </c>
      <c r="N251" s="39" t="s">
        <v>48</v>
      </c>
      <c r="O251" s="39" t="s">
        <v>123</v>
      </c>
      <c r="P251" s="63">
        <v>30000</v>
      </c>
      <c r="Q251" s="2">
        <v>90</v>
      </c>
      <c r="R251" s="15">
        <f>Q251/I251</f>
        <v>0.15</v>
      </c>
      <c r="S251" s="176" t="s">
        <v>110</v>
      </c>
      <c r="T251" s="176"/>
      <c r="U251" s="109" t="s">
        <v>767</v>
      </c>
      <c r="V251" s="2" t="s">
        <v>741</v>
      </c>
      <c r="W251" s="205"/>
      <c r="AE251" s="2">
        <f>AC251*AD251</f>
        <v>0</v>
      </c>
      <c r="AF251" s="2" t="e">
        <f>Z251/Y251</f>
        <v>#DIV/0!</v>
      </c>
      <c r="AG251" s="2" t="e">
        <f>AA251/Z251</f>
        <v>#DIV/0!</v>
      </c>
      <c r="AH251" s="2" t="e">
        <f>AB251/AA251</f>
        <v>#DIV/0!</v>
      </c>
    </row>
    <row r="252" spans="1:34">
      <c r="A252" s="165" t="s">
        <v>1383</v>
      </c>
      <c r="B252" s="36" t="s">
        <v>63</v>
      </c>
      <c r="C252" s="192">
        <v>46174</v>
      </c>
      <c r="D252" s="144">
        <v>0.54166666666666663</v>
      </c>
      <c r="E252" s="194">
        <v>12</v>
      </c>
      <c r="F252" s="8" t="s">
        <v>1312</v>
      </c>
      <c r="G252" s="2">
        <v>3</v>
      </c>
      <c r="H252" s="2">
        <v>7</v>
      </c>
      <c r="I252" s="37">
        <v>1500</v>
      </c>
      <c r="J252" s="2" t="s">
        <v>762</v>
      </c>
      <c r="K252" s="109" t="s">
        <v>598</v>
      </c>
      <c r="L252" s="89">
        <v>25000</v>
      </c>
      <c r="M252" s="202" t="s">
        <v>97</v>
      </c>
      <c r="N252" s="39" t="s">
        <v>48</v>
      </c>
      <c r="O252" s="39" t="s">
        <v>872</v>
      </c>
      <c r="P252" s="213"/>
      <c r="Q252" s="38">
        <f>R252*I252</f>
        <v>172.5</v>
      </c>
      <c r="R252" s="15">
        <v>0.115</v>
      </c>
      <c r="S252" s="149" t="s">
        <v>110</v>
      </c>
      <c r="T252" s="149"/>
      <c r="U252" s="109" t="s">
        <v>767</v>
      </c>
      <c r="V252" s="205" t="s">
        <v>121</v>
      </c>
      <c r="W252" s="205"/>
      <c r="AE252" s="2" t="e">
        <f>AD252*#REF!</f>
        <v>#REF!</v>
      </c>
      <c r="AF252" s="2" t="e">
        <f>Z252/Y252</f>
        <v>#DIV/0!</v>
      </c>
      <c r="AG252" s="2" t="e">
        <f>AA252/Z252</f>
        <v>#DIV/0!</v>
      </c>
      <c r="AH252" s="2" t="e">
        <f>AC252/AA252</f>
        <v>#DIV/0!</v>
      </c>
    </row>
    <row r="253" spans="1:34">
      <c r="A253" s="165" t="s">
        <v>1383</v>
      </c>
      <c r="B253" s="39" t="s">
        <v>63</v>
      </c>
      <c r="C253" s="192">
        <v>46174</v>
      </c>
      <c r="D253" s="144">
        <v>0.54166666666666663</v>
      </c>
      <c r="E253" s="194"/>
      <c r="F253" s="8" t="s">
        <v>881</v>
      </c>
      <c r="G253" s="2">
        <v>1</v>
      </c>
      <c r="H253" s="2">
        <v>9</v>
      </c>
      <c r="I253" s="37">
        <v>250</v>
      </c>
      <c r="J253" s="2" t="s">
        <v>766</v>
      </c>
      <c r="K253" s="88" t="s">
        <v>787</v>
      </c>
      <c r="L253" s="89">
        <v>25000</v>
      </c>
      <c r="M253" s="205">
        <v>30</v>
      </c>
      <c r="N253" s="39" t="s">
        <v>817</v>
      </c>
      <c r="O253" s="39" t="s">
        <v>49</v>
      </c>
      <c r="P253" s="210"/>
      <c r="Q253" s="19">
        <v>50</v>
      </c>
      <c r="R253" s="15">
        <f>Q253/I253</f>
        <v>0.2</v>
      </c>
      <c r="S253" s="5">
        <v>44</v>
      </c>
      <c r="U253" s="109" t="s">
        <v>767</v>
      </c>
      <c r="V253" s="71" t="s">
        <v>360</v>
      </c>
      <c r="W253" s="205"/>
      <c r="Y253" s="175"/>
      <c r="Z253" s="175"/>
      <c r="AA253" s="175"/>
      <c r="AB253" s="175"/>
      <c r="AC253" s="175"/>
      <c r="AD253" s="175"/>
      <c r="AE253" s="175"/>
      <c r="AF253" s="175"/>
      <c r="AG253" s="175"/>
      <c r="AH253" s="175"/>
    </row>
    <row r="254" spans="1:34">
      <c r="A254" s="52" t="s">
        <v>220</v>
      </c>
      <c r="B254" s="52" t="s">
        <v>221</v>
      </c>
      <c r="C254" s="48">
        <v>46174</v>
      </c>
      <c r="D254" s="42">
        <v>0.54166666666666663</v>
      </c>
      <c r="E254" s="43"/>
      <c r="F254" s="8" t="s">
        <v>1300</v>
      </c>
      <c r="G254" s="2">
        <v>3</v>
      </c>
      <c r="H254" s="2">
        <v>9</v>
      </c>
      <c r="I254" s="125">
        <v>1100</v>
      </c>
      <c r="J254" s="2" t="s">
        <v>766</v>
      </c>
      <c r="K254" s="109" t="s">
        <v>767</v>
      </c>
      <c r="L254" s="90">
        <v>40000</v>
      </c>
      <c r="M254" s="64">
        <v>40</v>
      </c>
      <c r="N254" s="39" t="s">
        <v>48</v>
      </c>
      <c r="O254" s="39" t="s">
        <v>49</v>
      </c>
      <c r="P254" s="135" t="s">
        <v>848</v>
      </c>
      <c r="Q254" s="19">
        <v>135</v>
      </c>
      <c r="R254" s="15">
        <f>Q254/I254</f>
        <v>0.12272727272727273</v>
      </c>
      <c r="S254" s="5">
        <f>($AC254*$AD254)/(($Z254/$Y254)+($AA254/$Z254)+($AB254/$AA254))</f>
        <v>102.59605399792316</v>
      </c>
      <c r="U254" s="109" t="s">
        <v>767</v>
      </c>
      <c r="V254" s="2" t="s">
        <v>738</v>
      </c>
      <c r="Y254" s="2">
        <v>2</v>
      </c>
      <c r="Z254" s="2">
        <v>5</v>
      </c>
      <c r="AA254" s="2">
        <v>13</v>
      </c>
      <c r="AB254" s="2">
        <v>30</v>
      </c>
      <c r="AC254" s="2">
        <v>40</v>
      </c>
      <c r="AD254" s="2">
        <v>19</v>
      </c>
      <c r="AE254" s="2">
        <f>AC254*AD254</f>
        <v>760</v>
      </c>
      <c r="AF254" s="2">
        <f>Z254/Y254</f>
        <v>2.5</v>
      </c>
      <c r="AG254" s="2">
        <f>AA254/Z254</f>
        <v>2.6</v>
      </c>
      <c r="AH254" s="2">
        <f>AB254/AA254</f>
        <v>2.3076923076923075</v>
      </c>
    </row>
    <row r="255" spans="1:34">
      <c r="A255" s="96" t="s">
        <v>461</v>
      </c>
      <c r="B255" s="96" t="s">
        <v>462</v>
      </c>
      <c r="C255" s="192">
        <v>46174</v>
      </c>
      <c r="D255" s="42">
        <v>0.59027777777777779</v>
      </c>
      <c r="E255" s="43"/>
      <c r="F255" s="8" t="s">
        <v>455</v>
      </c>
      <c r="G255" s="2">
        <v>1</v>
      </c>
      <c r="I255" s="125">
        <v>120</v>
      </c>
      <c r="J255" s="2" t="s">
        <v>766</v>
      </c>
      <c r="K255" s="109" t="s">
        <v>603</v>
      </c>
      <c r="L255" s="8">
        <v>20000</v>
      </c>
      <c r="M255" s="202">
        <v>20</v>
      </c>
      <c r="N255" s="39" t="s">
        <v>736</v>
      </c>
      <c r="O255" s="39" t="s">
        <v>49</v>
      </c>
      <c r="P255" s="135" t="s">
        <v>829</v>
      </c>
      <c r="Q255" s="19">
        <v>24</v>
      </c>
      <c r="R255" s="15">
        <f>Q255/I255</f>
        <v>0.2</v>
      </c>
      <c r="S255" s="178" t="s">
        <v>110</v>
      </c>
      <c r="T255" s="120"/>
      <c r="U255" s="109" t="s">
        <v>736</v>
      </c>
      <c r="V255" s="2" t="s">
        <v>735</v>
      </c>
      <c r="AE255" s="2">
        <f>AC255*AD255</f>
        <v>0</v>
      </c>
      <c r="AF255" s="2" t="e">
        <f>Z255/Y255</f>
        <v>#DIV/0!</v>
      </c>
      <c r="AG255" s="2" t="e">
        <f>AA255/Z255</f>
        <v>#DIV/0!</v>
      </c>
      <c r="AH255" s="2" t="e">
        <f>AB255/AA255</f>
        <v>#DIV/0!</v>
      </c>
    </row>
    <row r="256" spans="1:34">
      <c r="A256" s="165" t="s">
        <v>1383</v>
      </c>
      <c r="B256" s="39" t="s">
        <v>63</v>
      </c>
      <c r="C256" s="192">
        <v>46174</v>
      </c>
      <c r="D256" s="144">
        <v>0.625</v>
      </c>
      <c r="E256" s="43"/>
      <c r="F256" s="8" t="s">
        <v>912</v>
      </c>
      <c r="G256" s="2">
        <v>1</v>
      </c>
      <c r="H256" s="2">
        <v>9</v>
      </c>
      <c r="I256" s="37">
        <v>240</v>
      </c>
      <c r="J256" s="2" t="s">
        <v>766</v>
      </c>
      <c r="K256" s="88" t="s">
        <v>784</v>
      </c>
      <c r="L256" s="89">
        <v>10000</v>
      </c>
      <c r="M256" s="202">
        <v>20</v>
      </c>
      <c r="N256" s="132" t="s">
        <v>821</v>
      </c>
      <c r="O256" s="39" t="s">
        <v>49</v>
      </c>
      <c r="P256" s="210"/>
      <c r="Q256" s="19">
        <v>40</v>
      </c>
      <c r="R256" s="15">
        <v>0.16666666666666666</v>
      </c>
      <c r="S256" s="5">
        <v>29</v>
      </c>
      <c r="U256" s="109" t="s">
        <v>767</v>
      </c>
      <c r="V256" s="71" t="s">
        <v>362</v>
      </c>
      <c r="W256" s="8" t="s">
        <v>367</v>
      </c>
      <c r="Y256" s="175"/>
      <c r="Z256" s="175"/>
      <c r="AA256" s="175"/>
      <c r="AB256" s="175"/>
      <c r="AC256" s="175"/>
      <c r="AD256" s="175"/>
      <c r="AE256" s="175"/>
      <c r="AF256" s="175"/>
      <c r="AG256" s="175"/>
      <c r="AH256" s="175"/>
    </row>
    <row r="257" spans="1:34">
      <c r="A257" s="165" t="s">
        <v>1383</v>
      </c>
      <c r="B257" s="39" t="s">
        <v>63</v>
      </c>
      <c r="C257" s="192">
        <v>46174</v>
      </c>
      <c r="D257" s="144">
        <v>0.66666666666666663</v>
      </c>
      <c r="E257" s="194"/>
      <c r="F257" s="8" t="s">
        <v>1024</v>
      </c>
      <c r="G257" s="2">
        <v>1</v>
      </c>
      <c r="H257" s="2">
        <v>9</v>
      </c>
      <c r="I257" s="37">
        <v>400</v>
      </c>
      <c r="J257" s="2" t="s">
        <v>766</v>
      </c>
      <c r="K257" s="88" t="s">
        <v>794</v>
      </c>
      <c r="L257" s="89">
        <v>30000</v>
      </c>
      <c r="M257" s="205">
        <v>20</v>
      </c>
      <c r="N257" s="39" t="s">
        <v>817</v>
      </c>
      <c r="O257" s="39" t="s">
        <v>49</v>
      </c>
      <c r="Q257" s="19">
        <v>70</v>
      </c>
      <c r="R257" s="15">
        <f>Q257/I257</f>
        <v>0.17499999999999999</v>
      </c>
      <c r="S257" s="5">
        <v>37</v>
      </c>
      <c r="U257" s="109" t="s">
        <v>129</v>
      </c>
      <c r="V257" s="71" t="s">
        <v>360</v>
      </c>
      <c r="W257" s="205"/>
      <c r="Y257" s="175"/>
      <c r="Z257" s="175"/>
      <c r="AA257" s="175"/>
      <c r="AB257" s="175"/>
      <c r="AC257" s="175"/>
      <c r="AD257" s="175"/>
      <c r="AE257" s="175"/>
      <c r="AF257" s="175"/>
      <c r="AG257" s="175"/>
      <c r="AH257" s="175"/>
    </row>
    <row r="258" spans="1:34">
      <c r="A258" s="52" t="s">
        <v>229</v>
      </c>
      <c r="B258" s="52" t="s">
        <v>230</v>
      </c>
      <c r="C258" s="40">
        <v>46174</v>
      </c>
      <c r="D258" s="42">
        <v>0.66666666666666663</v>
      </c>
      <c r="E258" s="43"/>
      <c r="F258" s="8" t="s">
        <v>57</v>
      </c>
      <c r="G258" s="2">
        <v>1</v>
      </c>
      <c r="I258" s="125">
        <v>240</v>
      </c>
      <c r="J258" s="2" t="s">
        <v>766</v>
      </c>
      <c r="K258" s="88" t="s">
        <v>795</v>
      </c>
      <c r="L258" s="90">
        <v>30000</v>
      </c>
      <c r="M258" s="8">
        <v>20</v>
      </c>
      <c r="N258" s="39" t="s">
        <v>48</v>
      </c>
      <c r="O258" s="39" t="s">
        <v>57</v>
      </c>
      <c r="P258" s="19">
        <v>10000</v>
      </c>
      <c r="Q258" s="2">
        <v>40</v>
      </c>
      <c r="R258" s="15">
        <f>IF(Q258&gt;0,Q258/I258,"")</f>
        <v>0.16666666666666666</v>
      </c>
      <c r="S258" s="149" t="s">
        <v>110</v>
      </c>
      <c r="T258" s="149"/>
      <c r="U258" s="109" t="s">
        <v>767</v>
      </c>
      <c r="V258" s="205" t="s">
        <v>719</v>
      </c>
      <c r="W258" s="205"/>
      <c r="AE258" s="2">
        <f>AC258*AD258</f>
        <v>0</v>
      </c>
      <c r="AF258" s="2" t="e">
        <f>Z258/Y258</f>
        <v>#DIV/0!</v>
      </c>
      <c r="AG258" s="2" t="e">
        <f>AA258/Z258</f>
        <v>#DIV/0!</v>
      </c>
      <c r="AH258" s="2" t="e">
        <f>AB258/AA258</f>
        <v>#DIV/0!</v>
      </c>
    </row>
    <row r="259" spans="1:34">
      <c r="A259" s="52" t="s">
        <v>229</v>
      </c>
      <c r="B259" s="52" t="s">
        <v>230</v>
      </c>
      <c r="C259" s="40">
        <v>46174</v>
      </c>
      <c r="D259" s="42">
        <v>0.75</v>
      </c>
      <c r="E259" s="43"/>
      <c r="F259" s="8" t="s">
        <v>244</v>
      </c>
      <c r="G259" s="2">
        <v>1</v>
      </c>
      <c r="I259" s="125">
        <v>200</v>
      </c>
      <c r="J259" s="2" t="s">
        <v>766</v>
      </c>
      <c r="K259" s="88" t="s">
        <v>804</v>
      </c>
      <c r="L259" s="90">
        <v>30000</v>
      </c>
      <c r="M259" s="8">
        <v>20</v>
      </c>
      <c r="N259" s="39" t="s">
        <v>48</v>
      </c>
      <c r="O259" s="39" t="s">
        <v>49</v>
      </c>
      <c r="P259" s="135" t="s">
        <v>832</v>
      </c>
      <c r="Q259" s="19">
        <v>40</v>
      </c>
      <c r="R259" s="15">
        <f>IF(Q259&gt;0,Q259/I259,"")</f>
        <v>0.2</v>
      </c>
      <c r="S259" s="5">
        <f>($AC259*$AD259)/(($Z259/$Y259)+($AA259/$Z259)+($AB259/$AA259))</f>
        <v>35.555555555555557</v>
      </c>
      <c r="U259" s="109" t="s">
        <v>767</v>
      </c>
      <c r="V259" s="205" t="s">
        <v>719</v>
      </c>
      <c r="W259" s="205"/>
      <c r="Y259" s="2">
        <v>2</v>
      </c>
      <c r="Z259" s="2">
        <v>5</v>
      </c>
      <c r="AA259" s="2">
        <v>20</v>
      </c>
      <c r="AB259" s="2">
        <v>50</v>
      </c>
      <c r="AC259" s="2">
        <v>20</v>
      </c>
      <c r="AD259" s="2">
        <v>16</v>
      </c>
      <c r="AE259" s="2">
        <f>AC259*AD259</f>
        <v>320</v>
      </c>
      <c r="AF259" s="2">
        <f>Z259/Y259</f>
        <v>2.5</v>
      </c>
      <c r="AG259" s="2">
        <f>AA259/Z259</f>
        <v>4</v>
      </c>
      <c r="AH259" s="2">
        <f>AB259/AA259</f>
        <v>2.5</v>
      </c>
    </row>
    <row r="260" spans="1:34" s="70" customFormat="1">
      <c r="A260" s="52" t="s">
        <v>220</v>
      </c>
      <c r="B260" s="52" t="s">
        <v>221</v>
      </c>
      <c r="C260" s="48">
        <v>46174</v>
      </c>
      <c r="D260" s="42">
        <v>0.75</v>
      </c>
      <c r="E260" s="43"/>
      <c r="F260" s="8" t="s">
        <v>1041</v>
      </c>
      <c r="G260" s="2">
        <v>2</v>
      </c>
      <c r="H260" s="2">
        <v>9</v>
      </c>
      <c r="I260" s="125">
        <v>1100</v>
      </c>
      <c r="J260" s="2" t="s">
        <v>766</v>
      </c>
      <c r="K260" s="88" t="s">
        <v>799</v>
      </c>
      <c r="L260" s="90">
        <v>40000</v>
      </c>
      <c r="M260" s="64" t="s">
        <v>113</v>
      </c>
      <c r="N260" s="39" t="s">
        <v>48</v>
      </c>
      <c r="O260" s="39" t="s">
        <v>49</v>
      </c>
      <c r="P260" s="135" t="s">
        <v>847</v>
      </c>
      <c r="Q260" s="19">
        <v>135</v>
      </c>
      <c r="R260" s="15">
        <f>Q260/I260</f>
        <v>0.12272727272727273</v>
      </c>
      <c r="S260" s="5">
        <f>($AC260*$AD260)/(($Z260/$Y260)+($AA260/$Z260)+($AB260/$AA260))</f>
        <v>44.081632653061227</v>
      </c>
      <c r="T260" s="5"/>
      <c r="U260" s="109" t="s">
        <v>129</v>
      </c>
      <c r="V260" s="205" t="s">
        <v>738</v>
      </c>
      <c r="W260" s="205"/>
      <c r="X260" s="2"/>
      <c r="Y260" s="2">
        <v>2</v>
      </c>
      <c r="Z260" s="2">
        <v>5</v>
      </c>
      <c r="AA260" s="2">
        <v>15</v>
      </c>
      <c r="AB260" s="2">
        <v>40</v>
      </c>
      <c r="AC260" s="2">
        <v>18</v>
      </c>
      <c r="AD260" s="2">
        <v>20</v>
      </c>
      <c r="AE260" s="2">
        <f>AC260*AD260</f>
        <v>360</v>
      </c>
      <c r="AF260" s="2">
        <f>Z260/Y260</f>
        <v>2.5</v>
      </c>
      <c r="AG260" s="2">
        <f>AA260/Z260</f>
        <v>3</v>
      </c>
      <c r="AH260" s="2">
        <f>AB260/AA260</f>
        <v>2.6666666666666665</v>
      </c>
    </row>
    <row r="261" spans="1:34">
      <c r="A261" s="96" t="s">
        <v>461</v>
      </c>
      <c r="B261" s="96" t="s">
        <v>462</v>
      </c>
      <c r="C261" s="192">
        <v>46174</v>
      </c>
      <c r="D261" s="42">
        <v>0.75694444444444442</v>
      </c>
      <c r="E261" s="43"/>
      <c r="F261" s="8" t="s">
        <v>468</v>
      </c>
      <c r="G261" s="2">
        <v>2</v>
      </c>
      <c r="I261" s="125">
        <v>300</v>
      </c>
      <c r="J261" s="2" t="s">
        <v>766</v>
      </c>
      <c r="K261" s="109" t="s">
        <v>598</v>
      </c>
      <c r="L261" s="8">
        <v>30000</v>
      </c>
      <c r="M261" s="54">
        <v>30</v>
      </c>
      <c r="N261" s="39" t="s">
        <v>48</v>
      </c>
      <c r="O261" s="39" t="s">
        <v>49</v>
      </c>
      <c r="P261" s="135" t="s">
        <v>842</v>
      </c>
      <c r="Q261" s="19">
        <v>65</v>
      </c>
      <c r="R261" s="15">
        <f>Q261/I261</f>
        <v>0.21666666666666667</v>
      </c>
      <c r="S261" s="5">
        <f>($AC261*$AD261)/(($Z261/$Y261)+($AA261/$Z261)+($AB261/$AA261))</f>
        <v>53.333333333333336</v>
      </c>
      <c r="U261" s="109" t="s">
        <v>767</v>
      </c>
      <c r="V261" s="205" t="s">
        <v>735</v>
      </c>
      <c r="W261" s="205"/>
      <c r="Y261" s="2">
        <v>2</v>
      </c>
      <c r="Z261" s="2">
        <v>5</v>
      </c>
      <c r="AA261" s="2">
        <v>20</v>
      </c>
      <c r="AB261" s="2">
        <v>50</v>
      </c>
      <c r="AC261" s="2">
        <v>16</v>
      </c>
      <c r="AD261" s="2">
        <v>30</v>
      </c>
      <c r="AE261" s="2">
        <f>AC261*AD261</f>
        <v>480</v>
      </c>
      <c r="AF261" s="2">
        <f>Z261/Y261</f>
        <v>2.5</v>
      </c>
      <c r="AG261" s="2">
        <f>AA261/Z261</f>
        <v>4</v>
      </c>
      <c r="AH261" s="2">
        <f>AB261/AA261</f>
        <v>2.5</v>
      </c>
    </row>
    <row r="262" spans="1:34">
      <c r="A262" s="68" t="s">
        <v>357</v>
      </c>
      <c r="B262" s="68" t="s">
        <v>358</v>
      </c>
      <c r="C262" s="48">
        <v>46174</v>
      </c>
      <c r="D262" s="42">
        <v>0.75694444444444442</v>
      </c>
      <c r="E262" s="194">
        <v>31</v>
      </c>
      <c r="F262" s="63" t="s">
        <v>290</v>
      </c>
      <c r="G262" s="2">
        <v>1</v>
      </c>
      <c r="H262" s="2">
        <v>9</v>
      </c>
      <c r="I262" s="125">
        <v>600</v>
      </c>
      <c r="J262" s="2" t="s">
        <v>766</v>
      </c>
      <c r="K262" s="137" t="s">
        <v>602</v>
      </c>
      <c r="L262" s="89">
        <v>25000</v>
      </c>
      <c r="M262" s="202">
        <v>30</v>
      </c>
      <c r="N262" s="39" t="s">
        <v>48</v>
      </c>
      <c r="O262" s="39" t="s">
        <v>49</v>
      </c>
      <c r="P262" s="212" t="s">
        <v>836</v>
      </c>
      <c r="Q262" s="19">
        <v>80</v>
      </c>
      <c r="R262" s="15">
        <f>Q262/I262</f>
        <v>0.13333333333333333</v>
      </c>
      <c r="S262" s="5">
        <f>($AC262*$AD262)/(($Z262/$Y262)+($AA262/$Z262)+($AB262/$AA262))</f>
        <v>55.03292568203198</v>
      </c>
      <c r="U262" s="109" t="s">
        <v>219</v>
      </c>
      <c r="V262" s="205" t="s">
        <v>662</v>
      </c>
      <c r="W262" s="220" t="s">
        <v>389</v>
      </c>
      <c r="Y262" s="2">
        <v>2.5</v>
      </c>
      <c r="Z262" s="2">
        <v>6.5</v>
      </c>
      <c r="AA262" s="2">
        <v>20</v>
      </c>
      <c r="AB262" s="2">
        <v>50</v>
      </c>
      <c r="AC262" s="2">
        <v>30</v>
      </c>
      <c r="AD262" s="2">
        <v>15</v>
      </c>
      <c r="AE262" s="2">
        <f>AC262*AD262</f>
        <v>450</v>
      </c>
      <c r="AF262" s="2">
        <f>Z262/Y262</f>
        <v>2.6</v>
      </c>
      <c r="AG262" s="2">
        <f>AA262/Z262</f>
        <v>3.0769230769230771</v>
      </c>
      <c r="AH262" s="2">
        <f>AB262/AA262</f>
        <v>2.5</v>
      </c>
    </row>
    <row r="263" spans="1:34">
      <c r="A263" s="95" t="s">
        <v>447</v>
      </c>
      <c r="B263" s="95" t="s">
        <v>448</v>
      </c>
      <c r="C263" s="40">
        <v>46174</v>
      </c>
      <c r="D263" s="42">
        <v>0.79166666666666663</v>
      </c>
      <c r="E263" s="43"/>
      <c r="F263" s="8" t="s">
        <v>403</v>
      </c>
      <c r="G263" s="2">
        <v>1</v>
      </c>
      <c r="H263" s="2">
        <v>9</v>
      </c>
      <c r="I263" s="125">
        <v>300</v>
      </c>
      <c r="J263" s="2" t="s">
        <v>766</v>
      </c>
      <c r="K263" s="109" t="s">
        <v>602</v>
      </c>
      <c r="L263" s="8">
        <v>25000</v>
      </c>
      <c r="M263" s="8">
        <v>25</v>
      </c>
      <c r="N263" s="39" t="s">
        <v>48</v>
      </c>
      <c r="O263" s="39" t="s">
        <v>49</v>
      </c>
      <c r="P263" s="212" t="s">
        <v>834</v>
      </c>
      <c r="Q263" s="19">
        <v>50</v>
      </c>
      <c r="R263" s="15">
        <f>Q263/I263</f>
        <v>0.16666666666666666</v>
      </c>
      <c r="S263" s="5">
        <f>($AC263*$AD263)/(($Z263/$Y263)+($AA263/$Z263)+($AB263/$AA263))</f>
        <v>37.5</v>
      </c>
      <c r="U263" s="109" t="s">
        <v>767</v>
      </c>
      <c r="V263" s="2" t="s">
        <v>741</v>
      </c>
      <c r="Y263" s="2">
        <v>2.5</v>
      </c>
      <c r="Z263" s="2">
        <v>7.5</v>
      </c>
      <c r="AA263" s="2">
        <v>25</v>
      </c>
      <c r="AB263" s="2">
        <v>75</v>
      </c>
      <c r="AC263" s="2">
        <v>14</v>
      </c>
      <c r="AD263" s="2">
        <v>25</v>
      </c>
      <c r="AE263" s="2">
        <f>AC263*AD263</f>
        <v>350</v>
      </c>
      <c r="AF263" s="2">
        <f>Z263/Y263</f>
        <v>3</v>
      </c>
      <c r="AG263" s="2">
        <f>AA263/Z263</f>
        <v>3.3333333333333335</v>
      </c>
      <c r="AH263" s="2">
        <f>AB263/AA263</f>
        <v>3</v>
      </c>
    </row>
    <row r="264" spans="1:34">
      <c r="A264" s="165" t="s">
        <v>1383</v>
      </c>
      <c r="B264" s="39" t="s">
        <v>63</v>
      </c>
      <c r="C264" s="192">
        <v>46174</v>
      </c>
      <c r="D264" s="144">
        <v>0.79166666666666663</v>
      </c>
      <c r="E264" s="43"/>
      <c r="F264" s="8" t="s">
        <v>887</v>
      </c>
      <c r="G264" s="2">
        <v>1</v>
      </c>
      <c r="I264" s="37">
        <v>1100</v>
      </c>
      <c r="J264" s="2" t="s">
        <v>766</v>
      </c>
      <c r="K264" s="88" t="s">
        <v>808</v>
      </c>
      <c r="L264" s="89">
        <v>15000</v>
      </c>
      <c r="M264" s="209">
        <v>30</v>
      </c>
      <c r="N264" s="132" t="s">
        <v>821</v>
      </c>
      <c r="O264" s="39" t="s">
        <v>872</v>
      </c>
      <c r="P264" s="213"/>
      <c r="Q264" s="2">
        <f>88+37</f>
        <v>125</v>
      </c>
      <c r="R264" s="15">
        <f>Q264/I264</f>
        <v>0.11363636363636363</v>
      </c>
      <c r="S264" s="149" t="s">
        <v>110</v>
      </c>
      <c r="T264" s="149"/>
      <c r="U264" s="109" t="s">
        <v>767</v>
      </c>
      <c r="V264" s="71" t="s">
        <v>362</v>
      </c>
      <c r="W264" s="8" t="s">
        <v>370</v>
      </c>
      <c r="AE264" s="2" t="e">
        <f>AD264*#REF!</f>
        <v>#REF!</v>
      </c>
      <c r="AF264" s="2" t="e">
        <f>Z264/Y264</f>
        <v>#DIV/0!</v>
      </c>
      <c r="AG264" s="2" t="e">
        <f>AA264/Z264</f>
        <v>#DIV/0!</v>
      </c>
      <c r="AH264" s="2" t="e">
        <f>AC264/AA264</f>
        <v>#DIV/0!</v>
      </c>
    </row>
    <row r="265" spans="1:34" s="70" customFormat="1">
      <c r="A265" s="165" t="s">
        <v>1383</v>
      </c>
      <c r="B265" s="39" t="s">
        <v>63</v>
      </c>
      <c r="C265" s="192">
        <v>46174</v>
      </c>
      <c r="D265" s="144">
        <v>0.83333333333333337</v>
      </c>
      <c r="E265" s="194"/>
      <c r="F265" s="8" t="s">
        <v>1023</v>
      </c>
      <c r="G265" s="2">
        <v>1</v>
      </c>
      <c r="H265" s="2">
        <v>9</v>
      </c>
      <c r="I265" s="37">
        <v>200</v>
      </c>
      <c r="J265" s="2" t="s">
        <v>766</v>
      </c>
      <c r="K265" s="88" t="s">
        <v>806</v>
      </c>
      <c r="L265" s="89">
        <v>20000</v>
      </c>
      <c r="M265" s="205">
        <v>20</v>
      </c>
      <c r="N265" s="39" t="s">
        <v>817</v>
      </c>
      <c r="O265" s="39" t="s">
        <v>49</v>
      </c>
      <c r="P265" s="210"/>
      <c r="Q265" s="19">
        <v>45</v>
      </c>
      <c r="R265" s="15">
        <f>Q265/I265</f>
        <v>0.22500000000000001</v>
      </c>
      <c r="S265" s="5">
        <v>23</v>
      </c>
      <c r="T265" s="5"/>
      <c r="U265" s="109" t="s">
        <v>129</v>
      </c>
      <c r="V265" s="71" t="s">
        <v>360</v>
      </c>
      <c r="W265" s="205"/>
      <c r="X265" s="2"/>
      <c r="Y265" s="175"/>
      <c r="Z265" s="175"/>
      <c r="AA265" s="175"/>
      <c r="AB265" s="175"/>
      <c r="AC265" s="175"/>
      <c r="AD265" s="175"/>
      <c r="AE265" s="175"/>
      <c r="AF265" s="175"/>
      <c r="AG265" s="175"/>
      <c r="AH265" s="175"/>
    </row>
    <row r="266" spans="1:34">
      <c r="A266" s="165" t="s">
        <v>1383</v>
      </c>
      <c r="B266" s="39" t="s">
        <v>63</v>
      </c>
      <c r="C266" s="192">
        <v>46174</v>
      </c>
      <c r="D266" s="144">
        <v>0.91666666666666663</v>
      </c>
      <c r="E266" s="43"/>
      <c r="F266" s="8" t="s">
        <v>909</v>
      </c>
      <c r="G266" s="2">
        <v>1</v>
      </c>
      <c r="H266" s="2">
        <v>9</v>
      </c>
      <c r="I266" s="37">
        <v>135</v>
      </c>
      <c r="J266" s="2" t="s">
        <v>766</v>
      </c>
      <c r="K266" s="88" t="s">
        <v>813</v>
      </c>
      <c r="L266" s="89">
        <v>10000</v>
      </c>
      <c r="M266" s="202">
        <v>15</v>
      </c>
      <c r="N266" s="132" t="s">
        <v>821</v>
      </c>
      <c r="O266" s="39" t="s">
        <v>49</v>
      </c>
      <c r="Q266" s="19">
        <v>35</v>
      </c>
      <c r="R266" s="15">
        <f>Q266/I266</f>
        <v>0.25925925925925924</v>
      </c>
      <c r="S266" s="5">
        <v>22</v>
      </c>
      <c r="U266" s="109" t="s">
        <v>767</v>
      </c>
      <c r="V266" s="71" t="s">
        <v>362</v>
      </c>
      <c r="W266" s="8" t="s">
        <v>369</v>
      </c>
      <c r="Y266" s="175"/>
      <c r="Z266" s="175"/>
      <c r="AA266" s="175"/>
      <c r="AB266" s="175"/>
      <c r="AC266" s="175"/>
      <c r="AD266" s="175"/>
      <c r="AE266" s="175"/>
      <c r="AF266" s="175"/>
      <c r="AG266" s="175"/>
      <c r="AH266" s="175"/>
    </row>
    <row r="267" spans="1:34">
      <c r="A267" s="96" t="s">
        <v>461</v>
      </c>
      <c r="B267" s="96" t="s">
        <v>462</v>
      </c>
      <c r="C267" s="192">
        <v>46174</v>
      </c>
      <c r="D267" s="42">
        <v>0.92361111111111116</v>
      </c>
      <c r="E267" s="43"/>
      <c r="F267" s="8" t="s">
        <v>456</v>
      </c>
      <c r="G267" s="2">
        <v>1</v>
      </c>
      <c r="I267" s="125">
        <v>120</v>
      </c>
      <c r="J267" s="2" t="s">
        <v>766</v>
      </c>
      <c r="K267" s="109" t="s">
        <v>737</v>
      </c>
      <c r="L267" s="8">
        <v>20000</v>
      </c>
      <c r="M267" s="202">
        <v>15</v>
      </c>
      <c r="N267" s="39" t="s">
        <v>48</v>
      </c>
      <c r="O267" s="39" t="s">
        <v>49</v>
      </c>
      <c r="P267" s="135" t="s">
        <v>827</v>
      </c>
      <c r="Q267" s="19">
        <v>24</v>
      </c>
      <c r="R267" s="15">
        <f>Q267/I267</f>
        <v>0.2</v>
      </c>
      <c r="S267" s="5">
        <f>($AC267*$AD267)/(($Z267/$Y267)+($AA267/$Z267)+($AB267/$AA267))</f>
        <v>25.161290322580644</v>
      </c>
      <c r="U267" s="109" t="s">
        <v>463</v>
      </c>
      <c r="V267" s="2" t="s">
        <v>735</v>
      </c>
      <c r="W267" s="205" t="s">
        <v>464</v>
      </c>
      <c r="Y267" s="2">
        <v>2.5</v>
      </c>
      <c r="Z267" s="2">
        <v>7.5</v>
      </c>
      <c r="AA267" s="2">
        <v>30</v>
      </c>
      <c r="AB267" s="2">
        <v>100</v>
      </c>
      <c r="AC267" s="2">
        <v>13</v>
      </c>
      <c r="AD267" s="2">
        <v>20</v>
      </c>
      <c r="AE267" s="2">
        <f>AC267*AD267</f>
        <v>260</v>
      </c>
      <c r="AF267" s="2">
        <f>Z267/Y267</f>
        <v>3</v>
      </c>
      <c r="AG267" s="2">
        <f>AA267/Z267</f>
        <v>4</v>
      </c>
      <c r="AH267" s="2">
        <f>AB267/AA267</f>
        <v>3.3333333333333335</v>
      </c>
    </row>
    <row r="268" spans="1:34">
      <c r="A268" s="165" t="s">
        <v>1383</v>
      </c>
      <c r="B268" s="36" t="s">
        <v>63</v>
      </c>
      <c r="C268" s="4">
        <v>46174</v>
      </c>
      <c r="D268" s="144" t="s">
        <v>117</v>
      </c>
      <c r="E268" s="194">
        <v>13</v>
      </c>
      <c r="F268" s="8" t="s">
        <v>940</v>
      </c>
      <c r="G268" s="2">
        <v>3</v>
      </c>
      <c r="H268" s="2">
        <v>6</v>
      </c>
      <c r="I268" s="37">
        <v>1500</v>
      </c>
      <c r="J268" s="2" t="s">
        <v>760</v>
      </c>
      <c r="K268" s="109" t="s">
        <v>598</v>
      </c>
      <c r="L268" s="89">
        <v>25000</v>
      </c>
      <c r="M268" s="54" t="s">
        <v>97</v>
      </c>
      <c r="N268" s="39" t="s">
        <v>48</v>
      </c>
      <c r="O268" s="39" t="s">
        <v>49</v>
      </c>
      <c r="Q268" s="19">
        <f>R268*I268</f>
        <v>172.5</v>
      </c>
      <c r="R268" s="15">
        <v>0.115</v>
      </c>
      <c r="S268" s="5">
        <f>($AC268*$AD268)/(($Z268/$Y268)+($AA268/$Z268)+($AB268/$AA268))</f>
        <v>93.913043478260875</v>
      </c>
      <c r="U268" s="109" t="s">
        <v>375</v>
      </c>
      <c r="V268" s="205" t="s">
        <v>121</v>
      </c>
      <c r="Y268" s="2">
        <v>1.5</v>
      </c>
      <c r="Z268" s="2">
        <v>4</v>
      </c>
      <c r="AA268" s="2">
        <v>10</v>
      </c>
      <c r="AB268" s="2">
        <v>25</v>
      </c>
      <c r="AC268" s="2">
        <v>18</v>
      </c>
      <c r="AD268" s="2">
        <v>40</v>
      </c>
      <c r="AE268" s="2">
        <f>AC268*AD268</f>
        <v>720</v>
      </c>
      <c r="AF268" s="2">
        <f>Z268/Y268</f>
        <v>2.6666666666666665</v>
      </c>
      <c r="AG268" s="2">
        <f>AA268/Z268</f>
        <v>2.5</v>
      </c>
      <c r="AH268" s="2">
        <f>AB268/AA268</f>
        <v>2.5</v>
      </c>
    </row>
    <row r="269" spans="1:34">
      <c r="A269" s="165" t="s">
        <v>1383</v>
      </c>
      <c r="B269" s="36" t="s">
        <v>63</v>
      </c>
      <c r="C269" s="192">
        <v>46174</v>
      </c>
      <c r="D269" s="144" t="s">
        <v>115</v>
      </c>
      <c r="E269" s="35">
        <v>11</v>
      </c>
      <c r="F269" s="8" t="s">
        <v>939</v>
      </c>
      <c r="G269" s="2">
        <v>4</v>
      </c>
      <c r="H269" s="2">
        <v>9</v>
      </c>
      <c r="I269" s="37">
        <v>10000</v>
      </c>
      <c r="J269" s="2" t="s">
        <v>766</v>
      </c>
      <c r="K269" s="109" t="s">
        <v>601</v>
      </c>
      <c r="L269" s="89">
        <v>100000</v>
      </c>
      <c r="M269" s="202">
        <v>60</v>
      </c>
      <c r="N269" s="39" t="s">
        <v>48</v>
      </c>
      <c r="O269" s="39" t="s">
        <v>49</v>
      </c>
      <c r="P269" s="210"/>
      <c r="Q269" s="19">
        <f>R269*I269</f>
        <v>700.00000000000011</v>
      </c>
      <c r="R269" s="15">
        <v>7.0000000000000007E-2</v>
      </c>
      <c r="S269" s="5">
        <v>196</v>
      </c>
      <c r="U269" s="109" t="s">
        <v>767</v>
      </c>
      <c r="V269" s="205" t="s">
        <v>121</v>
      </c>
      <c r="Y269" s="175"/>
      <c r="Z269" s="175"/>
      <c r="AA269" s="175"/>
      <c r="AB269" s="175"/>
      <c r="AC269" s="175"/>
      <c r="AD269" s="175"/>
      <c r="AE269" s="175"/>
      <c r="AF269" s="175"/>
      <c r="AG269" s="175"/>
      <c r="AH269" s="175"/>
    </row>
    <row r="270" spans="1:34">
      <c r="A270" s="165" t="s">
        <v>1383</v>
      </c>
      <c r="B270" s="36" t="s">
        <v>63</v>
      </c>
      <c r="C270" s="192">
        <v>46174</v>
      </c>
      <c r="D270" s="144" t="s">
        <v>116</v>
      </c>
      <c r="E270" s="194">
        <v>14</v>
      </c>
      <c r="F270" s="8" t="s">
        <v>1029</v>
      </c>
      <c r="G270" s="2">
        <v>3</v>
      </c>
      <c r="H270" s="2">
        <v>8</v>
      </c>
      <c r="I270" s="37">
        <v>1500</v>
      </c>
      <c r="J270" s="2" t="s">
        <v>762</v>
      </c>
      <c r="K270" s="109" t="s">
        <v>598</v>
      </c>
      <c r="L270" s="89">
        <v>25000</v>
      </c>
      <c r="M270" s="202" t="s">
        <v>97</v>
      </c>
      <c r="N270" s="39" t="s">
        <v>48</v>
      </c>
      <c r="O270" s="39" t="s">
        <v>875</v>
      </c>
      <c r="P270" s="213"/>
      <c r="Q270" s="38">
        <f>R270*I270</f>
        <v>172.5</v>
      </c>
      <c r="R270" s="15">
        <v>0.115</v>
      </c>
      <c r="S270" s="149" t="s">
        <v>110</v>
      </c>
      <c r="T270" s="149"/>
      <c r="U270" s="109" t="s">
        <v>767</v>
      </c>
      <c r="V270" s="205" t="s">
        <v>121</v>
      </c>
      <c r="AE270" s="2" t="e">
        <f>AD270*#REF!</f>
        <v>#REF!</v>
      </c>
      <c r="AF270" s="2" t="e">
        <f>Z270/Y270</f>
        <v>#DIV/0!</v>
      </c>
      <c r="AG270" s="2" t="e">
        <f>AA270/Z270</f>
        <v>#DIV/0!</v>
      </c>
      <c r="AH270" s="2" t="e">
        <f>AC270/AA270</f>
        <v>#DIV/0!</v>
      </c>
    </row>
    <row r="271" spans="1:34">
      <c r="A271" s="165" t="s">
        <v>1383</v>
      </c>
      <c r="B271" s="36" t="s">
        <v>63</v>
      </c>
      <c r="C271" s="192">
        <v>46174</v>
      </c>
      <c r="D271" s="144" t="s">
        <v>876</v>
      </c>
      <c r="E271" s="35">
        <v>1</v>
      </c>
      <c r="F271" s="8" t="s">
        <v>1292</v>
      </c>
      <c r="G271" s="2">
        <v>3</v>
      </c>
      <c r="H271" s="2">
        <v>9</v>
      </c>
      <c r="I271" s="37">
        <v>550</v>
      </c>
      <c r="J271" s="2" t="s">
        <v>763</v>
      </c>
      <c r="K271" s="109" t="s">
        <v>815</v>
      </c>
      <c r="L271" s="89">
        <v>25000</v>
      </c>
      <c r="M271" s="54" t="s">
        <v>22</v>
      </c>
      <c r="N271" s="39" t="s">
        <v>48</v>
      </c>
      <c r="O271" s="39" t="s">
        <v>49</v>
      </c>
      <c r="P271" s="210"/>
      <c r="Q271" s="19">
        <f>R271*I271</f>
        <v>93.5</v>
      </c>
      <c r="R271" s="15">
        <v>0.17</v>
      </c>
      <c r="S271" s="5">
        <v>69</v>
      </c>
      <c r="U271" s="109" t="s">
        <v>55</v>
      </c>
      <c r="V271" s="2" t="s">
        <v>121</v>
      </c>
      <c r="Y271" s="175"/>
      <c r="Z271" s="175"/>
      <c r="AA271" s="175"/>
      <c r="AB271" s="175"/>
      <c r="AC271" s="175"/>
      <c r="AD271" s="175"/>
      <c r="AE271" s="175"/>
      <c r="AF271" s="175"/>
      <c r="AG271" s="175"/>
      <c r="AH271" s="175"/>
    </row>
    <row r="272" spans="1:34">
      <c r="A272" s="165" t="s">
        <v>1383</v>
      </c>
      <c r="B272" s="36" t="s">
        <v>63</v>
      </c>
      <c r="C272" s="192">
        <v>46174</v>
      </c>
      <c r="D272" s="144" t="s">
        <v>876</v>
      </c>
      <c r="E272" s="228">
        <v>7</v>
      </c>
      <c r="F272" s="8" t="s">
        <v>1267</v>
      </c>
      <c r="G272" s="2">
        <v>3</v>
      </c>
      <c r="H272" s="2">
        <v>9</v>
      </c>
      <c r="I272" s="37">
        <v>25000</v>
      </c>
      <c r="J272" s="2" t="s">
        <v>110</v>
      </c>
      <c r="K272" s="109" t="s">
        <v>814</v>
      </c>
      <c r="L272" s="89">
        <v>150000</v>
      </c>
      <c r="M272" s="202">
        <v>20</v>
      </c>
      <c r="N272" s="39" t="s">
        <v>48</v>
      </c>
      <c r="O272" s="39" t="s">
        <v>49</v>
      </c>
      <c r="Q272" s="19">
        <f>R272*I272</f>
        <v>1500</v>
      </c>
      <c r="R272" s="15">
        <v>0.06</v>
      </c>
      <c r="S272" s="149" t="s">
        <v>110</v>
      </c>
      <c r="T272" s="149"/>
      <c r="U272" s="109" t="s">
        <v>154</v>
      </c>
      <c r="V272" s="2" t="s">
        <v>121</v>
      </c>
      <c r="W272" s="205"/>
      <c r="AE272" s="2">
        <f>AC272*AD272</f>
        <v>0</v>
      </c>
      <c r="AF272" s="2" t="e">
        <f>Z272/Y272</f>
        <v>#DIV/0!</v>
      </c>
      <c r="AG272" s="2" t="e">
        <f>AA272/Z272</f>
        <v>#DIV/0!</v>
      </c>
      <c r="AH272" s="2" t="e">
        <f>AB272/AA272</f>
        <v>#DIV/0!</v>
      </c>
    </row>
    <row r="273" spans="1:34">
      <c r="A273" s="96" t="s">
        <v>461</v>
      </c>
      <c r="B273" s="96" t="s">
        <v>462</v>
      </c>
      <c r="C273" s="192">
        <v>46175</v>
      </c>
      <c r="D273" s="42">
        <v>0.4236111111111111</v>
      </c>
      <c r="E273" s="43"/>
      <c r="F273" s="8" t="s">
        <v>469</v>
      </c>
      <c r="G273" s="2">
        <v>2</v>
      </c>
      <c r="I273" s="125">
        <v>300</v>
      </c>
      <c r="J273" s="2" t="s">
        <v>766</v>
      </c>
      <c r="K273" s="109" t="s">
        <v>598</v>
      </c>
      <c r="L273" s="8">
        <v>30000</v>
      </c>
      <c r="M273" s="202">
        <v>30</v>
      </c>
      <c r="N273" s="39" t="s">
        <v>48</v>
      </c>
      <c r="O273" s="39" t="s">
        <v>49</v>
      </c>
      <c r="P273" s="135" t="s">
        <v>842</v>
      </c>
      <c r="Q273" s="19">
        <v>65</v>
      </c>
      <c r="R273" s="15">
        <f>Q273/I273</f>
        <v>0.21666666666666667</v>
      </c>
      <c r="S273" s="5">
        <f>($AC273*$AD273)/(($Z273/$Y273)+($AA273/$Z273)+($AB273/$AA273))</f>
        <v>53.333333333333336</v>
      </c>
      <c r="U273" s="109" t="s">
        <v>767</v>
      </c>
      <c r="V273" s="205" t="s">
        <v>735</v>
      </c>
      <c r="W273" s="205"/>
      <c r="Y273" s="2">
        <v>2</v>
      </c>
      <c r="Z273" s="2">
        <v>5</v>
      </c>
      <c r="AA273" s="2">
        <v>20</v>
      </c>
      <c r="AB273" s="2">
        <v>50</v>
      </c>
      <c r="AC273" s="2">
        <v>16</v>
      </c>
      <c r="AD273" s="2">
        <v>30</v>
      </c>
      <c r="AE273" s="2">
        <f>AC273*AD273</f>
        <v>480</v>
      </c>
      <c r="AF273" s="2">
        <f>Z273/Y273</f>
        <v>2.5</v>
      </c>
      <c r="AG273" s="2">
        <f>AA273/Z273</f>
        <v>4</v>
      </c>
      <c r="AH273" s="2">
        <f>AB273/AA273</f>
        <v>2.5</v>
      </c>
    </row>
    <row r="274" spans="1:34">
      <c r="A274" s="95" t="s">
        <v>447</v>
      </c>
      <c r="B274" s="95" t="s">
        <v>448</v>
      </c>
      <c r="C274" s="40">
        <v>46175</v>
      </c>
      <c r="D274" s="42">
        <v>0.45833333333333331</v>
      </c>
      <c r="E274" s="43"/>
      <c r="F274" s="8" t="s">
        <v>405</v>
      </c>
      <c r="G274" s="2">
        <v>1</v>
      </c>
      <c r="H274" s="2">
        <v>9</v>
      </c>
      <c r="I274" s="125">
        <v>800</v>
      </c>
      <c r="J274" s="2" t="s">
        <v>766</v>
      </c>
      <c r="K274" s="109" t="s">
        <v>602</v>
      </c>
      <c r="L274" s="8">
        <v>30000</v>
      </c>
      <c r="M274" s="8">
        <v>30</v>
      </c>
      <c r="N274" s="39" t="s">
        <v>48</v>
      </c>
      <c r="O274" s="39" t="s">
        <v>49</v>
      </c>
      <c r="P274" s="135" t="s">
        <v>840</v>
      </c>
      <c r="Q274" s="19">
        <v>100</v>
      </c>
      <c r="R274" s="15">
        <f>Q274/I274</f>
        <v>0.125</v>
      </c>
      <c r="S274" s="5">
        <f>($AC274*$AD274)/(($Z274/$Y274)+($AA274/$Z274)+($AB274/$AA274))</f>
        <v>72.897196261682254</v>
      </c>
      <c r="U274" s="109" t="s">
        <v>767</v>
      </c>
      <c r="V274" s="205" t="s">
        <v>741</v>
      </c>
      <c r="W274" s="205"/>
      <c r="Y274" s="2">
        <v>2</v>
      </c>
      <c r="Z274" s="2">
        <v>5</v>
      </c>
      <c r="AA274" s="2">
        <v>13</v>
      </c>
      <c r="AB274" s="2">
        <v>30</v>
      </c>
      <c r="AC274" s="2">
        <v>18</v>
      </c>
      <c r="AD274" s="2">
        <v>30</v>
      </c>
      <c r="AE274" s="2">
        <f>AC274*AD274</f>
        <v>540</v>
      </c>
      <c r="AF274" s="2">
        <f>Z274/Y274</f>
        <v>2.5</v>
      </c>
      <c r="AG274" s="2">
        <f>AA274/Z274</f>
        <v>2.6</v>
      </c>
      <c r="AH274" s="2">
        <f>AB274/AA274</f>
        <v>2.3076923076923075</v>
      </c>
    </row>
    <row r="275" spans="1:34">
      <c r="A275" s="165" t="s">
        <v>1383</v>
      </c>
      <c r="B275" s="36" t="s">
        <v>63</v>
      </c>
      <c r="C275" s="192">
        <v>46175</v>
      </c>
      <c r="D275" s="144">
        <v>0.45833333333333331</v>
      </c>
      <c r="E275" s="194">
        <v>13</v>
      </c>
      <c r="F275" s="8" t="s">
        <v>1314</v>
      </c>
      <c r="G275" s="2">
        <v>3</v>
      </c>
      <c r="H275" s="2">
        <v>6</v>
      </c>
      <c r="I275" s="37">
        <v>1500</v>
      </c>
      <c r="J275" s="2" t="s">
        <v>760</v>
      </c>
      <c r="K275" s="109" t="s">
        <v>598</v>
      </c>
      <c r="L275" s="89">
        <v>25000</v>
      </c>
      <c r="M275" s="202" t="s">
        <v>97</v>
      </c>
      <c r="N275" s="39" t="s">
        <v>48</v>
      </c>
      <c r="O275" s="39" t="s">
        <v>49</v>
      </c>
      <c r="Q275" s="19">
        <f>R275*I275</f>
        <v>172.5</v>
      </c>
      <c r="R275" s="15">
        <v>0.115</v>
      </c>
      <c r="S275" s="5">
        <f>($AC275*$AD275)/(($Z275/$Y275)+($AA275/$Z275)+($AB275/$AA275))</f>
        <v>93.913043478260875</v>
      </c>
      <c r="U275" s="109" t="s">
        <v>375</v>
      </c>
      <c r="V275" s="205" t="s">
        <v>121</v>
      </c>
      <c r="W275" s="205"/>
      <c r="Y275" s="2">
        <v>1.5</v>
      </c>
      <c r="Z275" s="2">
        <v>4</v>
      </c>
      <c r="AA275" s="2">
        <v>10</v>
      </c>
      <c r="AB275" s="2">
        <v>25</v>
      </c>
      <c r="AC275" s="2">
        <v>18</v>
      </c>
      <c r="AD275" s="2">
        <v>40</v>
      </c>
      <c r="AE275" s="2">
        <f>AC275*AD275</f>
        <v>720</v>
      </c>
      <c r="AF275" s="2">
        <f>Z275/Y275</f>
        <v>2.6666666666666665</v>
      </c>
      <c r="AG275" s="2">
        <f>AA275/Z275</f>
        <v>2.5</v>
      </c>
      <c r="AH275" s="2">
        <f>AB275/AA275</f>
        <v>2.5</v>
      </c>
    </row>
    <row r="276" spans="1:34">
      <c r="A276" s="52" t="s">
        <v>229</v>
      </c>
      <c r="B276" s="52" t="s">
        <v>230</v>
      </c>
      <c r="C276" s="40">
        <v>46175</v>
      </c>
      <c r="D276" s="42">
        <v>0.45833333333333331</v>
      </c>
      <c r="E276" s="43"/>
      <c r="F276" s="8" t="s">
        <v>242</v>
      </c>
      <c r="G276" s="2">
        <v>1</v>
      </c>
      <c r="I276" s="125">
        <v>200</v>
      </c>
      <c r="J276" s="2" t="s">
        <v>766</v>
      </c>
      <c r="K276" s="88" t="s">
        <v>775</v>
      </c>
      <c r="L276" s="90">
        <v>25000</v>
      </c>
      <c r="M276" s="46" t="s">
        <v>128</v>
      </c>
      <c r="N276" s="39" t="s">
        <v>48</v>
      </c>
      <c r="O276" s="39" t="s">
        <v>49</v>
      </c>
      <c r="P276" s="135" t="s">
        <v>832</v>
      </c>
      <c r="Q276" s="19">
        <v>40</v>
      </c>
      <c r="R276" s="15">
        <f>IF(Q276&gt;0,Q276/I276,"")</f>
        <v>0.2</v>
      </c>
      <c r="S276" s="5">
        <f>($AC276*$AD276)/(($Z276/$Y276)+($AA276/$Z276)+($AB276/$AA276))</f>
        <v>28.333333333333332</v>
      </c>
      <c r="U276" s="109" t="s">
        <v>767</v>
      </c>
      <c r="V276" s="205" t="s">
        <v>719</v>
      </c>
      <c r="W276" s="205"/>
      <c r="Y276" s="2">
        <v>2</v>
      </c>
      <c r="Z276" s="2">
        <v>5</v>
      </c>
      <c r="AA276" s="2">
        <v>20</v>
      </c>
      <c r="AB276" s="2">
        <v>50</v>
      </c>
      <c r="AC276" s="2">
        <v>255</v>
      </c>
      <c r="AD276" s="2">
        <v>1</v>
      </c>
      <c r="AE276" s="2">
        <f>AC276*AD276</f>
        <v>255</v>
      </c>
      <c r="AF276" s="2">
        <f>Z276/Y276</f>
        <v>2.5</v>
      </c>
      <c r="AG276" s="2">
        <f>AA276/Z276</f>
        <v>4</v>
      </c>
      <c r="AH276" s="2">
        <f>AB276/AA276</f>
        <v>2.5</v>
      </c>
    </row>
    <row r="277" spans="1:34">
      <c r="A277" s="52" t="s">
        <v>220</v>
      </c>
      <c r="B277" s="52" t="s">
        <v>221</v>
      </c>
      <c r="C277" s="48">
        <v>46175</v>
      </c>
      <c r="D277" s="42">
        <v>0.45833333333333331</v>
      </c>
      <c r="E277" s="43"/>
      <c r="F277" s="8" t="s">
        <v>1045</v>
      </c>
      <c r="G277" s="2">
        <v>2</v>
      </c>
      <c r="H277" s="2">
        <v>9</v>
      </c>
      <c r="I277" s="125">
        <v>1100</v>
      </c>
      <c r="J277" s="2" t="s">
        <v>766</v>
      </c>
      <c r="K277" s="88" t="s">
        <v>777</v>
      </c>
      <c r="L277" s="90">
        <v>40000</v>
      </c>
      <c r="M277" s="64" t="s">
        <v>22</v>
      </c>
      <c r="N277" s="39" t="s">
        <v>48</v>
      </c>
      <c r="O277" s="39" t="s">
        <v>49</v>
      </c>
      <c r="P277" s="135" t="s">
        <v>847</v>
      </c>
      <c r="Q277" s="19">
        <v>135</v>
      </c>
      <c r="R277" s="15">
        <f>Q277/I277</f>
        <v>0.12272727272727273</v>
      </c>
      <c r="S277" s="5">
        <f>($AC277*$AD277)/(($Z277/$Y277)+($AA277/$Z277)+($AB277/$AA277))</f>
        <v>66.122448979591837</v>
      </c>
      <c r="U277" s="109" t="s">
        <v>767</v>
      </c>
      <c r="V277" s="205" t="s">
        <v>738</v>
      </c>
      <c r="W277" s="205"/>
      <c r="Y277" s="2">
        <v>2</v>
      </c>
      <c r="Z277" s="2">
        <v>5</v>
      </c>
      <c r="AA277" s="2">
        <v>15</v>
      </c>
      <c r="AB277" s="2">
        <v>40</v>
      </c>
      <c r="AC277" s="2">
        <v>18</v>
      </c>
      <c r="AD277" s="2">
        <v>30</v>
      </c>
      <c r="AE277" s="2">
        <f>AC277*AD277</f>
        <v>540</v>
      </c>
      <c r="AF277" s="2">
        <f>Z277/Y277</f>
        <v>2.5</v>
      </c>
      <c r="AG277" s="2">
        <f>AA277/Z277</f>
        <v>3</v>
      </c>
      <c r="AH277" s="2">
        <f>AB277/AA277</f>
        <v>2.6666666666666665</v>
      </c>
    </row>
    <row r="278" spans="1:34">
      <c r="A278" s="68" t="s">
        <v>357</v>
      </c>
      <c r="B278" s="68" t="s">
        <v>358</v>
      </c>
      <c r="C278" s="48">
        <v>46175</v>
      </c>
      <c r="D278" s="42">
        <v>0.46527777777777779</v>
      </c>
      <c r="E278" s="194">
        <v>32</v>
      </c>
      <c r="F278" s="63" t="s">
        <v>296</v>
      </c>
      <c r="G278" s="2">
        <v>1</v>
      </c>
      <c r="H278" s="2">
        <v>9</v>
      </c>
      <c r="I278" s="125">
        <v>800</v>
      </c>
      <c r="J278" s="2" t="s">
        <v>766</v>
      </c>
      <c r="K278" s="137" t="s">
        <v>816</v>
      </c>
      <c r="L278" s="89">
        <v>40000</v>
      </c>
      <c r="M278" s="202">
        <v>30</v>
      </c>
      <c r="N278" s="39" t="s">
        <v>48</v>
      </c>
      <c r="O278" s="39" t="s">
        <v>49</v>
      </c>
      <c r="P278" s="212" t="s">
        <v>839</v>
      </c>
      <c r="Q278" s="19">
        <v>100</v>
      </c>
      <c r="R278" s="15">
        <f>Q278/I278</f>
        <v>0.125</v>
      </c>
      <c r="S278" s="5">
        <f>($AC278*$AD278)/(($Z278/$Y278)+($AA278/$Z278)+($AB278/$AA278))</f>
        <v>71.293161814488826</v>
      </c>
      <c r="U278" s="109" t="s">
        <v>767</v>
      </c>
      <c r="V278" s="205" t="s">
        <v>668</v>
      </c>
      <c r="Y278" s="2">
        <v>2.5</v>
      </c>
      <c r="Z278" s="2">
        <v>6.5</v>
      </c>
      <c r="AA278" s="2">
        <v>15</v>
      </c>
      <c r="AB278" s="2">
        <v>40</v>
      </c>
      <c r="AC278" s="2">
        <v>30</v>
      </c>
      <c r="AD278" s="2">
        <v>18</v>
      </c>
      <c r="AE278" s="2">
        <f>AC278*AD278</f>
        <v>540</v>
      </c>
      <c r="AF278" s="2">
        <f>Z278/Y278</f>
        <v>2.6</v>
      </c>
      <c r="AG278" s="2">
        <f>AA278/Z278</f>
        <v>2.3076923076923075</v>
      </c>
      <c r="AH278" s="2">
        <f>AB278/AA278</f>
        <v>2.6666666666666665</v>
      </c>
    </row>
    <row r="279" spans="1:34">
      <c r="A279" s="52" t="s">
        <v>220</v>
      </c>
      <c r="B279" s="52" t="s">
        <v>221</v>
      </c>
      <c r="C279" s="48">
        <v>46175</v>
      </c>
      <c r="D279" s="42">
        <v>0.5</v>
      </c>
      <c r="E279" s="43"/>
      <c r="F279" s="8" t="s">
        <v>1302</v>
      </c>
      <c r="G279" s="2">
        <v>3</v>
      </c>
      <c r="H279" s="2">
        <v>9</v>
      </c>
      <c r="I279" s="125">
        <v>1100</v>
      </c>
      <c r="J279" s="2" t="s">
        <v>766</v>
      </c>
      <c r="K279" s="109" t="s">
        <v>767</v>
      </c>
      <c r="L279" s="90">
        <v>40000</v>
      </c>
      <c r="M279" s="64">
        <v>40</v>
      </c>
      <c r="N279" s="39" t="s">
        <v>48</v>
      </c>
      <c r="O279" s="39" t="s">
        <v>49</v>
      </c>
      <c r="P279" s="135" t="s">
        <v>848</v>
      </c>
      <c r="Q279" s="19">
        <v>135</v>
      </c>
      <c r="R279" s="15">
        <f>Q279/I279</f>
        <v>0.12272727272727273</v>
      </c>
      <c r="S279" s="5">
        <f>($AC279*$AD279)/(($Z279/$Y279)+($AA279/$Z279)+($AB279/$AA279))</f>
        <v>102.59605399792316</v>
      </c>
      <c r="U279" s="109" t="s">
        <v>767</v>
      </c>
      <c r="V279" s="2" t="s">
        <v>738</v>
      </c>
      <c r="W279" s="205"/>
      <c r="Y279" s="2">
        <v>2</v>
      </c>
      <c r="Z279" s="2">
        <v>5</v>
      </c>
      <c r="AA279" s="2">
        <v>13</v>
      </c>
      <c r="AB279" s="2">
        <v>30</v>
      </c>
      <c r="AC279" s="2">
        <v>40</v>
      </c>
      <c r="AD279" s="2">
        <v>19</v>
      </c>
      <c r="AE279" s="2">
        <f>AC279*AD279</f>
        <v>760</v>
      </c>
      <c r="AF279" s="2">
        <f>Z279/Y279</f>
        <v>2.5</v>
      </c>
      <c r="AG279" s="2">
        <f>AA279/Z279</f>
        <v>2.6</v>
      </c>
      <c r="AH279" s="2">
        <f>AB279/AA279</f>
        <v>2.3076923076923075</v>
      </c>
    </row>
    <row r="280" spans="1:34">
      <c r="A280" s="52" t="s">
        <v>220</v>
      </c>
      <c r="B280" s="52" t="s">
        <v>221</v>
      </c>
      <c r="C280" s="48">
        <v>46175</v>
      </c>
      <c r="D280" s="42">
        <v>0.5</v>
      </c>
      <c r="E280" s="43"/>
      <c r="F280" s="8" t="s">
        <v>1039</v>
      </c>
      <c r="G280" s="2">
        <v>2</v>
      </c>
      <c r="H280" s="2">
        <v>6</v>
      </c>
      <c r="I280" s="125">
        <v>1600</v>
      </c>
      <c r="J280" s="2" t="s">
        <v>766</v>
      </c>
      <c r="K280" s="88" t="s">
        <v>793</v>
      </c>
      <c r="L280" s="90">
        <v>40000</v>
      </c>
      <c r="M280" s="64" t="s">
        <v>97</v>
      </c>
      <c r="N280" s="39" t="s">
        <v>48</v>
      </c>
      <c r="O280" s="39" t="s">
        <v>123</v>
      </c>
      <c r="P280" s="63">
        <v>100000</v>
      </c>
      <c r="Q280" s="2">
        <v>135</v>
      </c>
      <c r="R280" s="15">
        <f>Q280/I280</f>
        <v>8.4375000000000006E-2</v>
      </c>
      <c r="S280" s="149" t="s">
        <v>110</v>
      </c>
      <c r="T280" s="149"/>
      <c r="U280" s="109" t="s">
        <v>767</v>
      </c>
      <c r="V280" s="2" t="s">
        <v>738</v>
      </c>
      <c r="W280" s="205"/>
      <c r="AE280" s="2">
        <f>AC280*AD280</f>
        <v>0</v>
      </c>
      <c r="AF280" s="2" t="e">
        <f>Z280/Y280</f>
        <v>#DIV/0!</v>
      </c>
      <c r="AG280" s="2" t="e">
        <f>AA280/Z280</f>
        <v>#DIV/0!</v>
      </c>
      <c r="AH280" s="2" t="e">
        <f>AB280/AA280</f>
        <v>#DIV/0!</v>
      </c>
    </row>
    <row r="281" spans="1:34">
      <c r="A281" s="165" t="s">
        <v>1383</v>
      </c>
      <c r="B281" s="36" t="s">
        <v>63</v>
      </c>
      <c r="C281" s="192">
        <v>46175</v>
      </c>
      <c r="D281" s="144">
        <v>0.54166666666666663</v>
      </c>
      <c r="E281" s="194">
        <v>14</v>
      </c>
      <c r="F281" s="8" t="s">
        <v>1310</v>
      </c>
      <c r="G281" s="2">
        <v>3</v>
      </c>
      <c r="H281" s="2">
        <v>8</v>
      </c>
      <c r="I281" s="37">
        <v>1500</v>
      </c>
      <c r="J281" s="2" t="s">
        <v>762</v>
      </c>
      <c r="K281" s="109" t="s">
        <v>598</v>
      </c>
      <c r="L281" s="89">
        <v>25000</v>
      </c>
      <c r="M281" s="202" t="s">
        <v>97</v>
      </c>
      <c r="N281" s="39" t="s">
        <v>48</v>
      </c>
      <c r="O281" s="39" t="s">
        <v>875</v>
      </c>
      <c r="P281" s="213"/>
      <c r="Q281" s="38">
        <f>R281*I281</f>
        <v>172.5</v>
      </c>
      <c r="R281" s="15">
        <v>0.115</v>
      </c>
      <c r="S281" s="149" t="s">
        <v>110</v>
      </c>
      <c r="T281" s="149"/>
      <c r="U281" s="109" t="s">
        <v>767</v>
      </c>
      <c r="V281" s="205" t="s">
        <v>121</v>
      </c>
      <c r="W281" s="205"/>
      <c r="AE281" s="2" t="e">
        <f>AD281*#REF!</f>
        <v>#REF!</v>
      </c>
      <c r="AF281" s="2" t="e">
        <f>Z281/Y281</f>
        <v>#DIV/0!</v>
      </c>
      <c r="AG281" s="2" t="e">
        <f>AA281/Z281</f>
        <v>#DIV/0!</v>
      </c>
      <c r="AH281" s="2" t="e">
        <f>AC281/AA281</f>
        <v>#DIV/0!</v>
      </c>
    </row>
    <row r="282" spans="1:34">
      <c r="A282" s="165" t="s">
        <v>1383</v>
      </c>
      <c r="B282" s="39" t="s">
        <v>63</v>
      </c>
      <c r="C282" s="192">
        <v>46175</v>
      </c>
      <c r="D282" s="144">
        <v>0.54166666666666663</v>
      </c>
      <c r="E282" s="194"/>
      <c r="F282" s="8" t="s">
        <v>881</v>
      </c>
      <c r="G282" s="2">
        <v>1</v>
      </c>
      <c r="H282" s="2">
        <v>9</v>
      </c>
      <c r="I282" s="37">
        <v>250</v>
      </c>
      <c r="J282" s="2" t="s">
        <v>766</v>
      </c>
      <c r="K282" s="88" t="s">
        <v>787</v>
      </c>
      <c r="L282" s="89">
        <v>25000</v>
      </c>
      <c r="M282" s="205">
        <v>30</v>
      </c>
      <c r="N282" s="39" t="s">
        <v>817</v>
      </c>
      <c r="O282" s="39" t="s">
        <v>49</v>
      </c>
      <c r="P282" s="210"/>
      <c r="Q282" s="19">
        <v>50</v>
      </c>
      <c r="R282" s="15">
        <f>Q282/I282</f>
        <v>0.2</v>
      </c>
      <c r="S282" s="5">
        <v>44</v>
      </c>
      <c r="U282" s="109" t="s">
        <v>767</v>
      </c>
      <c r="V282" s="71" t="s">
        <v>360</v>
      </c>
      <c r="W282" s="205"/>
      <c r="Y282" s="175"/>
      <c r="Z282" s="175"/>
      <c r="AA282" s="175"/>
      <c r="AB282" s="175"/>
      <c r="AC282" s="175"/>
      <c r="AD282" s="175"/>
      <c r="AE282" s="175"/>
      <c r="AF282" s="175"/>
      <c r="AG282" s="175"/>
      <c r="AH282" s="175"/>
    </row>
    <row r="283" spans="1:34" s="70" customFormat="1" ht="10.8" customHeight="1">
      <c r="A283" s="96" t="s">
        <v>461</v>
      </c>
      <c r="B283" s="96" t="s">
        <v>462</v>
      </c>
      <c r="C283" s="192">
        <v>46175</v>
      </c>
      <c r="D283" s="42">
        <v>0.59027777777777779</v>
      </c>
      <c r="E283" s="43"/>
      <c r="F283" s="8" t="s">
        <v>276</v>
      </c>
      <c r="G283" s="2">
        <v>1</v>
      </c>
      <c r="H283" s="2"/>
      <c r="I283" s="125">
        <v>120</v>
      </c>
      <c r="J283" s="2" t="s">
        <v>766</v>
      </c>
      <c r="K283" s="109" t="s">
        <v>602</v>
      </c>
      <c r="L283" s="8">
        <v>15000</v>
      </c>
      <c r="M283" s="54">
        <v>20</v>
      </c>
      <c r="N283" s="39" t="s">
        <v>48</v>
      </c>
      <c r="O283" s="39" t="s">
        <v>451</v>
      </c>
      <c r="P283" s="63">
        <v>6000</v>
      </c>
      <c r="Q283" s="2">
        <v>24</v>
      </c>
      <c r="R283" s="15">
        <f>Q283/I283</f>
        <v>0.2</v>
      </c>
      <c r="S283" s="149" t="s">
        <v>110</v>
      </c>
      <c r="T283" s="149"/>
      <c r="U283" s="109" t="s">
        <v>767</v>
      </c>
      <c r="V283" s="10" t="s">
        <v>735</v>
      </c>
      <c r="W283" s="2"/>
      <c r="X283" s="2"/>
      <c r="Y283" s="2"/>
      <c r="Z283" s="2"/>
      <c r="AA283" s="2"/>
      <c r="AB283" s="2"/>
      <c r="AC283" s="2"/>
      <c r="AD283" s="2"/>
      <c r="AE283" s="2">
        <f>AC283*AD283</f>
        <v>0</v>
      </c>
      <c r="AF283" s="2" t="e">
        <f>Z283/Y283</f>
        <v>#DIV/0!</v>
      </c>
      <c r="AG283" s="2" t="e">
        <f>AA283/Z283</f>
        <v>#DIV/0!</v>
      </c>
      <c r="AH283" s="2" t="e">
        <f>AB283/AA283</f>
        <v>#DIV/0!</v>
      </c>
    </row>
    <row r="284" spans="1:34" s="70" customFormat="1">
      <c r="A284" s="165" t="s">
        <v>1383</v>
      </c>
      <c r="B284" s="39" t="s">
        <v>63</v>
      </c>
      <c r="C284" s="192">
        <v>46175</v>
      </c>
      <c r="D284" s="144">
        <v>0.625</v>
      </c>
      <c r="E284" s="43"/>
      <c r="F284" s="8" t="s">
        <v>912</v>
      </c>
      <c r="G284" s="2">
        <v>1</v>
      </c>
      <c r="H284" s="2">
        <v>9</v>
      </c>
      <c r="I284" s="37">
        <v>240</v>
      </c>
      <c r="J284" s="2" t="s">
        <v>766</v>
      </c>
      <c r="K284" s="88" t="s">
        <v>784</v>
      </c>
      <c r="L284" s="89">
        <v>10000</v>
      </c>
      <c r="M284" s="202">
        <v>20</v>
      </c>
      <c r="N284" s="132" t="s">
        <v>821</v>
      </c>
      <c r="O284" s="39" t="s">
        <v>49</v>
      </c>
      <c r="P284" s="129"/>
      <c r="Q284" s="19">
        <v>40</v>
      </c>
      <c r="R284" s="15">
        <v>0.16666666666666666</v>
      </c>
      <c r="S284" s="5">
        <v>29</v>
      </c>
      <c r="T284" s="5"/>
      <c r="U284" s="109" t="s">
        <v>767</v>
      </c>
      <c r="V284" s="21" t="s">
        <v>362</v>
      </c>
      <c r="W284" s="8" t="s">
        <v>367</v>
      </c>
      <c r="X284" s="2"/>
      <c r="Y284" s="175"/>
      <c r="Z284" s="175"/>
      <c r="AA284" s="175"/>
      <c r="AB284" s="175"/>
      <c r="AC284" s="175"/>
      <c r="AD284" s="175"/>
      <c r="AE284" s="175"/>
      <c r="AF284" s="175"/>
      <c r="AG284" s="175"/>
      <c r="AH284" s="175"/>
    </row>
    <row r="285" spans="1:34">
      <c r="A285" s="165" t="s">
        <v>1383</v>
      </c>
      <c r="B285" s="39" t="s">
        <v>63</v>
      </c>
      <c r="C285" s="192">
        <v>46175</v>
      </c>
      <c r="D285" s="144">
        <v>0.625</v>
      </c>
      <c r="E285" s="194"/>
      <c r="F285" s="8" t="s">
        <v>127</v>
      </c>
      <c r="G285" s="2">
        <v>1</v>
      </c>
      <c r="I285" s="37">
        <v>250</v>
      </c>
      <c r="J285" s="2" t="s">
        <v>766</v>
      </c>
      <c r="K285" s="88" t="s">
        <v>785</v>
      </c>
      <c r="L285" s="89">
        <v>25000</v>
      </c>
      <c r="M285" s="232" t="s">
        <v>128</v>
      </c>
      <c r="N285" s="39" t="s">
        <v>818</v>
      </c>
      <c r="O285" s="39" t="s">
        <v>122</v>
      </c>
      <c r="P285" s="213"/>
      <c r="Q285" s="2">
        <v>50</v>
      </c>
      <c r="R285" s="15">
        <f>Q285/I285</f>
        <v>0.2</v>
      </c>
      <c r="S285" s="149" t="s">
        <v>110</v>
      </c>
      <c r="T285" s="149"/>
      <c r="U285" s="109" t="s">
        <v>767</v>
      </c>
      <c r="V285" s="71" t="s">
        <v>360</v>
      </c>
      <c r="W285" s="205"/>
      <c r="AE285" s="2" t="e">
        <f>AD285*#REF!</f>
        <v>#REF!</v>
      </c>
      <c r="AF285" s="2" t="e">
        <f>Z285/Y285</f>
        <v>#DIV/0!</v>
      </c>
      <c r="AG285" s="2" t="e">
        <f>AA285/Z285</f>
        <v>#DIV/0!</v>
      </c>
      <c r="AH285" s="2" t="e">
        <f>AC285/AA285</f>
        <v>#DIV/0!</v>
      </c>
    </row>
    <row r="286" spans="1:34">
      <c r="A286" s="165" t="s">
        <v>1383</v>
      </c>
      <c r="B286" s="39" t="s">
        <v>63</v>
      </c>
      <c r="C286" s="192">
        <v>46175</v>
      </c>
      <c r="D286" s="144">
        <v>0.66666666666666663</v>
      </c>
      <c r="E286" s="194"/>
      <c r="F286" s="8" t="s">
        <v>1024</v>
      </c>
      <c r="G286" s="2">
        <v>1</v>
      </c>
      <c r="H286" s="2">
        <v>9</v>
      </c>
      <c r="I286" s="37">
        <v>400</v>
      </c>
      <c r="J286" s="2" t="s">
        <v>766</v>
      </c>
      <c r="K286" s="88" t="s">
        <v>794</v>
      </c>
      <c r="L286" s="89">
        <v>30000</v>
      </c>
      <c r="M286" s="205">
        <v>20</v>
      </c>
      <c r="N286" s="39" t="s">
        <v>817</v>
      </c>
      <c r="O286" s="39" t="s">
        <v>49</v>
      </c>
      <c r="Q286" s="19">
        <v>70</v>
      </c>
      <c r="R286" s="15">
        <f>Q286/I286</f>
        <v>0.17499999999999999</v>
      </c>
      <c r="S286" s="5">
        <v>37</v>
      </c>
      <c r="U286" s="109" t="s">
        <v>129</v>
      </c>
      <c r="V286" s="71" t="s">
        <v>360</v>
      </c>
      <c r="W286" s="205"/>
      <c r="Y286" s="175"/>
      <c r="Z286" s="175"/>
      <c r="AA286" s="175"/>
      <c r="AB286" s="175"/>
      <c r="AC286" s="175"/>
      <c r="AD286" s="175"/>
      <c r="AE286" s="175"/>
      <c r="AF286" s="175"/>
      <c r="AG286" s="175"/>
      <c r="AH286" s="175"/>
    </row>
    <row r="287" spans="1:34">
      <c r="A287" s="52" t="s">
        <v>229</v>
      </c>
      <c r="B287" s="52" t="s">
        <v>230</v>
      </c>
      <c r="C287" s="40">
        <v>46175</v>
      </c>
      <c r="D287" s="42">
        <v>0.66666666666666663</v>
      </c>
      <c r="E287" s="43"/>
      <c r="F287" s="8" t="s">
        <v>123</v>
      </c>
      <c r="G287" s="2">
        <v>1</v>
      </c>
      <c r="I287" s="125">
        <v>240</v>
      </c>
      <c r="J287" s="2" t="s">
        <v>766</v>
      </c>
      <c r="K287" s="88" t="s">
        <v>795</v>
      </c>
      <c r="L287" s="90">
        <v>30000</v>
      </c>
      <c r="M287" s="8">
        <v>20</v>
      </c>
      <c r="N287" s="39" t="s">
        <v>48</v>
      </c>
      <c r="O287" s="39" t="s">
        <v>123</v>
      </c>
      <c r="P287" s="19">
        <v>10000</v>
      </c>
      <c r="Q287" s="2">
        <v>40</v>
      </c>
      <c r="R287" s="15">
        <f>IF(Q287&gt;0,Q287/I287,"")</f>
        <v>0.16666666666666666</v>
      </c>
      <c r="S287" s="149" t="s">
        <v>110</v>
      </c>
      <c r="T287" s="149"/>
      <c r="U287" s="109" t="s">
        <v>767</v>
      </c>
      <c r="V287" s="205" t="s">
        <v>719</v>
      </c>
      <c r="W287" s="205"/>
      <c r="AE287" s="2">
        <f>AC287*AD287</f>
        <v>0</v>
      </c>
      <c r="AF287" s="2" t="e">
        <f>Z287/Y287</f>
        <v>#DIV/0!</v>
      </c>
      <c r="AG287" s="2" t="e">
        <f>AA287/Z287</f>
        <v>#DIV/0!</v>
      </c>
      <c r="AH287" s="2" t="e">
        <f>AB287/AA287</f>
        <v>#DIV/0!</v>
      </c>
    </row>
    <row r="288" spans="1:34">
      <c r="A288" s="165" t="s">
        <v>1383</v>
      </c>
      <c r="B288" s="39" t="s">
        <v>63</v>
      </c>
      <c r="C288" s="40">
        <v>46175</v>
      </c>
      <c r="D288" s="144">
        <v>0.75</v>
      </c>
      <c r="E288" s="43"/>
      <c r="F288" s="194" t="s">
        <v>132</v>
      </c>
      <c r="G288" s="2">
        <v>1</v>
      </c>
      <c r="I288" s="125">
        <v>2750</v>
      </c>
      <c r="J288" s="2" t="s">
        <v>766</v>
      </c>
      <c r="K288" s="88" t="s">
        <v>796</v>
      </c>
      <c r="L288" s="90">
        <v>20000</v>
      </c>
      <c r="M288" s="8">
        <v>20</v>
      </c>
      <c r="N288" s="132" t="s">
        <v>821</v>
      </c>
      <c r="O288" s="39" t="s">
        <v>49</v>
      </c>
      <c r="Q288" s="19">
        <v>250</v>
      </c>
      <c r="R288" s="15">
        <f>Q288/I288</f>
        <v>9.0909090909090912E-2</v>
      </c>
      <c r="S288" s="5">
        <v>35</v>
      </c>
      <c r="U288" s="109" t="s">
        <v>767</v>
      </c>
      <c r="V288" s="71" t="s">
        <v>362</v>
      </c>
      <c r="W288" s="8" t="s">
        <v>142</v>
      </c>
      <c r="Y288" s="175"/>
      <c r="Z288" s="175"/>
      <c r="AA288" s="175"/>
      <c r="AB288" s="175"/>
      <c r="AC288" s="175"/>
      <c r="AD288" s="175"/>
      <c r="AE288" s="175"/>
      <c r="AF288" s="175"/>
      <c r="AG288" s="175"/>
      <c r="AH288" s="175"/>
    </row>
    <row r="289" spans="1:34">
      <c r="A289" s="52" t="s">
        <v>229</v>
      </c>
      <c r="B289" s="52" t="s">
        <v>230</v>
      </c>
      <c r="C289" s="40">
        <v>46175</v>
      </c>
      <c r="D289" s="42">
        <v>0.75</v>
      </c>
      <c r="E289" s="43"/>
      <c r="F289" s="194" t="s">
        <v>244</v>
      </c>
      <c r="G289" s="2">
        <v>1</v>
      </c>
      <c r="I289" s="125">
        <v>200</v>
      </c>
      <c r="J289" s="2" t="s">
        <v>766</v>
      </c>
      <c r="K289" s="88" t="s">
        <v>804</v>
      </c>
      <c r="L289" s="90">
        <v>30000</v>
      </c>
      <c r="M289" s="8">
        <v>20</v>
      </c>
      <c r="N289" s="39" t="s">
        <v>48</v>
      </c>
      <c r="O289" s="39" t="s">
        <v>49</v>
      </c>
      <c r="P289" s="135" t="s">
        <v>832</v>
      </c>
      <c r="Q289" s="19">
        <v>40</v>
      </c>
      <c r="R289" s="15">
        <f>IF(Q289&gt;0,Q289/I289,"")</f>
        <v>0.2</v>
      </c>
      <c r="S289" s="5">
        <f>($AC289*$AD289)/(($Z289/$Y289)+($AA289/$Z289)+($AB289/$AA289))</f>
        <v>35.555555555555557</v>
      </c>
      <c r="U289" s="109" t="s">
        <v>767</v>
      </c>
      <c r="V289" s="205" t="s">
        <v>719</v>
      </c>
      <c r="W289" s="205"/>
      <c r="Y289" s="2">
        <v>2</v>
      </c>
      <c r="Z289" s="2">
        <v>5</v>
      </c>
      <c r="AA289" s="2">
        <v>20</v>
      </c>
      <c r="AB289" s="2">
        <v>50</v>
      </c>
      <c r="AC289" s="2">
        <v>20</v>
      </c>
      <c r="AD289" s="2">
        <v>16</v>
      </c>
      <c r="AE289" s="2">
        <f>AC289*AD289</f>
        <v>320</v>
      </c>
      <c r="AF289" s="2">
        <f>Z289/Y289</f>
        <v>2.5</v>
      </c>
      <c r="AG289" s="2">
        <f>AA289/Z289</f>
        <v>4</v>
      </c>
      <c r="AH289" s="2">
        <f>AB289/AA289</f>
        <v>2.5</v>
      </c>
    </row>
    <row r="290" spans="1:34" s="70" customFormat="1">
      <c r="A290" s="52" t="s">
        <v>220</v>
      </c>
      <c r="B290" s="52" t="s">
        <v>221</v>
      </c>
      <c r="C290" s="48">
        <v>46175</v>
      </c>
      <c r="D290" s="42">
        <v>0.75</v>
      </c>
      <c r="E290" s="43"/>
      <c r="F290" s="194" t="s">
        <v>1042</v>
      </c>
      <c r="G290" s="2">
        <v>2</v>
      </c>
      <c r="H290" s="2">
        <v>9</v>
      </c>
      <c r="I290" s="125">
        <v>1100</v>
      </c>
      <c r="J290" s="2" t="s">
        <v>766</v>
      </c>
      <c r="K290" s="88" t="s">
        <v>799</v>
      </c>
      <c r="L290" s="90">
        <v>40000</v>
      </c>
      <c r="M290" s="64" t="s">
        <v>113</v>
      </c>
      <c r="N290" s="39" t="s">
        <v>48</v>
      </c>
      <c r="O290" s="39" t="s">
        <v>49</v>
      </c>
      <c r="P290" s="135" t="s">
        <v>847</v>
      </c>
      <c r="Q290" s="19">
        <v>135</v>
      </c>
      <c r="R290" s="15">
        <f>Q290/I290</f>
        <v>0.12272727272727273</v>
      </c>
      <c r="S290" s="5">
        <f>($AC290*$AD290)/(($Z290/$Y290)+($AA290/$Z290)+($AB290/$AA290))</f>
        <v>44.081632653061227</v>
      </c>
      <c r="T290" s="5"/>
      <c r="U290" s="109" t="s">
        <v>129</v>
      </c>
      <c r="V290" s="205" t="s">
        <v>738</v>
      </c>
      <c r="W290" s="205"/>
      <c r="X290" s="2"/>
      <c r="Y290" s="2">
        <v>2</v>
      </c>
      <c r="Z290" s="2">
        <v>5</v>
      </c>
      <c r="AA290" s="2">
        <v>15</v>
      </c>
      <c r="AB290" s="2">
        <v>40</v>
      </c>
      <c r="AC290" s="2">
        <v>18</v>
      </c>
      <c r="AD290" s="2">
        <v>20</v>
      </c>
      <c r="AE290" s="2">
        <f>AC290*AD290</f>
        <v>360</v>
      </c>
      <c r="AF290" s="2">
        <f>Z290/Y290</f>
        <v>2.5</v>
      </c>
      <c r="AG290" s="2">
        <f>AA290/Z290</f>
        <v>3</v>
      </c>
      <c r="AH290" s="2">
        <f>AB290/AA290</f>
        <v>2.6666666666666665</v>
      </c>
    </row>
    <row r="291" spans="1:34">
      <c r="A291" s="96" t="s">
        <v>461</v>
      </c>
      <c r="B291" s="96" t="s">
        <v>462</v>
      </c>
      <c r="C291" s="192">
        <v>46175</v>
      </c>
      <c r="D291" s="42">
        <v>0.75694444444444442</v>
      </c>
      <c r="E291" s="43"/>
      <c r="F291" s="194" t="s">
        <v>470</v>
      </c>
      <c r="G291" s="2">
        <v>2</v>
      </c>
      <c r="I291" s="125">
        <v>300</v>
      </c>
      <c r="J291" s="2" t="s">
        <v>766</v>
      </c>
      <c r="K291" s="109" t="s">
        <v>598</v>
      </c>
      <c r="L291" s="8">
        <v>30000</v>
      </c>
      <c r="M291" s="202">
        <v>30</v>
      </c>
      <c r="N291" s="39" t="s">
        <v>48</v>
      </c>
      <c r="O291" s="39" t="s">
        <v>49</v>
      </c>
      <c r="P291" s="135" t="s">
        <v>842</v>
      </c>
      <c r="Q291" s="19">
        <v>65</v>
      </c>
      <c r="R291" s="15">
        <f>Q291/I291</f>
        <v>0.21666666666666667</v>
      </c>
      <c r="S291" s="5">
        <f>($AC291*$AD291)/(($Z291/$Y291)+($AA291/$Z291)+($AB291/$AA291))</f>
        <v>53.333333333333336</v>
      </c>
      <c r="U291" s="109" t="s">
        <v>767</v>
      </c>
      <c r="V291" s="205" t="s">
        <v>735</v>
      </c>
      <c r="W291" s="205"/>
      <c r="Y291" s="2">
        <v>2</v>
      </c>
      <c r="Z291" s="2">
        <v>5</v>
      </c>
      <c r="AA291" s="2">
        <v>20</v>
      </c>
      <c r="AB291" s="2">
        <v>50</v>
      </c>
      <c r="AC291" s="2">
        <v>16</v>
      </c>
      <c r="AD291" s="2">
        <v>30</v>
      </c>
      <c r="AE291" s="2">
        <f>AC291*AD291</f>
        <v>480</v>
      </c>
      <c r="AF291" s="2">
        <f>Z291/Y291</f>
        <v>2.5</v>
      </c>
      <c r="AG291" s="2">
        <f>AA291/Z291</f>
        <v>4</v>
      </c>
      <c r="AH291" s="2">
        <f>AB291/AA291</f>
        <v>2.5</v>
      </c>
    </row>
    <row r="292" spans="1:34">
      <c r="A292" s="68" t="s">
        <v>357</v>
      </c>
      <c r="B292" s="68" t="s">
        <v>358</v>
      </c>
      <c r="C292" s="48">
        <v>46175</v>
      </c>
      <c r="D292" s="42">
        <v>0.75694444444444442</v>
      </c>
      <c r="E292" s="194">
        <v>33</v>
      </c>
      <c r="F292" s="197" t="s">
        <v>290</v>
      </c>
      <c r="G292" s="2">
        <v>1</v>
      </c>
      <c r="H292" s="2">
        <v>9</v>
      </c>
      <c r="I292" s="125">
        <v>600</v>
      </c>
      <c r="J292" s="2" t="s">
        <v>766</v>
      </c>
      <c r="K292" s="137" t="s">
        <v>602</v>
      </c>
      <c r="L292" s="89">
        <v>25000</v>
      </c>
      <c r="M292" s="202">
        <v>30</v>
      </c>
      <c r="N292" s="39" t="s">
        <v>48</v>
      </c>
      <c r="O292" s="39" t="s">
        <v>49</v>
      </c>
      <c r="P292" s="212" t="s">
        <v>836</v>
      </c>
      <c r="Q292" s="19">
        <v>80</v>
      </c>
      <c r="R292" s="15">
        <f>Q292/I292</f>
        <v>0.13333333333333333</v>
      </c>
      <c r="S292" s="5">
        <f>($AC292*$AD292)/(($Z292/$Y292)+($AA292/$Z292)+($AB292/$AA292))</f>
        <v>55.03292568203198</v>
      </c>
      <c r="U292" s="109" t="s">
        <v>219</v>
      </c>
      <c r="V292" s="205" t="s">
        <v>662</v>
      </c>
      <c r="W292" s="220" t="s">
        <v>389</v>
      </c>
      <c r="Y292" s="2">
        <v>2.5</v>
      </c>
      <c r="Z292" s="2">
        <v>6.5</v>
      </c>
      <c r="AA292" s="2">
        <v>20</v>
      </c>
      <c r="AB292" s="2">
        <v>50</v>
      </c>
      <c r="AC292" s="2">
        <v>30</v>
      </c>
      <c r="AD292" s="2">
        <v>15</v>
      </c>
      <c r="AE292" s="2">
        <f>AC292*AD292</f>
        <v>450</v>
      </c>
      <c r="AF292" s="2">
        <f>Z292/Y292</f>
        <v>2.6</v>
      </c>
      <c r="AG292" s="2">
        <f>AA292/Z292</f>
        <v>3.0769230769230771</v>
      </c>
      <c r="AH292" s="2">
        <f>AB292/AA292</f>
        <v>2.5</v>
      </c>
    </row>
    <row r="293" spans="1:34">
      <c r="A293" s="95" t="s">
        <v>447</v>
      </c>
      <c r="B293" s="95" t="s">
        <v>448</v>
      </c>
      <c r="C293" s="40">
        <v>46175</v>
      </c>
      <c r="D293" s="42">
        <v>0.79166666666666663</v>
      </c>
      <c r="E293" s="43"/>
      <c r="F293" s="194" t="s">
        <v>403</v>
      </c>
      <c r="G293" s="2">
        <v>1</v>
      </c>
      <c r="H293" s="2">
        <v>9</v>
      </c>
      <c r="I293" s="125">
        <v>300</v>
      </c>
      <c r="J293" s="2" t="s">
        <v>766</v>
      </c>
      <c r="K293" s="109" t="s">
        <v>602</v>
      </c>
      <c r="L293" s="8">
        <v>25000</v>
      </c>
      <c r="M293" s="8">
        <v>25</v>
      </c>
      <c r="N293" s="39" t="s">
        <v>48</v>
      </c>
      <c r="O293" s="39" t="s">
        <v>49</v>
      </c>
      <c r="P293" s="212" t="s">
        <v>834</v>
      </c>
      <c r="Q293" s="19">
        <v>50</v>
      </c>
      <c r="R293" s="15">
        <f>Q293/I293</f>
        <v>0.16666666666666666</v>
      </c>
      <c r="S293" s="5">
        <f>($AC293*$AD293)/(($Z293/$Y293)+($AA293/$Z293)+($AB293/$AA293))</f>
        <v>37.5</v>
      </c>
      <c r="U293" s="109" t="s">
        <v>767</v>
      </c>
      <c r="V293" s="205" t="s">
        <v>741</v>
      </c>
      <c r="Y293" s="2">
        <v>2.5</v>
      </c>
      <c r="Z293" s="2">
        <v>7.5</v>
      </c>
      <c r="AA293" s="2">
        <v>25</v>
      </c>
      <c r="AB293" s="2">
        <v>75</v>
      </c>
      <c r="AC293" s="2">
        <v>14</v>
      </c>
      <c r="AD293" s="2">
        <v>25</v>
      </c>
      <c r="AE293" s="2">
        <f>AC293*AD293</f>
        <v>350</v>
      </c>
      <c r="AF293" s="2">
        <f>Z293/Y293</f>
        <v>3</v>
      </c>
      <c r="AG293" s="2">
        <f>AA293/Z293</f>
        <v>3.3333333333333335</v>
      </c>
      <c r="AH293" s="2">
        <f>AB293/AA293</f>
        <v>3</v>
      </c>
    </row>
    <row r="294" spans="1:34">
      <c r="A294" s="165" t="s">
        <v>1383</v>
      </c>
      <c r="B294" s="39" t="s">
        <v>63</v>
      </c>
      <c r="C294" s="192">
        <v>46175</v>
      </c>
      <c r="D294" s="144">
        <v>0.79166666666666663</v>
      </c>
      <c r="E294" s="43"/>
      <c r="F294" s="8" t="s">
        <v>917</v>
      </c>
      <c r="G294" s="2">
        <v>1</v>
      </c>
      <c r="H294" s="2">
        <v>9</v>
      </c>
      <c r="I294" s="57">
        <v>585</v>
      </c>
      <c r="J294" s="2" t="s">
        <v>766</v>
      </c>
      <c r="K294" s="88" t="s">
        <v>800</v>
      </c>
      <c r="L294" s="89">
        <v>10000</v>
      </c>
      <c r="M294" s="202">
        <v>20</v>
      </c>
      <c r="N294" s="132" t="s">
        <v>821</v>
      </c>
      <c r="O294" s="39" t="s">
        <v>49</v>
      </c>
      <c r="P294" s="210"/>
      <c r="Q294" s="19">
        <v>89</v>
      </c>
      <c r="R294" s="59">
        <f>Q294/I294</f>
        <v>0.15213675213675212</v>
      </c>
      <c r="S294" s="5">
        <v>29</v>
      </c>
      <c r="U294" s="109" t="s">
        <v>767</v>
      </c>
      <c r="V294" s="83" t="s">
        <v>362</v>
      </c>
      <c r="W294" s="8" t="s">
        <v>368</v>
      </c>
      <c r="Y294" s="175"/>
      <c r="Z294" s="175"/>
      <c r="AA294" s="175"/>
      <c r="AB294" s="175"/>
      <c r="AC294" s="175"/>
      <c r="AD294" s="175"/>
      <c r="AE294" s="175"/>
      <c r="AF294" s="175"/>
      <c r="AG294" s="175"/>
      <c r="AH294" s="175"/>
    </row>
    <row r="295" spans="1:34">
      <c r="A295" s="165" t="s">
        <v>1383</v>
      </c>
      <c r="B295" s="39" t="s">
        <v>63</v>
      </c>
      <c r="C295" s="192">
        <v>46175</v>
      </c>
      <c r="D295" s="144">
        <v>0.83333333333333337</v>
      </c>
      <c r="E295" s="194"/>
      <c r="F295" s="8" t="s">
        <v>1023</v>
      </c>
      <c r="G295" s="2">
        <v>1</v>
      </c>
      <c r="H295" s="2">
        <v>9</v>
      </c>
      <c r="I295" s="37">
        <v>200</v>
      </c>
      <c r="J295" s="2" t="s">
        <v>766</v>
      </c>
      <c r="K295" s="88" t="s">
        <v>806</v>
      </c>
      <c r="L295" s="89">
        <v>20000</v>
      </c>
      <c r="M295" s="205">
        <v>20</v>
      </c>
      <c r="N295" s="39" t="s">
        <v>817</v>
      </c>
      <c r="O295" s="39" t="s">
        <v>49</v>
      </c>
      <c r="P295" s="210"/>
      <c r="Q295" s="19">
        <v>45</v>
      </c>
      <c r="R295" s="15">
        <f>Q295/I295</f>
        <v>0.22500000000000001</v>
      </c>
      <c r="S295" s="5">
        <v>23</v>
      </c>
      <c r="U295" s="109" t="s">
        <v>129</v>
      </c>
      <c r="V295" s="71" t="s">
        <v>360</v>
      </c>
      <c r="W295" s="205"/>
      <c r="Y295" s="175"/>
      <c r="Z295" s="175"/>
      <c r="AA295" s="175"/>
      <c r="AB295" s="175"/>
      <c r="AC295" s="175"/>
      <c r="AD295" s="175"/>
      <c r="AE295" s="175"/>
      <c r="AF295" s="175"/>
      <c r="AG295" s="175"/>
      <c r="AH295" s="175"/>
    </row>
    <row r="296" spans="1:34">
      <c r="A296" s="165" t="s">
        <v>1383</v>
      </c>
      <c r="B296" s="39" t="s">
        <v>63</v>
      </c>
      <c r="C296" s="192">
        <v>46175</v>
      </c>
      <c r="D296" s="144">
        <v>0.91666666666666663</v>
      </c>
      <c r="E296" s="43"/>
      <c r="F296" s="8" t="s">
        <v>909</v>
      </c>
      <c r="G296" s="2">
        <v>1</v>
      </c>
      <c r="H296" s="2">
        <v>9</v>
      </c>
      <c r="I296" s="37">
        <v>135</v>
      </c>
      <c r="J296" s="2" t="s">
        <v>766</v>
      </c>
      <c r="K296" s="88" t="s">
        <v>813</v>
      </c>
      <c r="L296" s="89">
        <v>10000</v>
      </c>
      <c r="M296" s="202">
        <v>15</v>
      </c>
      <c r="N296" s="132" t="s">
        <v>821</v>
      </c>
      <c r="O296" s="39" t="s">
        <v>49</v>
      </c>
      <c r="P296" s="210"/>
      <c r="Q296" s="19">
        <v>35</v>
      </c>
      <c r="R296" s="15">
        <f>Q296/I296</f>
        <v>0.25925925925925924</v>
      </c>
      <c r="S296" s="5">
        <v>22</v>
      </c>
      <c r="U296" s="109" t="s">
        <v>767</v>
      </c>
      <c r="V296" s="71" t="s">
        <v>362</v>
      </c>
      <c r="W296" s="8" t="s">
        <v>369</v>
      </c>
      <c r="Y296" s="175"/>
      <c r="Z296" s="175"/>
      <c r="AA296" s="175"/>
      <c r="AB296" s="175"/>
      <c r="AC296" s="175"/>
      <c r="AD296" s="175"/>
      <c r="AE296" s="175"/>
      <c r="AF296" s="175"/>
      <c r="AG296" s="175"/>
      <c r="AH296" s="175"/>
    </row>
    <row r="297" spans="1:34">
      <c r="A297" s="96" t="s">
        <v>461</v>
      </c>
      <c r="B297" s="96" t="s">
        <v>462</v>
      </c>
      <c r="C297" s="192">
        <v>46175</v>
      </c>
      <c r="D297" s="42">
        <v>0.92361111111111116</v>
      </c>
      <c r="E297" s="43"/>
      <c r="F297" s="8" t="s">
        <v>456</v>
      </c>
      <c r="G297" s="2">
        <v>1</v>
      </c>
      <c r="I297" s="125">
        <v>120</v>
      </c>
      <c r="J297" s="2" t="s">
        <v>766</v>
      </c>
      <c r="K297" s="109" t="s">
        <v>737</v>
      </c>
      <c r="L297" s="8">
        <v>20000</v>
      </c>
      <c r="M297" s="202">
        <v>15</v>
      </c>
      <c r="N297" s="39" t="s">
        <v>48</v>
      </c>
      <c r="O297" s="39" t="s">
        <v>49</v>
      </c>
      <c r="P297" s="135" t="s">
        <v>827</v>
      </c>
      <c r="Q297" s="19">
        <v>24</v>
      </c>
      <c r="R297" s="15">
        <f>Q297/I297</f>
        <v>0.2</v>
      </c>
      <c r="S297" s="5">
        <f>($AC297*$AD297)/(($Z297/$Y297)+($AA297/$Z297)+($AB297/$AA297))</f>
        <v>25.161290322580644</v>
      </c>
      <c r="U297" s="109" t="s">
        <v>463</v>
      </c>
      <c r="V297" s="10" t="s">
        <v>735</v>
      </c>
      <c r="W297" s="2" t="s">
        <v>464</v>
      </c>
      <c r="Y297" s="2">
        <v>2.5</v>
      </c>
      <c r="Z297" s="2">
        <v>7.5</v>
      </c>
      <c r="AA297" s="2">
        <v>30</v>
      </c>
      <c r="AB297" s="2">
        <v>100</v>
      </c>
      <c r="AC297" s="2">
        <v>13</v>
      </c>
      <c r="AD297" s="2">
        <v>20</v>
      </c>
      <c r="AE297" s="2">
        <f>AC297*AD297</f>
        <v>260</v>
      </c>
      <c r="AF297" s="2">
        <f>Z297/Y297</f>
        <v>3</v>
      </c>
      <c r="AG297" s="2">
        <f>AA297/Z297</f>
        <v>4</v>
      </c>
      <c r="AH297" s="2">
        <f>AB297/AA297</f>
        <v>3.3333333333333335</v>
      </c>
    </row>
    <row r="298" spans="1:34">
      <c r="A298" s="165" t="s">
        <v>1383</v>
      </c>
      <c r="B298" s="36" t="s">
        <v>63</v>
      </c>
      <c r="C298" s="192">
        <v>46175</v>
      </c>
      <c r="D298" s="144" t="s">
        <v>117</v>
      </c>
      <c r="E298" s="194">
        <v>15</v>
      </c>
      <c r="F298" s="8" t="s">
        <v>157</v>
      </c>
      <c r="G298" s="2">
        <v>2</v>
      </c>
      <c r="H298" s="2">
        <v>8</v>
      </c>
      <c r="I298" s="37">
        <v>600</v>
      </c>
      <c r="J298" s="2" t="s">
        <v>762</v>
      </c>
      <c r="K298" s="109" t="s">
        <v>601</v>
      </c>
      <c r="L298" s="89">
        <v>30000</v>
      </c>
      <c r="M298" s="202">
        <v>30</v>
      </c>
      <c r="N298" s="39" t="s">
        <v>48</v>
      </c>
      <c r="O298" s="39" t="s">
        <v>57</v>
      </c>
      <c r="P298" s="213"/>
      <c r="Q298" s="38">
        <f>R298*I298</f>
        <v>96</v>
      </c>
      <c r="R298" s="15">
        <v>0.16</v>
      </c>
      <c r="S298" s="149" t="s">
        <v>110</v>
      </c>
      <c r="T298" s="149"/>
      <c r="U298" s="109" t="s">
        <v>767</v>
      </c>
      <c r="V298" s="2" t="s">
        <v>121</v>
      </c>
      <c r="Y298" s="70"/>
      <c r="Z298" s="70"/>
      <c r="AA298" s="70"/>
      <c r="AC298" s="70"/>
      <c r="AD298" s="70"/>
      <c r="AE298" s="2" t="e">
        <f>AD298*#REF!</f>
        <v>#REF!</v>
      </c>
      <c r="AF298" s="2" t="e">
        <f>Z298/Y298</f>
        <v>#DIV/0!</v>
      </c>
      <c r="AG298" s="2" t="e">
        <f>AA298/Z298</f>
        <v>#DIV/0!</v>
      </c>
      <c r="AH298" s="2" t="e">
        <f>AC298/AA298</f>
        <v>#DIV/0!</v>
      </c>
    </row>
    <row r="299" spans="1:34" s="73" customFormat="1">
      <c r="A299" s="165" t="s">
        <v>1383</v>
      </c>
      <c r="B299" s="36" t="s">
        <v>63</v>
      </c>
      <c r="C299" s="192">
        <v>46175</v>
      </c>
      <c r="D299" s="144" t="s">
        <v>115</v>
      </c>
      <c r="E299" s="35">
        <v>11</v>
      </c>
      <c r="F299" s="8" t="s">
        <v>1241</v>
      </c>
      <c r="G299" s="2">
        <v>4</v>
      </c>
      <c r="H299" s="2">
        <v>9</v>
      </c>
      <c r="I299" s="37">
        <v>10000</v>
      </c>
      <c r="J299" s="2" t="s">
        <v>766</v>
      </c>
      <c r="K299" s="109" t="s">
        <v>601</v>
      </c>
      <c r="L299" s="89">
        <v>100000</v>
      </c>
      <c r="M299" s="202">
        <v>60</v>
      </c>
      <c r="N299" s="39" t="s">
        <v>48</v>
      </c>
      <c r="O299" s="39" t="s">
        <v>49</v>
      </c>
      <c r="P299" s="210"/>
      <c r="Q299" s="19">
        <f>R299*I299</f>
        <v>700.00000000000011</v>
      </c>
      <c r="R299" s="15">
        <v>7.0000000000000007E-2</v>
      </c>
      <c r="S299" s="5">
        <v>196</v>
      </c>
      <c r="T299" s="5"/>
      <c r="U299" s="109" t="s">
        <v>767</v>
      </c>
      <c r="V299" s="10" t="s">
        <v>121</v>
      </c>
      <c r="W299" s="2"/>
      <c r="X299" s="2"/>
      <c r="Y299" s="175"/>
      <c r="Z299" s="175"/>
      <c r="AA299" s="175"/>
      <c r="AB299" s="175"/>
      <c r="AC299" s="175"/>
      <c r="AD299" s="175"/>
      <c r="AE299" s="175"/>
      <c r="AF299" s="175"/>
      <c r="AG299" s="175"/>
      <c r="AH299" s="175"/>
    </row>
    <row r="300" spans="1:34" s="70" customFormat="1">
      <c r="A300" s="165" t="s">
        <v>1383</v>
      </c>
      <c r="B300" s="36" t="s">
        <v>63</v>
      </c>
      <c r="C300" s="192">
        <v>46175</v>
      </c>
      <c r="D300" s="144" t="s">
        <v>115</v>
      </c>
      <c r="E300" s="194">
        <v>16</v>
      </c>
      <c r="F300" s="8" t="s">
        <v>1031</v>
      </c>
      <c r="G300" s="2">
        <v>3</v>
      </c>
      <c r="H300" s="2">
        <v>9</v>
      </c>
      <c r="I300" s="37">
        <v>1700</v>
      </c>
      <c r="J300" s="2" t="s">
        <v>762</v>
      </c>
      <c r="K300" s="109" t="s">
        <v>601</v>
      </c>
      <c r="L300" s="89">
        <v>40000</v>
      </c>
      <c r="M300" s="202" t="s">
        <v>97</v>
      </c>
      <c r="N300" s="39" t="s">
        <v>48</v>
      </c>
      <c r="O300" s="39" t="s">
        <v>49</v>
      </c>
      <c r="P300" s="210"/>
      <c r="Q300" s="19">
        <f>R300*I300</f>
        <v>195.5</v>
      </c>
      <c r="R300" s="15">
        <v>0.115</v>
      </c>
      <c r="S300" s="5">
        <f>($AC300*$AD300)/(($Z300/$Y300)+($AA300/$Z300)+($AB300/$AA300))</f>
        <v>102.59605399792316</v>
      </c>
      <c r="T300" s="5"/>
      <c r="U300" s="109" t="s">
        <v>767</v>
      </c>
      <c r="V300" s="10" t="s">
        <v>121</v>
      </c>
      <c r="W300" s="205"/>
      <c r="X300" s="2"/>
      <c r="Y300" s="2">
        <v>2</v>
      </c>
      <c r="Z300" s="2">
        <v>5</v>
      </c>
      <c r="AA300" s="2">
        <v>13</v>
      </c>
      <c r="AB300" s="2">
        <v>30</v>
      </c>
      <c r="AC300" s="2">
        <v>19</v>
      </c>
      <c r="AD300" s="2">
        <v>40</v>
      </c>
      <c r="AE300" s="2">
        <f>AC300*AD300</f>
        <v>760</v>
      </c>
      <c r="AF300" s="2">
        <f>Z300/Y300</f>
        <v>2.5</v>
      </c>
      <c r="AG300" s="2">
        <f>AA300/Z300</f>
        <v>2.6</v>
      </c>
      <c r="AH300" s="2">
        <f>AB300/AA300</f>
        <v>2.3076923076923075</v>
      </c>
    </row>
    <row r="301" spans="1:34">
      <c r="A301" s="165" t="s">
        <v>1383</v>
      </c>
      <c r="B301" s="36" t="s">
        <v>63</v>
      </c>
      <c r="C301" s="192">
        <v>46175</v>
      </c>
      <c r="D301" s="144" t="s">
        <v>116</v>
      </c>
      <c r="E301" s="194">
        <v>17</v>
      </c>
      <c r="F301" s="8" t="s">
        <v>158</v>
      </c>
      <c r="G301" s="2">
        <v>3</v>
      </c>
      <c r="H301" s="2">
        <v>9</v>
      </c>
      <c r="I301" s="37">
        <v>10000</v>
      </c>
      <c r="J301" s="2" t="s">
        <v>762</v>
      </c>
      <c r="K301" s="109" t="s">
        <v>601</v>
      </c>
      <c r="L301" s="89">
        <v>60000</v>
      </c>
      <c r="M301" s="202" t="s">
        <v>112</v>
      </c>
      <c r="N301" s="39" t="s">
        <v>48</v>
      </c>
      <c r="O301" s="39" t="s">
        <v>872</v>
      </c>
      <c r="P301" s="213"/>
      <c r="Q301" s="38">
        <f>R301*I301</f>
        <v>700.00000000000011</v>
      </c>
      <c r="R301" s="15">
        <v>7.0000000000000007E-2</v>
      </c>
      <c r="S301" s="149" t="s">
        <v>110</v>
      </c>
      <c r="T301" s="149"/>
      <c r="U301" s="109" t="s">
        <v>767</v>
      </c>
      <c r="V301" s="205" t="s">
        <v>121</v>
      </c>
      <c r="AE301" s="2" t="e">
        <f>AD301*#REF!</f>
        <v>#REF!</v>
      </c>
      <c r="AF301" s="2" t="e">
        <f>Z301/Y301</f>
        <v>#DIV/0!</v>
      </c>
      <c r="AG301" s="2" t="e">
        <f>AA301/Z301</f>
        <v>#DIV/0!</v>
      </c>
      <c r="AH301" s="2" t="e">
        <f>AC301/AA301</f>
        <v>#DIV/0!</v>
      </c>
    </row>
    <row r="302" spans="1:34">
      <c r="A302" s="165" t="s">
        <v>1383</v>
      </c>
      <c r="B302" s="36" t="s">
        <v>63</v>
      </c>
      <c r="C302" s="225">
        <v>46175</v>
      </c>
      <c r="D302" s="144" t="s">
        <v>876</v>
      </c>
      <c r="E302" s="194">
        <v>12</v>
      </c>
      <c r="F302" s="8" t="s">
        <v>1313</v>
      </c>
      <c r="G302" s="2">
        <v>3</v>
      </c>
      <c r="H302" s="2">
        <v>7</v>
      </c>
      <c r="I302" s="37">
        <v>1500</v>
      </c>
      <c r="J302" s="2" t="s">
        <v>762</v>
      </c>
      <c r="K302" s="109" t="s">
        <v>598</v>
      </c>
      <c r="L302" s="89">
        <v>25000</v>
      </c>
      <c r="M302" s="202" t="s">
        <v>97</v>
      </c>
      <c r="N302" s="39" t="s">
        <v>48</v>
      </c>
      <c r="O302" s="39" t="s">
        <v>872</v>
      </c>
      <c r="P302" s="19"/>
      <c r="Q302" s="38">
        <f>R302*I302</f>
        <v>172.5</v>
      </c>
      <c r="R302" s="15">
        <v>0.115</v>
      </c>
      <c r="S302" s="149" t="s">
        <v>110</v>
      </c>
      <c r="T302" s="149"/>
      <c r="U302" s="109" t="s">
        <v>767</v>
      </c>
      <c r="V302" s="205" t="s">
        <v>121</v>
      </c>
      <c r="W302" s="205"/>
      <c r="AE302" s="2" t="e">
        <f>AD302*#REF!</f>
        <v>#REF!</v>
      </c>
      <c r="AF302" s="2" t="e">
        <f>Z302/Y302</f>
        <v>#DIV/0!</v>
      </c>
      <c r="AG302" s="2" t="e">
        <f>AA302/Z302</f>
        <v>#DIV/0!</v>
      </c>
      <c r="AH302" s="2" t="e">
        <f>AC302/AA302</f>
        <v>#DIV/0!</v>
      </c>
    </row>
    <row r="303" spans="1:34" s="70" customFormat="1">
      <c r="A303" s="102" t="s">
        <v>475</v>
      </c>
      <c r="B303" s="102" t="s">
        <v>476</v>
      </c>
      <c r="C303" s="40">
        <v>46176</v>
      </c>
      <c r="D303" s="42">
        <v>0.41666666666666669</v>
      </c>
      <c r="E303">
        <v>1</v>
      </c>
      <c r="F303" s="114" t="s">
        <v>477</v>
      </c>
      <c r="G303" s="2">
        <v>1</v>
      </c>
      <c r="H303" s="2">
        <v>9</v>
      </c>
      <c r="I303" s="125">
        <v>400</v>
      </c>
      <c r="J303" s="2" t="s">
        <v>766</v>
      </c>
      <c r="K303" s="109" t="s">
        <v>598</v>
      </c>
      <c r="L303" s="105">
        <v>30000</v>
      </c>
      <c r="M303" s="64">
        <v>30</v>
      </c>
      <c r="N303" s="39" t="s">
        <v>48</v>
      </c>
      <c r="O303" s="39" t="s">
        <v>49</v>
      </c>
      <c r="P303" s="134" t="s">
        <v>835</v>
      </c>
      <c r="Q303" s="19">
        <v>70</v>
      </c>
      <c r="R303" s="15">
        <f>Q303/I303</f>
        <v>0.17499999999999999</v>
      </c>
      <c r="S303" s="5">
        <f>($AC303*$AD303)/(($Z303/$Y303)+($AA303/$Z303)+($AB303/$AA303))</f>
        <v>72.897196261682254</v>
      </c>
      <c r="T303" s="5"/>
      <c r="U303" s="109" t="s">
        <v>54</v>
      </c>
      <c r="V303" s="71" t="s">
        <v>589</v>
      </c>
      <c r="W303" s="2"/>
      <c r="X303" s="2"/>
      <c r="Y303" s="2">
        <v>2</v>
      </c>
      <c r="Z303" s="2">
        <v>5</v>
      </c>
      <c r="AA303" s="2">
        <v>13</v>
      </c>
      <c r="AB303" s="2">
        <v>30</v>
      </c>
      <c r="AC303" s="2">
        <v>30</v>
      </c>
      <c r="AD303" s="2">
        <v>18</v>
      </c>
      <c r="AE303" s="2">
        <f>AC303*AD303</f>
        <v>540</v>
      </c>
      <c r="AF303" s="2">
        <f>Z303/Y303</f>
        <v>2.5</v>
      </c>
      <c r="AG303" s="2">
        <f>AA303/Z303</f>
        <v>2.6</v>
      </c>
      <c r="AH303" s="2">
        <f>AB303/AA303</f>
        <v>2.3076923076923075</v>
      </c>
    </row>
    <row r="304" spans="1:34" s="70" customFormat="1">
      <c r="A304" s="96" t="s">
        <v>461</v>
      </c>
      <c r="B304" s="96" t="s">
        <v>462</v>
      </c>
      <c r="C304" s="192">
        <v>46176</v>
      </c>
      <c r="D304" s="42">
        <v>0.4236111111111111</v>
      </c>
      <c r="E304" s="43"/>
      <c r="F304" s="8" t="s">
        <v>471</v>
      </c>
      <c r="G304" s="2">
        <v>2</v>
      </c>
      <c r="H304" s="2"/>
      <c r="I304" s="125">
        <v>300</v>
      </c>
      <c r="J304" s="2" t="s">
        <v>766</v>
      </c>
      <c r="K304" s="109" t="s">
        <v>598</v>
      </c>
      <c r="L304" s="8">
        <v>30000</v>
      </c>
      <c r="M304" s="202">
        <v>30</v>
      </c>
      <c r="N304" s="39" t="s">
        <v>48</v>
      </c>
      <c r="O304" s="39" t="s">
        <v>49</v>
      </c>
      <c r="P304" s="135" t="s">
        <v>842</v>
      </c>
      <c r="Q304" s="19">
        <v>65</v>
      </c>
      <c r="R304" s="15">
        <f>Q304/I304</f>
        <v>0.21666666666666667</v>
      </c>
      <c r="S304" s="5">
        <f>($AC304*$AD304)/(($Z304/$Y304)+($AA304/$Z304)+($AB304/$AA304))</f>
        <v>53.333333333333336</v>
      </c>
      <c r="T304" s="5"/>
      <c r="U304" s="109" t="s">
        <v>767</v>
      </c>
      <c r="V304" s="205" t="s">
        <v>735</v>
      </c>
      <c r="W304" s="205"/>
      <c r="X304" s="2"/>
      <c r="Y304" s="2">
        <v>2</v>
      </c>
      <c r="Z304" s="2">
        <v>5</v>
      </c>
      <c r="AA304" s="2">
        <v>20</v>
      </c>
      <c r="AB304" s="2">
        <v>50</v>
      </c>
      <c r="AC304" s="2">
        <v>16</v>
      </c>
      <c r="AD304" s="2">
        <v>30</v>
      </c>
      <c r="AE304" s="2">
        <f>AC304*AD304</f>
        <v>480</v>
      </c>
      <c r="AF304" s="2">
        <f>Z304/Y304</f>
        <v>2.5</v>
      </c>
      <c r="AG304" s="2">
        <f>AA304/Z304</f>
        <v>4</v>
      </c>
      <c r="AH304" s="2">
        <f>AB304/AA304</f>
        <v>2.5</v>
      </c>
    </row>
    <row r="305" spans="1:34">
      <c r="A305" s="95" t="s">
        <v>447</v>
      </c>
      <c r="B305" s="95" t="s">
        <v>448</v>
      </c>
      <c r="C305" s="40">
        <v>46176</v>
      </c>
      <c r="D305" s="42">
        <v>0.45833333333333331</v>
      </c>
      <c r="E305" s="43"/>
      <c r="F305" s="8" t="s">
        <v>408</v>
      </c>
      <c r="G305" s="2">
        <v>1</v>
      </c>
      <c r="H305" s="2">
        <v>8</v>
      </c>
      <c r="I305" s="125">
        <v>800</v>
      </c>
      <c r="J305" s="2" t="s">
        <v>766</v>
      </c>
      <c r="K305" s="109" t="s">
        <v>602</v>
      </c>
      <c r="L305" s="8">
        <v>30000</v>
      </c>
      <c r="M305" s="8">
        <v>30</v>
      </c>
      <c r="N305" s="39" t="s">
        <v>48</v>
      </c>
      <c r="O305" s="39" t="s">
        <v>57</v>
      </c>
      <c r="P305" s="63">
        <v>200000</v>
      </c>
      <c r="Q305" s="2">
        <v>100</v>
      </c>
      <c r="R305" s="15">
        <f>Q305/I305</f>
        <v>0.125</v>
      </c>
      <c r="S305" s="176" t="s">
        <v>110</v>
      </c>
      <c r="T305" s="176"/>
      <c r="U305" s="109" t="s">
        <v>767</v>
      </c>
      <c r="V305" s="2" t="s">
        <v>741</v>
      </c>
      <c r="AE305" s="2">
        <f>AC305*AD305</f>
        <v>0</v>
      </c>
      <c r="AF305" s="2" t="e">
        <f>Z305/Y305</f>
        <v>#DIV/0!</v>
      </c>
      <c r="AG305" s="2" t="e">
        <f>AA305/Z305</f>
        <v>#DIV/0!</v>
      </c>
      <c r="AH305" s="2" t="e">
        <f>AB305/AA305</f>
        <v>#DIV/0!</v>
      </c>
    </row>
    <row r="306" spans="1:34" s="70" customFormat="1">
      <c r="A306" s="103" t="s">
        <v>539</v>
      </c>
      <c r="B306" s="103" t="s">
        <v>540</v>
      </c>
      <c r="C306" s="48">
        <v>46176</v>
      </c>
      <c r="D306" s="42">
        <v>0.45833333333333331</v>
      </c>
      <c r="E306">
        <v>1</v>
      </c>
      <c r="F306" s="63" t="s">
        <v>541</v>
      </c>
      <c r="G306" s="2">
        <v>1</v>
      </c>
      <c r="H306" s="2">
        <v>9</v>
      </c>
      <c r="I306" s="125">
        <v>300</v>
      </c>
      <c r="J306" s="179" t="s">
        <v>766</v>
      </c>
      <c r="K306" s="179" t="s">
        <v>602</v>
      </c>
      <c r="L306" s="89">
        <v>30000</v>
      </c>
      <c r="M306" s="54">
        <v>30</v>
      </c>
      <c r="N306" s="39" t="s">
        <v>48</v>
      </c>
      <c r="O306" s="39" t="s">
        <v>49</v>
      </c>
      <c r="P306" s="134" t="s">
        <v>834</v>
      </c>
      <c r="Q306" s="19">
        <v>54</v>
      </c>
      <c r="R306" s="15">
        <f>Q306/I306</f>
        <v>0.18</v>
      </c>
      <c r="S306" s="5">
        <f>($AC306*$AD306)/(($Z306/$Y306)+($AA306/$Z306)+($AB306/$AA306))</f>
        <v>53.333333333333336</v>
      </c>
      <c r="T306" s="5"/>
      <c r="U306" s="109" t="s">
        <v>54</v>
      </c>
      <c r="V306" s="71" t="s">
        <v>1395</v>
      </c>
      <c r="W306" s="2"/>
      <c r="X306" s="2"/>
      <c r="Y306" s="2">
        <v>2</v>
      </c>
      <c r="Z306" s="2">
        <v>5</v>
      </c>
      <c r="AA306" s="2">
        <v>20</v>
      </c>
      <c r="AB306" s="2">
        <v>50</v>
      </c>
      <c r="AC306" s="2">
        <v>16</v>
      </c>
      <c r="AD306" s="2">
        <v>30</v>
      </c>
      <c r="AE306" s="2">
        <f>AC306*AD306</f>
        <v>480</v>
      </c>
      <c r="AF306" s="2">
        <f>Z306/Y306</f>
        <v>2.5</v>
      </c>
      <c r="AG306" s="2">
        <f>AA306/Z306</f>
        <v>4</v>
      </c>
      <c r="AH306" s="2">
        <f>AB306/AA306</f>
        <v>2.5</v>
      </c>
    </row>
    <row r="307" spans="1:34">
      <c r="A307" s="165" t="s">
        <v>1383</v>
      </c>
      <c r="B307" s="36" t="s">
        <v>63</v>
      </c>
      <c r="C307" s="192">
        <v>46176</v>
      </c>
      <c r="D307" s="144">
        <v>0.45833333333333331</v>
      </c>
      <c r="E307" s="194">
        <v>15</v>
      </c>
      <c r="F307" s="8" t="s">
        <v>1296</v>
      </c>
      <c r="G307" s="2">
        <v>2</v>
      </c>
      <c r="H307" s="2">
        <v>8</v>
      </c>
      <c r="I307" s="37">
        <v>600</v>
      </c>
      <c r="J307" s="2" t="s">
        <v>762</v>
      </c>
      <c r="K307" s="109" t="s">
        <v>601</v>
      </c>
      <c r="L307" s="89">
        <v>30000</v>
      </c>
      <c r="M307" s="202">
        <v>30</v>
      </c>
      <c r="N307" s="39" t="s">
        <v>48</v>
      </c>
      <c r="O307" s="39" t="s">
        <v>57</v>
      </c>
      <c r="P307" s="19"/>
      <c r="Q307" s="38">
        <f>R307*I307</f>
        <v>96</v>
      </c>
      <c r="R307" s="15">
        <v>0.16</v>
      </c>
      <c r="S307" s="149" t="s">
        <v>110</v>
      </c>
      <c r="T307" s="149"/>
      <c r="U307" s="109" t="s">
        <v>767</v>
      </c>
      <c r="V307" s="205" t="s">
        <v>121</v>
      </c>
      <c r="W307" s="205"/>
      <c r="Y307" s="70"/>
      <c r="Z307" s="70"/>
      <c r="AA307" s="70"/>
      <c r="AC307" s="70"/>
      <c r="AD307" s="70"/>
      <c r="AE307" s="2" t="e">
        <f>AD307*#REF!</f>
        <v>#REF!</v>
      </c>
      <c r="AF307" s="2" t="e">
        <f>Z307/Y307</f>
        <v>#DIV/0!</v>
      </c>
      <c r="AG307" s="2" t="e">
        <f>AA307/Z307</f>
        <v>#DIV/0!</v>
      </c>
      <c r="AH307" s="2" t="e">
        <f>AC307/AA307</f>
        <v>#DIV/0!</v>
      </c>
    </row>
    <row r="308" spans="1:34">
      <c r="A308" s="52" t="s">
        <v>229</v>
      </c>
      <c r="B308" s="52" t="s">
        <v>230</v>
      </c>
      <c r="C308" s="40">
        <v>46176</v>
      </c>
      <c r="D308" s="42">
        <v>0.45833333333333331</v>
      </c>
      <c r="E308" s="43"/>
      <c r="F308" s="8" t="s">
        <v>242</v>
      </c>
      <c r="G308" s="2">
        <v>1</v>
      </c>
      <c r="I308" s="125">
        <v>200</v>
      </c>
      <c r="J308" s="2" t="s">
        <v>766</v>
      </c>
      <c r="K308" s="88" t="s">
        <v>775</v>
      </c>
      <c r="L308" s="90">
        <v>25000</v>
      </c>
      <c r="M308" s="46" t="s">
        <v>128</v>
      </c>
      <c r="N308" s="39" t="s">
        <v>48</v>
      </c>
      <c r="O308" s="39" t="s">
        <v>49</v>
      </c>
      <c r="P308" s="135" t="s">
        <v>832</v>
      </c>
      <c r="Q308" s="19">
        <v>40</v>
      </c>
      <c r="R308" s="15">
        <f>IF(Q308&gt;0,Q308/I308,"")</f>
        <v>0.2</v>
      </c>
      <c r="S308" s="5">
        <f>($AC308*$AD308)/(($Z308/$Y308)+($AA308/$Z308)+($AB308/$AA308))</f>
        <v>28.333333333333332</v>
      </c>
      <c r="U308" s="109" t="s">
        <v>767</v>
      </c>
      <c r="V308" s="205" t="s">
        <v>719</v>
      </c>
      <c r="W308" s="205"/>
      <c r="Y308" s="2">
        <v>2</v>
      </c>
      <c r="Z308" s="2">
        <v>5</v>
      </c>
      <c r="AA308" s="2">
        <v>20</v>
      </c>
      <c r="AB308" s="2">
        <v>50</v>
      </c>
      <c r="AC308" s="2">
        <v>255</v>
      </c>
      <c r="AD308" s="2">
        <v>1</v>
      </c>
      <c r="AE308" s="2">
        <f>AC308*AD308</f>
        <v>255</v>
      </c>
      <c r="AF308" s="2">
        <f>Z308/Y308</f>
        <v>2.5</v>
      </c>
      <c r="AG308" s="2">
        <f>AA308/Z308</f>
        <v>4</v>
      </c>
      <c r="AH308" s="2">
        <f>AB308/AA308</f>
        <v>2.5</v>
      </c>
    </row>
    <row r="309" spans="1:34">
      <c r="A309" s="52" t="s">
        <v>220</v>
      </c>
      <c r="B309" s="52" t="s">
        <v>221</v>
      </c>
      <c r="C309" s="48">
        <v>46176</v>
      </c>
      <c r="D309" s="42">
        <v>0.45833333333333331</v>
      </c>
      <c r="E309" s="43"/>
      <c r="F309" s="8" t="s">
        <v>1046</v>
      </c>
      <c r="G309" s="2">
        <v>2</v>
      </c>
      <c r="H309" s="2">
        <v>9</v>
      </c>
      <c r="I309" s="125">
        <v>1100</v>
      </c>
      <c r="J309" s="2" t="s">
        <v>766</v>
      </c>
      <c r="K309" s="88" t="s">
        <v>777</v>
      </c>
      <c r="L309" s="90">
        <v>40000</v>
      </c>
      <c r="M309" s="64" t="s">
        <v>22</v>
      </c>
      <c r="N309" s="39" t="s">
        <v>48</v>
      </c>
      <c r="O309" s="39" t="s">
        <v>49</v>
      </c>
      <c r="P309" s="135" t="s">
        <v>847</v>
      </c>
      <c r="Q309" s="19">
        <v>135</v>
      </c>
      <c r="R309" s="15">
        <f>Q309/I309</f>
        <v>0.12272727272727273</v>
      </c>
      <c r="S309" s="5">
        <f>($AC309*$AD309)/(($Z309/$Y309)+($AA309/$Z309)+($AB309/$AA309))</f>
        <v>66.122448979591837</v>
      </c>
      <c r="U309" s="109" t="s">
        <v>767</v>
      </c>
      <c r="V309" s="205" t="s">
        <v>738</v>
      </c>
      <c r="W309" s="205"/>
      <c r="Y309" s="2">
        <v>2</v>
      </c>
      <c r="Z309" s="2">
        <v>5</v>
      </c>
      <c r="AA309" s="2">
        <v>15</v>
      </c>
      <c r="AB309" s="2">
        <v>40</v>
      </c>
      <c r="AC309" s="2">
        <v>18</v>
      </c>
      <c r="AD309" s="2">
        <v>30</v>
      </c>
      <c r="AE309" s="2">
        <f>AC309*AD309</f>
        <v>540</v>
      </c>
      <c r="AF309" s="2">
        <f>Z309/Y309</f>
        <v>2.5</v>
      </c>
      <c r="AG309" s="2">
        <f>AA309/Z309</f>
        <v>3</v>
      </c>
      <c r="AH309" s="2">
        <f>AB309/AA309</f>
        <v>2.6666666666666665</v>
      </c>
    </row>
    <row r="310" spans="1:34">
      <c r="A310" s="68" t="s">
        <v>357</v>
      </c>
      <c r="B310" s="68" t="s">
        <v>358</v>
      </c>
      <c r="C310" s="48">
        <v>46176</v>
      </c>
      <c r="D310" s="42">
        <v>0.46527777777777779</v>
      </c>
      <c r="E310" s="194">
        <v>34</v>
      </c>
      <c r="F310" s="63" t="s">
        <v>296</v>
      </c>
      <c r="G310" s="2">
        <v>1</v>
      </c>
      <c r="H310" s="2">
        <v>9</v>
      </c>
      <c r="I310" s="125">
        <v>800</v>
      </c>
      <c r="J310" s="2" t="s">
        <v>766</v>
      </c>
      <c r="K310" s="137" t="s">
        <v>816</v>
      </c>
      <c r="L310" s="89">
        <v>40000</v>
      </c>
      <c r="M310" s="202">
        <v>30</v>
      </c>
      <c r="N310" s="39" t="s">
        <v>48</v>
      </c>
      <c r="O310" s="39" t="s">
        <v>49</v>
      </c>
      <c r="P310" s="212" t="s">
        <v>839</v>
      </c>
      <c r="Q310" s="19">
        <v>100</v>
      </c>
      <c r="R310" s="15">
        <f>Q310/I310</f>
        <v>0.125</v>
      </c>
      <c r="S310" s="5">
        <f>($AC310*$AD310)/(($Z310/$Y310)+($AA310/$Z310)+($AB310/$AA310))</f>
        <v>71.293161814488826</v>
      </c>
      <c r="U310" s="109" t="s">
        <v>767</v>
      </c>
      <c r="V310" s="2" t="s">
        <v>668</v>
      </c>
      <c r="W310" s="205"/>
      <c r="Y310" s="2">
        <v>2.5</v>
      </c>
      <c r="Z310" s="2">
        <v>6.5</v>
      </c>
      <c r="AA310" s="2">
        <v>15</v>
      </c>
      <c r="AB310" s="2">
        <v>40</v>
      </c>
      <c r="AC310" s="2">
        <v>30</v>
      </c>
      <c r="AD310" s="2">
        <v>18</v>
      </c>
      <c r="AE310" s="2">
        <f>AC310*AD310</f>
        <v>540</v>
      </c>
      <c r="AF310" s="2">
        <f>Z310/Y310</f>
        <v>2.6</v>
      </c>
      <c r="AG310" s="2">
        <f>AA310/Z310</f>
        <v>2.3076923076923075</v>
      </c>
      <c r="AH310" s="2">
        <f>AB310/AA310</f>
        <v>2.6666666666666665</v>
      </c>
    </row>
    <row r="311" spans="1:34">
      <c r="A311" s="52" t="s">
        <v>229</v>
      </c>
      <c r="B311" s="52" t="s">
        <v>230</v>
      </c>
      <c r="C311" s="40">
        <v>46176</v>
      </c>
      <c r="D311" s="42">
        <v>0.5</v>
      </c>
      <c r="E311" s="43"/>
      <c r="F311" s="8" t="s">
        <v>253</v>
      </c>
      <c r="G311" s="2">
        <v>1</v>
      </c>
      <c r="I311" s="37">
        <v>600</v>
      </c>
      <c r="J311" s="2" t="s">
        <v>766</v>
      </c>
      <c r="K311" s="88" t="s">
        <v>788</v>
      </c>
      <c r="L311" s="90">
        <v>40000</v>
      </c>
      <c r="M311" s="46" t="s">
        <v>22</v>
      </c>
      <c r="N311" s="39" t="s">
        <v>48</v>
      </c>
      <c r="O311" s="39" t="s">
        <v>359</v>
      </c>
      <c r="P311" s="19">
        <v>50000</v>
      </c>
      <c r="Q311" s="2">
        <v>85</v>
      </c>
      <c r="R311" s="15">
        <f>IF(Q311&gt;0,Q311/I311,"")</f>
        <v>0.14166666666666666</v>
      </c>
      <c r="S311" s="149" t="s">
        <v>110</v>
      </c>
      <c r="T311" s="149"/>
      <c r="U311" s="109" t="s">
        <v>767</v>
      </c>
      <c r="V311" s="10" t="s">
        <v>719</v>
      </c>
      <c r="W311" s="205"/>
      <c r="AE311" s="2">
        <f>AC311*AD311</f>
        <v>0</v>
      </c>
      <c r="AF311" s="2" t="e">
        <f>Z311/Y311</f>
        <v>#DIV/0!</v>
      </c>
      <c r="AG311" s="2" t="e">
        <f>AA311/Z311</f>
        <v>#DIV/0!</v>
      </c>
      <c r="AH311" s="2" t="e">
        <f>AB311/AA311</f>
        <v>#DIV/0!</v>
      </c>
    </row>
    <row r="312" spans="1:34">
      <c r="A312" s="52" t="s">
        <v>220</v>
      </c>
      <c r="B312" s="52" t="s">
        <v>221</v>
      </c>
      <c r="C312" s="48">
        <v>46176</v>
      </c>
      <c r="D312" s="42">
        <v>0.5</v>
      </c>
      <c r="E312" s="43"/>
      <c r="F312" s="8" t="s">
        <v>1100</v>
      </c>
      <c r="G312" s="2">
        <v>2</v>
      </c>
      <c r="H312" s="2">
        <v>6</v>
      </c>
      <c r="I312" s="125">
        <v>1600</v>
      </c>
      <c r="J312" s="2" t="s">
        <v>766</v>
      </c>
      <c r="K312" s="109" t="s">
        <v>767</v>
      </c>
      <c r="L312" s="90">
        <v>40000</v>
      </c>
      <c r="M312" s="64" t="s">
        <v>97</v>
      </c>
      <c r="N312" s="39" t="s">
        <v>48</v>
      </c>
      <c r="O312" s="39" t="s">
        <v>123</v>
      </c>
      <c r="P312" s="63">
        <v>100000</v>
      </c>
      <c r="Q312" s="2">
        <v>135</v>
      </c>
      <c r="R312" s="15">
        <f>Q312/I312</f>
        <v>8.4375000000000006E-2</v>
      </c>
      <c r="S312" s="149" t="s">
        <v>110</v>
      </c>
      <c r="T312" s="149"/>
      <c r="U312" s="109" t="s">
        <v>767</v>
      </c>
      <c r="V312" s="10" t="s">
        <v>738</v>
      </c>
      <c r="W312" s="205"/>
      <c r="AE312" s="2">
        <f>AC312*AD312</f>
        <v>0</v>
      </c>
      <c r="AF312" s="2" t="e">
        <f>Z312/Y312</f>
        <v>#DIV/0!</v>
      </c>
      <c r="AG312" s="2" t="e">
        <f>AA312/Z312</f>
        <v>#DIV/0!</v>
      </c>
      <c r="AH312" s="2" t="e">
        <f>AB312/AA312</f>
        <v>#DIV/0!</v>
      </c>
    </row>
    <row r="313" spans="1:34">
      <c r="A313" s="68" t="s">
        <v>357</v>
      </c>
      <c r="B313" s="68" t="s">
        <v>358</v>
      </c>
      <c r="C313" s="48">
        <v>46176</v>
      </c>
      <c r="D313" s="42">
        <v>0.50694444444444442</v>
      </c>
      <c r="E313" s="194">
        <v>35</v>
      </c>
      <c r="F313" s="63" t="s">
        <v>297</v>
      </c>
      <c r="G313" s="2">
        <v>1</v>
      </c>
      <c r="H313" s="2">
        <v>8</v>
      </c>
      <c r="I313" s="125">
        <v>1100</v>
      </c>
      <c r="J313" s="2" t="s">
        <v>766</v>
      </c>
      <c r="K313" s="137" t="s">
        <v>815</v>
      </c>
      <c r="L313" s="89">
        <v>30000</v>
      </c>
      <c r="M313" s="202">
        <v>30</v>
      </c>
      <c r="N313" s="39" t="s">
        <v>48</v>
      </c>
      <c r="O313" s="39" t="s">
        <v>373</v>
      </c>
      <c r="P313" s="234">
        <v>100000</v>
      </c>
      <c r="Q313" s="2">
        <v>130</v>
      </c>
      <c r="R313" s="15">
        <f>Q313/I313</f>
        <v>0.11818181818181818</v>
      </c>
      <c r="S313" s="149" t="s">
        <v>110</v>
      </c>
      <c r="T313" s="149"/>
      <c r="U313" s="109" t="s">
        <v>219</v>
      </c>
      <c r="V313" s="10" t="s">
        <v>669</v>
      </c>
      <c r="W313" s="218" t="s">
        <v>655</v>
      </c>
      <c r="AE313" s="2">
        <f>AC313*AD313</f>
        <v>0</v>
      </c>
      <c r="AF313" s="2" t="e">
        <f>Z313/Y313</f>
        <v>#DIV/0!</v>
      </c>
      <c r="AG313" s="2" t="e">
        <f>AA313/Z313</f>
        <v>#DIV/0!</v>
      </c>
      <c r="AH313" s="2" t="e">
        <f>AB313/AA313</f>
        <v>#DIV/0!</v>
      </c>
    </row>
    <row r="314" spans="1:34">
      <c r="A314" s="103" t="s">
        <v>539</v>
      </c>
      <c r="B314" s="103" t="s">
        <v>540</v>
      </c>
      <c r="C314" s="48">
        <v>46176</v>
      </c>
      <c r="D314" s="42">
        <v>0.54166666666666663</v>
      </c>
      <c r="E314" s="194">
        <v>2</v>
      </c>
      <c r="F314" s="63" t="s">
        <v>542</v>
      </c>
      <c r="G314" s="2">
        <v>1</v>
      </c>
      <c r="H314" s="2">
        <v>9</v>
      </c>
      <c r="I314" s="125">
        <v>200</v>
      </c>
      <c r="J314" s="179" t="s">
        <v>766</v>
      </c>
      <c r="K314" s="179" t="s">
        <v>815</v>
      </c>
      <c r="L314" s="89">
        <v>30000</v>
      </c>
      <c r="M314" s="202">
        <v>30</v>
      </c>
      <c r="N314" s="39" t="s">
        <v>48</v>
      </c>
      <c r="O314" s="39" t="s">
        <v>49</v>
      </c>
      <c r="P314" s="135" t="s">
        <v>832</v>
      </c>
      <c r="Q314" s="19">
        <v>44</v>
      </c>
      <c r="R314" s="15">
        <f>Q314/I314</f>
        <v>0.22</v>
      </c>
      <c r="S314" s="5">
        <f>($AC314*$AD314)/(($Z314/$Y314)+($AA314/$Z314)+($AB314/$AA314))</f>
        <v>53.333333333333336</v>
      </c>
      <c r="U314" s="109" t="s">
        <v>767</v>
      </c>
      <c r="V314" s="21" t="s">
        <v>1395</v>
      </c>
      <c r="W314" s="205"/>
      <c r="Y314" s="2">
        <v>2</v>
      </c>
      <c r="Z314" s="2">
        <v>5</v>
      </c>
      <c r="AA314" s="2">
        <v>20</v>
      </c>
      <c r="AB314" s="2">
        <v>50</v>
      </c>
      <c r="AC314" s="2">
        <v>16</v>
      </c>
      <c r="AD314" s="2">
        <v>30</v>
      </c>
      <c r="AE314" s="2">
        <f>AC314*AD314</f>
        <v>480</v>
      </c>
      <c r="AF314" s="2">
        <f>Z314/Y314</f>
        <v>2.5</v>
      </c>
      <c r="AG314" s="2">
        <f>AA314/Z314</f>
        <v>4</v>
      </c>
      <c r="AH314" s="2">
        <f>AB314/AA314</f>
        <v>2.5</v>
      </c>
    </row>
    <row r="315" spans="1:34" s="73" customFormat="1">
      <c r="A315" s="165" t="s">
        <v>1383</v>
      </c>
      <c r="B315" s="36" t="s">
        <v>63</v>
      </c>
      <c r="C315" s="192">
        <v>46176</v>
      </c>
      <c r="D315" s="144">
        <v>0.54166666666666663</v>
      </c>
      <c r="E315" s="194">
        <v>17</v>
      </c>
      <c r="F315" s="8" t="s">
        <v>1246</v>
      </c>
      <c r="G315" s="2">
        <v>3</v>
      </c>
      <c r="H315" s="2">
        <v>9</v>
      </c>
      <c r="I315" s="37">
        <v>10000</v>
      </c>
      <c r="J315" s="2" t="s">
        <v>762</v>
      </c>
      <c r="K315" s="109" t="s">
        <v>601</v>
      </c>
      <c r="L315" s="89">
        <v>60000</v>
      </c>
      <c r="M315" s="202" t="s">
        <v>112</v>
      </c>
      <c r="N315" s="39" t="s">
        <v>48</v>
      </c>
      <c r="O315" s="39" t="s">
        <v>872</v>
      </c>
      <c r="P315" s="213"/>
      <c r="Q315" s="38">
        <f>R315*I315</f>
        <v>700.00000000000011</v>
      </c>
      <c r="R315" s="15">
        <v>7.0000000000000007E-2</v>
      </c>
      <c r="S315" s="149" t="s">
        <v>110</v>
      </c>
      <c r="T315" s="149"/>
      <c r="U315" s="109" t="s">
        <v>767</v>
      </c>
      <c r="V315" s="10" t="s">
        <v>121</v>
      </c>
      <c r="W315" s="205"/>
      <c r="X315" s="2"/>
      <c r="Y315" s="2"/>
      <c r="Z315" s="2"/>
      <c r="AA315" s="2"/>
      <c r="AB315" s="2"/>
      <c r="AC315" s="2"/>
      <c r="AD315" s="2"/>
      <c r="AE315" s="2" t="e">
        <f>AD315*#REF!</f>
        <v>#REF!</v>
      </c>
      <c r="AF315" s="2" t="e">
        <f>Z315/Y315</f>
        <v>#DIV/0!</v>
      </c>
      <c r="AG315" s="2" t="e">
        <f>AA315/Z315</f>
        <v>#DIV/0!</v>
      </c>
      <c r="AH315" s="2" t="e">
        <f>AC315/AA315</f>
        <v>#DIV/0!</v>
      </c>
    </row>
    <row r="316" spans="1:34" s="73" customFormat="1">
      <c r="A316" s="165" t="s">
        <v>1383</v>
      </c>
      <c r="B316" s="39" t="s">
        <v>63</v>
      </c>
      <c r="C316" s="192">
        <v>46176</v>
      </c>
      <c r="D316" s="144">
        <v>0.54166666666666663</v>
      </c>
      <c r="E316" s="194"/>
      <c r="F316" s="8" t="s">
        <v>881</v>
      </c>
      <c r="G316" s="2">
        <v>1</v>
      </c>
      <c r="H316" s="2">
        <v>9</v>
      </c>
      <c r="I316" s="37">
        <v>250</v>
      </c>
      <c r="J316" s="2" t="s">
        <v>766</v>
      </c>
      <c r="K316" s="88" t="s">
        <v>787</v>
      </c>
      <c r="L316" s="89">
        <v>25000</v>
      </c>
      <c r="M316" s="205">
        <v>30</v>
      </c>
      <c r="N316" s="39" t="s">
        <v>817</v>
      </c>
      <c r="O316" s="39" t="s">
        <v>49</v>
      </c>
      <c r="P316" s="210"/>
      <c r="Q316" s="19">
        <v>50</v>
      </c>
      <c r="R316" s="15">
        <f>Q316/I316</f>
        <v>0.2</v>
      </c>
      <c r="S316" s="5">
        <v>44</v>
      </c>
      <c r="T316" s="5"/>
      <c r="U316" s="109" t="s">
        <v>767</v>
      </c>
      <c r="V316" s="21" t="s">
        <v>360</v>
      </c>
      <c r="W316" s="205"/>
      <c r="X316" s="2"/>
      <c r="Y316" s="175"/>
      <c r="Z316" s="175"/>
      <c r="AA316" s="175"/>
      <c r="AB316" s="175"/>
      <c r="AC316" s="175"/>
      <c r="AD316" s="175"/>
      <c r="AE316" s="175"/>
      <c r="AF316" s="175"/>
      <c r="AG316" s="175"/>
      <c r="AH316" s="175"/>
    </row>
    <row r="317" spans="1:34">
      <c r="A317" s="165" t="s">
        <v>1383</v>
      </c>
      <c r="B317" s="39" t="s">
        <v>63</v>
      </c>
      <c r="C317" s="192">
        <v>46176</v>
      </c>
      <c r="D317" s="144">
        <v>0.625</v>
      </c>
      <c r="E317" s="43"/>
      <c r="F317" s="8" t="s">
        <v>912</v>
      </c>
      <c r="G317" s="2">
        <v>1</v>
      </c>
      <c r="H317" s="2">
        <v>9</v>
      </c>
      <c r="I317" s="37">
        <v>240</v>
      </c>
      <c r="J317" s="2" t="s">
        <v>766</v>
      </c>
      <c r="K317" s="88" t="s">
        <v>784</v>
      </c>
      <c r="L317" s="89">
        <v>10000</v>
      </c>
      <c r="M317" s="202">
        <v>20</v>
      </c>
      <c r="N317" s="132" t="s">
        <v>821</v>
      </c>
      <c r="O317" s="39" t="s">
        <v>49</v>
      </c>
      <c r="Q317" s="19">
        <v>40</v>
      </c>
      <c r="R317" s="15">
        <v>0.16666666666666666</v>
      </c>
      <c r="S317" s="5">
        <v>29</v>
      </c>
      <c r="U317" s="109" t="s">
        <v>767</v>
      </c>
      <c r="V317" s="21" t="s">
        <v>362</v>
      </c>
      <c r="W317" s="8" t="s">
        <v>367</v>
      </c>
      <c r="Y317" s="175"/>
      <c r="Z317" s="175"/>
      <c r="AA317" s="175"/>
      <c r="AB317" s="175"/>
      <c r="AC317" s="175"/>
      <c r="AD317" s="175"/>
      <c r="AE317" s="175"/>
      <c r="AF317" s="175"/>
      <c r="AG317" s="175"/>
      <c r="AH317" s="175"/>
    </row>
    <row r="318" spans="1:34">
      <c r="A318" s="165" t="s">
        <v>1383</v>
      </c>
      <c r="B318" s="39" t="s">
        <v>63</v>
      </c>
      <c r="C318" s="192">
        <v>46176</v>
      </c>
      <c r="D318" s="144">
        <v>0.625</v>
      </c>
      <c r="E318" s="194"/>
      <c r="F318" s="8" t="s">
        <v>126</v>
      </c>
      <c r="G318" s="2">
        <v>1</v>
      </c>
      <c r="I318" s="37">
        <v>250</v>
      </c>
      <c r="J318" s="2" t="s">
        <v>766</v>
      </c>
      <c r="K318" s="88" t="s">
        <v>793</v>
      </c>
      <c r="L318" s="89">
        <v>25000</v>
      </c>
      <c r="M318" s="205">
        <v>30</v>
      </c>
      <c r="N318" s="39" t="s">
        <v>822</v>
      </c>
      <c r="O318" s="39" t="s">
        <v>57</v>
      </c>
      <c r="P318" s="213"/>
      <c r="Q318" s="2">
        <v>50</v>
      </c>
      <c r="R318" s="15">
        <f>Q318/I318</f>
        <v>0.2</v>
      </c>
      <c r="S318" s="149" t="s">
        <v>110</v>
      </c>
      <c r="T318" s="149"/>
      <c r="U318" s="109" t="s">
        <v>767</v>
      </c>
      <c r="V318" s="71" t="s">
        <v>360</v>
      </c>
      <c r="AE318" s="2" t="e">
        <f>AD318*#REF!</f>
        <v>#REF!</v>
      </c>
      <c r="AF318" s="2" t="e">
        <f>Z318/Y318</f>
        <v>#DIV/0!</v>
      </c>
      <c r="AG318" s="2" t="e">
        <f>AA318/Z318</f>
        <v>#DIV/0!</v>
      </c>
      <c r="AH318" s="2" t="e">
        <f>AC318/AA318</f>
        <v>#DIV/0!</v>
      </c>
    </row>
    <row r="319" spans="1:34">
      <c r="A319" s="165" t="s">
        <v>1383</v>
      </c>
      <c r="B319" s="39" t="s">
        <v>63</v>
      </c>
      <c r="C319" s="192">
        <v>46176</v>
      </c>
      <c r="D319" s="144">
        <v>0.66666666666666663</v>
      </c>
      <c r="E319" s="194"/>
      <c r="F319" s="8" t="s">
        <v>1024</v>
      </c>
      <c r="G319" s="2">
        <v>1</v>
      </c>
      <c r="H319" s="2">
        <v>9</v>
      </c>
      <c r="I319" s="37">
        <v>400</v>
      </c>
      <c r="J319" s="2" t="s">
        <v>766</v>
      </c>
      <c r="K319" s="88" t="s">
        <v>794</v>
      </c>
      <c r="L319" s="89">
        <v>30000</v>
      </c>
      <c r="M319" s="205">
        <v>20</v>
      </c>
      <c r="N319" s="39" t="s">
        <v>817</v>
      </c>
      <c r="O319" s="39" t="s">
        <v>49</v>
      </c>
      <c r="Q319" s="19">
        <v>70</v>
      </c>
      <c r="R319" s="15">
        <f>Q319/I319</f>
        <v>0.17499999999999999</v>
      </c>
      <c r="S319" s="5">
        <v>37</v>
      </c>
      <c r="U319" s="109" t="s">
        <v>129</v>
      </c>
      <c r="V319" s="21" t="s">
        <v>360</v>
      </c>
      <c r="W319" s="205"/>
      <c r="Y319" s="175"/>
      <c r="Z319" s="175"/>
      <c r="AA319" s="175"/>
      <c r="AB319" s="175"/>
      <c r="AC319" s="175"/>
      <c r="AD319" s="175"/>
      <c r="AE319" s="175"/>
      <c r="AF319" s="175"/>
      <c r="AG319" s="175"/>
      <c r="AH319" s="175"/>
    </row>
    <row r="320" spans="1:34">
      <c r="A320" s="52" t="s">
        <v>229</v>
      </c>
      <c r="B320" s="52" t="s">
        <v>230</v>
      </c>
      <c r="C320" s="40">
        <v>46176</v>
      </c>
      <c r="D320" s="42">
        <v>0.66666666666666663</v>
      </c>
      <c r="E320" s="43"/>
      <c r="F320" s="8" t="s">
        <v>717</v>
      </c>
      <c r="G320" s="2">
        <v>1</v>
      </c>
      <c r="I320" s="125">
        <v>125</v>
      </c>
      <c r="J320" s="2" t="s">
        <v>766</v>
      </c>
      <c r="K320" s="88" t="s">
        <v>795</v>
      </c>
      <c r="L320" s="90">
        <v>20000</v>
      </c>
      <c r="M320" s="8">
        <v>20</v>
      </c>
      <c r="N320" s="39" t="s">
        <v>48</v>
      </c>
      <c r="O320" s="39" t="s">
        <v>49</v>
      </c>
      <c r="Q320" s="19">
        <v>25</v>
      </c>
      <c r="R320" s="15">
        <f>IF(Q320&gt;0,Q320/I320,"")</f>
        <v>0.2</v>
      </c>
      <c r="S320" s="5">
        <f>($AC320*$AD320)/(($Z320/$Y320)+($AA320/$Z320)+($AB320/$AA320))</f>
        <v>31.111111111111111</v>
      </c>
      <c r="U320" s="109" t="s">
        <v>767</v>
      </c>
      <c r="V320" s="10" t="s">
        <v>719</v>
      </c>
      <c r="W320" s="8" t="s">
        <v>718</v>
      </c>
      <c r="Y320" s="2">
        <v>2</v>
      </c>
      <c r="Z320" s="2">
        <v>5</v>
      </c>
      <c r="AA320" s="2">
        <v>20</v>
      </c>
      <c r="AB320" s="2">
        <v>50</v>
      </c>
      <c r="AC320" s="2">
        <v>14</v>
      </c>
      <c r="AD320" s="2">
        <v>20</v>
      </c>
      <c r="AE320" s="2">
        <f>AC320*AD320</f>
        <v>280</v>
      </c>
      <c r="AF320" s="2">
        <f>Z320/Y320</f>
        <v>2.5</v>
      </c>
      <c r="AG320" s="2">
        <f>AA320/Z320</f>
        <v>4</v>
      </c>
      <c r="AH320" s="2">
        <f>AB320/AA320</f>
        <v>2.5</v>
      </c>
    </row>
    <row r="321" spans="1:34">
      <c r="A321" s="103" t="s">
        <v>539</v>
      </c>
      <c r="B321" s="103" t="s">
        <v>540</v>
      </c>
      <c r="C321" s="48">
        <v>46176</v>
      </c>
      <c r="D321" s="42">
        <v>0.70833333333333337</v>
      </c>
      <c r="E321">
        <v>3</v>
      </c>
      <c r="F321" s="198" t="s">
        <v>543</v>
      </c>
      <c r="G321" s="2">
        <v>1</v>
      </c>
      <c r="H321" s="2">
        <v>6</v>
      </c>
      <c r="I321" s="125">
        <v>250</v>
      </c>
      <c r="J321" s="179" t="s">
        <v>766</v>
      </c>
      <c r="K321" s="179" t="s">
        <v>602</v>
      </c>
      <c r="L321" s="89">
        <v>25000</v>
      </c>
      <c r="M321" s="54">
        <v>20</v>
      </c>
      <c r="N321" s="39" t="s">
        <v>48</v>
      </c>
      <c r="O321" s="39" t="s">
        <v>123</v>
      </c>
      <c r="P321" s="63">
        <v>10000</v>
      </c>
      <c r="Q321" s="2">
        <v>55</v>
      </c>
      <c r="R321" s="15">
        <f>Q321/I321</f>
        <v>0.22</v>
      </c>
      <c r="S321" s="142"/>
      <c r="U321" s="109" t="s">
        <v>767</v>
      </c>
      <c r="V321" s="21" t="s">
        <v>1395</v>
      </c>
      <c r="W321" s="205"/>
      <c r="AE321" s="2">
        <f>AC321*AD321</f>
        <v>0</v>
      </c>
      <c r="AF321" s="2" t="e">
        <f>Z321/Y321</f>
        <v>#DIV/0!</v>
      </c>
      <c r="AG321" s="2" t="e">
        <f>AA321/Z321</f>
        <v>#DIV/0!</v>
      </c>
      <c r="AH321" s="2" t="e">
        <f>AB321/AA321</f>
        <v>#DIV/0!</v>
      </c>
    </row>
    <row r="322" spans="1:34">
      <c r="A322" s="102" t="s">
        <v>475</v>
      </c>
      <c r="B322" s="102" t="s">
        <v>476</v>
      </c>
      <c r="C322" s="40">
        <v>46176</v>
      </c>
      <c r="D322" s="42">
        <v>0.70833333333333337</v>
      </c>
      <c r="E322" s="194" t="s">
        <v>478</v>
      </c>
      <c r="F322" s="8" t="s">
        <v>479</v>
      </c>
      <c r="G322" s="2">
        <v>2</v>
      </c>
      <c r="H322" s="2">
        <v>9</v>
      </c>
      <c r="I322" s="125">
        <v>400</v>
      </c>
      <c r="J322" s="2" t="s">
        <v>766</v>
      </c>
      <c r="K322" s="109" t="s">
        <v>599</v>
      </c>
      <c r="L322" s="105">
        <v>30000</v>
      </c>
      <c r="M322" s="64">
        <v>30</v>
      </c>
      <c r="N322" s="39" t="s">
        <v>48</v>
      </c>
      <c r="O322" s="39" t="s">
        <v>49</v>
      </c>
      <c r="P322" s="134" t="s">
        <v>838</v>
      </c>
      <c r="Q322" s="19">
        <v>70</v>
      </c>
      <c r="R322" s="15">
        <f>Q322/I322</f>
        <v>0.17499999999999999</v>
      </c>
      <c r="S322" s="5">
        <f>($AC322*$AD322)/(($Z322/$Y322)+($AA322/$Z322)+($AB322/$AA322))</f>
        <v>72.897196261682254</v>
      </c>
      <c r="U322" s="109" t="s">
        <v>767</v>
      </c>
      <c r="V322" s="10" t="s">
        <v>590</v>
      </c>
      <c r="W322" s="2" t="s">
        <v>591</v>
      </c>
      <c r="Y322" s="2">
        <v>2</v>
      </c>
      <c r="Z322" s="2">
        <v>5</v>
      </c>
      <c r="AA322" s="2">
        <v>13</v>
      </c>
      <c r="AB322" s="2">
        <v>30</v>
      </c>
      <c r="AC322" s="2">
        <v>30</v>
      </c>
      <c r="AD322" s="2">
        <v>18</v>
      </c>
      <c r="AE322" s="2">
        <f>AC322*AD322</f>
        <v>540</v>
      </c>
      <c r="AF322" s="2">
        <f>Z322/Y322</f>
        <v>2.5</v>
      </c>
      <c r="AG322" s="2">
        <f>AA322/Z322</f>
        <v>2.6</v>
      </c>
      <c r="AH322" s="2">
        <f>AB322/AA322</f>
        <v>2.3076923076923075</v>
      </c>
    </row>
    <row r="323" spans="1:34">
      <c r="A323" s="165" t="s">
        <v>1383</v>
      </c>
      <c r="B323" s="39" t="s">
        <v>63</v>
      </c>
      <c r="C323" s="40">
        <v>46176</v>
      </c>
      <c r="D323" s="144">
        <v>0.75</v>
      </c>
      <c r="E323" s="43"/>
      <c r="F323" s="8" t="s">
        <v>132</v>
      </c>
      <c r="G323" s="2">
        <v>1</v>
      </c>
      <c r="I323" s="125">
        <v>2750</v>
      </c>
      <c r="J323" s="2" t="s">
        <v>766</v>
      </c>
      <c r="K323" s="88" t="s">
        <v>796</v>
      </c>
      <c r="L323" s="90">
        <v>20000</v>
      </c>
      <c r="M323" s="8">
        <v>20</v>
      </c>
      <c r="N323" s="132" t="s">
        <v>821</v>
      </c>
      <c r="O323" s="39" t="s">
        <v>49</v>
      </c>
      <c r="Q323" s="19">
        <v>250</v>
      </c>
      <c r="R323" s="15">
        <f>Q323/I323</f>
        <v>9.0909090909090912E-2</v>
      </c>
      <c r="S323" s="5">
        <v>35</v>
      </c>
      <c r="U323" s="109" t="s">
        <v>767</v>
      </c>
      <c r="V323" s="21" t="s">
        <v>362</v>
      </c>
      <c r="W323" s="8" t="s">
        <v>142</v>
      </c>
      <c r="Y323" s="175"/>
      <c r="Z323" s="175"/>
      <c r="AA323" s="175"/>
      <c r="AB323" s="175"/>
      <c r="AC323" s="175"/>
      <c r="AD323" s="175"/>
      <c r="AE323" s="175"/>
      <c r="AF323" s="175"/>
      <c r="AG323" s="175"/>
      <c r="AH323" s="175"/>
    </row>
    <row r="324" spans="1:34" s="70" customFormat="1">
      <c r="A324" s="52" t="s">
        <v>229</v>
      </c>
      <c r="B324" s="52" t="s">
        <v>230</v>
      </c>
      <c r="C324" s="40">
        <v>46176</v>
      </c>
      <c r="D324" s="42">
        <v>0.75</v>
      </c>
      <c r="E324" s="43"/>
      <c r="F324" s="8" t="s">
        <v>244</v>
      </c>
      <c r="G324" s="2">
        <v>1</v>
      </c>
      <c r="H324" s="2"/>
      <c r="I324" s="125">
        <v>200</v>
      </c>
      <c r="J324" s="2" t="s">
        <v>766</v>
      </c>
      <c r="K324" s="88" t="s">
        <v>804</v>
      </c>
      <c r="L324" s="90">
        <v>30000</v>
      </c>
      <c r="M324" s="8">
        <v>20</v>
      </c>
      <c r="N324" s="39" t="s">
        <v>48</v>
      </c>
      <c r="O324" s="39" t="s">
        <v>49</v>
      </c>
      <c r="P324" s="135" t="s">
        <v>832</v>
      </c>
      <c r="Q324" s="19">
        <v>40</v>
      </c>
      <c r="R324" s="15">
        <f>IF(Q324&gt;0,Q324/I324,"")</f>
        <v>0.2</v>
      </c>
      <c r="S324" s="5">
        <f>($AC324*$AD324)/(($Z324/$Y324)+($AA324/$Z324)+($AB324/$AA324))</f>
        <v>35.555555555555557</v>
      </c>
      <c r="T324" s="5"/>
      <c r="U324" s="109" t="s">
        <v>767</v>
      </c>
      <c r="V324" s="10" t="s">
        <v>719</v>
      </c>
      <c r="W324" s="205"/>
      <c r="X324" s="2"/>
      <c r="Y324" s="2">
        <v>2</v>
      </c>
      <c r="Z324" s="2">
        <v>5</v>
      </c>
      <c r="AA324" s="2">
        <v>20</v>
      </c>
      <c r="AB324" s="2">
        <v>50</v>
      </c>
      <c r="AC324" s="2">
        <v>20</v>
      </c>
      <c r="AD324" s="2">
        <v>16</v>
      </c>
      <c r="AE324" s="2">
        <f>AC324*AD324</f>
        <v>320</v>
      </c>
      <c r="AF324" s="2">
        <f>Z324/Y324</f>
        <v>2.5</v>
      </c>
      <c r="AG324" s="2">
        <f>AA324/Z324</f>
        <v>4</v>
      </c>
      <c r="AH324" s="2">
        <f>AB324/AA324</f>
        <v>2.5</v>
      </c>
    </row>
    <row r="325" spans="1:34">
      <c r="A325" s="96" t="s">
        <v>461</v>
      </c>
      <c r="B325" s="96" t="s">
        <v>462</v>
      </c>
      <c r="C325" s="192">
        <v>46176</v>
      </c>
      <c r="D325" s="42">
        <v>0.75694444444444442</v>
      </c>
      <c r="E325" s="43"/>
      <c r="F325" s="8" t="s">
        <v>472</v>
      </c>
      <c r="G325" s="2">
        <v>2</v>
      </c>
      <c r="I325" s="125">
        <v>300</v>
      </c>
      <c r="J325" s="2" t="s">
        <v>766</v>
      </c>
      <c r="K325" s="109" t="s">
        <v>598</v>
      </c>
      <c r="L325" s="8">
        <v>30000</v>
      </c>
      <c r="M325" s="202">
        <v>30</v>
      </c>
      <c r="N325" s="39" t="s">
        <v>48</v>
      </c>
      <c r="O325" s="39" t="s">
        <v>49</v>
      </c>
      <c r="P325" s="135" t="s">
        <v>842</v>
      </c>
      <c r="Q325" s="19">
        <v>65</v>
      </c>
      <c r="R325" s="15">
        <f>Q325/I325</f>
        <v>0.21666666666666667</v>
      </c>
      <c r="S325" s="5">
        <f>($AC325*$AD325)/(($Z325/$Y325)+($AA325/$Z325)+($AB325/$AA325))</f>
        <v>53.333333333333336</v>
      </c>
      <c r="U325" s="109" t="s">
        <v>767</v>
      </c>
      <c r="V325" s="205" t="s">
        <v>735</v>
      </c>
      <c r="W325" s="205"/>
      <c r="Y325" s="2">
        <v>2</v>
      </c>
      <c r="Z325" s="2">
        <v>5</v>
      </c>
      <c r="AA325" s="2">
        <v>20</v>
      </c>
      <c r="AB325" s="2">
        <v>50</v>
      </c>
      <c r="AC325" s="2">
        <v>16</v>
      </c>
      <c r="AD325" s="2">
        <v>30</v>
      </c>
      <c r="AE325" s="2">
        <f>AC325*AD325</f>
        <v>480</v>
      </c>
      <c r="AF325" s="2">
        <f>Z325/Y325</f>
        <v>2.5</v>
      </c>
      <c r="AG325" s="2">
        <f>AA325/Z325</f>
        <v>4</v>
      </c>
      <c r="AH325" s="2">
        <f>AB325/AA325</f>
        <v>2.5</v>
      </c>
    </row>
    <row r="326" spans="1:34">
      <c r="A326" s="95" t="s">
        <v>447</v>
      </c>
      <c r="B326" s="95" t="s">
        <v>448</v>
      </c>
      <c r="C326" s="40">
        <v>46176</v>
      </c>
      <c r="D326" s="42">
        <v>0.79166666666666663</v>
      </c>
      <c r="E326" s="43"/>
      <c r="F326" s="8" t="s">
        <v>403</v>
      </c>
      <c r="G326" s="2">
        <v>1</v>
      </c>
      <c r="H326" s="2">
        <v>9</v>
      </c>
      <c r="I326" s="125">
        <v>300</v>
      </c>
      <c r="J326" s="2" t="s">
        <v>766</v>
      </c>
      <c r="K326" s="109" t="s">
        <v>602</v>
      </c>
      <c r="L326" s="8">
        <v>25000</v>
      </c>
      <c r="M326" s="8">
        <v>25</v>
      </c>
      <c r="N326" s="39" t="s">
        <v>48</v>
      </c>
      <c r="O326" s="39" t="s">
        <v>49</v>
      </c>
      <c r="P326" s="212" t="s">
        <v>834</v>
      </c>
      <c r="Q326" s="19">
        <v>50</v>
      </c>
      <c r="R326" s="15">
        <f>Q326/I326</f>
        <v>0.16666666666666666</v>
      </c>
      <c r="S326" s="5">
        <f>($AC326*$AD326)/(($Z326/$Y326)+($AA326/$Z326)+($AB326/$AA326))</f>
        <v>37.5</v>
      </c>
      <c r="U326" s="109" t="s">
        <v>767</v>
      </c>
      <c r="V326" s="10" t="s">
        <v>741</v>
      </c>
      <c r="Y326" s="2">
        <v>2.5</v>
      </c>
      <c r="Z326" s="2">
        <v>7.5</v>
      </c>
      <c r="AA326" s="2">
        <v>25</v>
      </c>
      <c r="AB326" s="2">
        <v>75</v>
      </c>
      <c r="AC326" s="2">
        <v>14</v>
      </c>
      <c r="AD326" s="2">
        <v>25</v>
      </c>
      <c r="AE326" s="2">
        <f>AC326*AD326</f>
        <v>350</v>
      </c>
      <c r="AF326" s="2">
        <f>Z326/Y326</f>
        <v>3</v>
      </c>
      <c r="AG326" s="2">
        <f>AA326/Z326</f>
        <v>3.3333333333333335</v>
      </c>
      <c r="AH326" s="2">
        <f>AB326/AA326</f>
        <v>3</v>
      </c>
    </row>
    <row r="327" spans="1:34">
      <c r="A327" s="103" t="s">
        <v>539</v>
      </c>
      <c r="B327" s="103" t="s">
        <v>540</v>
      </c>
      <c r="C327" s="48">
        <v>46176</v>
      </c>
      <c r="D327" s="42">
        <v>0.79166666666666663</v>
      </c>
      <c r="E327" s="194">
        <v>4</v>
      </c>
      <c r="F327" s="63" t="s">
        <v>544</v>
      </c>
      <c r="G327" s="2">
        <v>1</v>
      </c>
      <c r="H327" s="2">
        <v>9</v>
      </c>
      <c r="I327" s="125">
        <v>150</v>
      </c>
      <c r="J327" s="179" t="s">
        <v>766</v>
      </c>
      <c r="K327" s="179" t="s">
        <v>602</v>
      </c>
      <c r="L327" s="89">
        <v>30000</v>
      </c>
      <c r="M327" s="202">
        <v>15</v>
      </c>
      <c r="N327" s="39" t="s">
        <v>48</v>
      </c>
      <c r="O327" s="39" t="s">
        <v>49</v>
      </c>
      <c r="P327" s="135" t="s">
        <v>828</v>
      </c>
      <c r="Q327" s="19">
        <v>46</v>
      </c>
      <c r="R327" s="15">
        <f>Q327/I327</f>
        <v>0.30666666666666664</v>
      </c>
      <c r="S327" s="5">
        <f>($AC327*$AD327)/(($Z327/$Y327)+($AA327/$Z327)+($AB327/$AA327))</f>
        <v>19.534883720930232</v>
      </c>
      <c r="U327" s="109" t="s">
        <v>129</v>
      </c>
      <c r="V327" s="71" t="s">
        <v>1395</v>
      </c>
      <c r="W327" s="179" t="s">
        <v>1389</v>
      </c>
      <c r="Y327" s="2">
        <v>4</v>
      </c>
      <c r="Z327" s="2">
        <v>8</v>
      </c>
      <c r="AA327" s="2">
        <v>30</v>
      </c>
      <c r="AB327" s="2">
        <v>150</v>
      </c>
      <c r="AC327" s="2">
        <v>14</v>
      </c>
      <c r="AD327" s="2">
        <v>15</v>
      </c>
      <c r="AE327" s="2">
        <f>AC327*AD327</f>
        <v>210</v>
      </c>
      <c r="AF327" s="2">
        <f>Z327/Y327</f>
        <v>2</v>
      </c>
      <c r="AG327" s="2">
        <f>AA327/Z327</f>
        <v>3.75</v>
      </c>
      <c r="AH327" s="2">
        <f>AB327/AA327</f>
        <v>5</v>
      </c>
    </row>
    <row r="328" spans="1:34">
      <c r="A328" s="165" t="s">
        <v>1383</v>
      </c>
      <c r="B328" s="39" t="s">
        <v>63</v>
      </c>
      <c r="C328" s="192">
        <v>46176</v>
      </c>
      <c r="D328" s="144">
        <v>0.79166666666666663</v>
      </c>
      <c r="E328" s="43"/>
      <c r="F328" s="8" t="s">
        <v>917</v>
      </c>
      <c r="G328" s="2">
        <v>1</v>
      </c>
      <c r="H328" s="2">
        <v>9</v>
      </c>
      <c r="I328" s="57">
        <v>585</v>
      </c>
      <c r="J328" s="2" t="s">
        <v>766</v>
      </c>
      <c r="K328" s="88" t="s">
        <v>800</v>
      </c>
      <c r="L328" s="89">
        <v>10000</v>
      </c>
      <c r="M328" s="202">
        <v>20</v>
      </c>
      <c r="N328" s="132" t="s">
        <v>821</v>
      </c>
      <c r="O328" s="39" t="s">
        <v>49</v>
      </c>
      <c r="P328" s="210"/>
      <c r="Q328" s="19">
        <v>89</v>
      </c>
      <c r="R328" s="59">
        <f>Q328/I328</f>
        <v>0.15213675213675212</v>
      </c>
      <c r="S328" s="5">
        <v>29</v>
      </c>
      <c r="U328" s="109" t="s">
        <v>767</v>
      </c>
      <c r="V328" s="84" t="s">
        <v>362</v>
      </c>
      <c r="W328" s="8" t="s">
        <v>368</v>
      </c>
      <c r="Y328" s="175"/>
      <c r="Z328" s="175"/>
      <c r="AA328" s="175"/>
      <c r="AB328" s="175"/>
      <c r="AC328" s="175"/>
      <c r="AD328" s="175"/>
      <c r="AE328" s="175"/>
      <c r="AF328" s="175"/>
      <c r="AG328" s="175"/>
      <c r="AH328" s="175"/>
    </row>
    <row r="329" spans="1:34" s="70" customFormat="1">
      <c r="A329" s="52" t="s">
        <v>220</v>
      </c>
      <c r="B329" s="52" t="s">
        <v>221</v>
      </c>
      <c r="C329" s="48">
        <v>46176</v>
      </c>
      <c r="D329" s="42">
        <v>0.79166666666666663</v>
      </c>
      <c r="E329" s="43"/>
      <c r="F329" s="8" t="s">
        <v>1043</v>
      </c>
      <c r="G329" s="2">
        <v>2</v>
      </c>
      <c r="H329" s="2">
        <v>9</v>
      </c>
      <c r="I329" s="125">
        <v>1100</v>
      </c>
      <c r="J329" s="2" t="s">
        <v>766</v>
      </c>
      <c r="K329" s="88" t="s">
        <v>805</v>
      </c>
      <c r="L329" s="90">
        <v>40000</v>
      </c>
      <c r="M329" s="64" t="s">
        <v>113</v>
      </c>
      <c r="N329" s="39" t="s">
        <v>48</v>
      </c>
      <c r="O329" s="39" t="s">
        <v>49</v>
      </c>
      <c r="P329" s="135" t="s">
        <v>847</v>
      </c>
      <c r="Q329" s="19">
        <v>135</v>
      </c>
      <c r="R329" s="15">
        <f>Q329/I329</f>
        <v>0.12272727272727273</v>
      </c>
      <c r="S329" s="5">
        <f>($AC329*$AD329)/(($Z329/$Y329)+($AA329/$Z329)+($AB329/$AA329))</f>
        <v>44.081632653061227</v>
      </c>
      <c r="T329" s="5"/>
      <c r="U329" s="109" t="s">
        <v>129</v>
      </c>
      <c r="V329" s="10" t="s">
        <v>738</v>
      </c>
      <c r="W329" s="2"/>
      <c r="X329" s="2"/>
      <c r="Y329" s="2">
        <v>2</v>
      </c>
      <c r="Z329" s="2">
        <v>5</v>
      </c>
      <c r="AA329" s="2">
        <v>15</v>
      </c>
      <c r="AB329" s="2">
        <v>40</v>
      </c>
      <c r="AC329" s="2">
        <v>18</v>
      </c>
      <c r="AD329" s="2">
        <v>20</v>
      </c>
      <c r="AE329" s="2">
        <f>AC329*AD329</f>
        <v>360</v>
      </c>
      <c r="AF329" s="2">
        <f>Z329/Y329</f>
        <v>2.5</v>
      </c>
      <c r="AG329" s="2">
        <f>AA329/Z329</f>
        <v>3</v>
      </c>
      <c r="AH329" s="2">
        <f>AB329/AA329</f>
        <v>2.6666666666666665</v>
      </c>
    </row>
    <row r="330" spans="1:34">
      <c r="A330" s="165" t="s">
        <v>1383</v>
      </c>
      <c r="B330" s="39" t="s">
        <v>63</v>
      </c>
      <c r="C330" s="192">
        <v>46176</v>
      </c>
      <c r="D330" s="144">
        <v>0.83333333333333337</v>
      </c>
      <c r="E330" s="194"/>
      <c r="F330" s="194" t="s">
        <v>1023</v>
      </c>
      <c r="G330" s="2">
        <v>1</v>
      </c>
      <c r="H330" s="2">
        <v>9</v>
      </c>
      <c r="I330" s="37">
        <v>200</v>
      </c>
      <c r="J330" s="2" t="s">
        <v>766</v>
      </c>
      <c r="K330" s="88" t="s">
        <v>806</v>
      </c>
      <c r="L330" s="89">
        <v>20000</v>
      </c>
      <c r="M330" s="205">
        <v>20</v>
      </c>
      <c r="N330" s="39" t="s">
        <v>817</v>
      </c>
      <c r="O330" s="39" t="s">
        <v>49</v>
      </c>
      <c r="P330" s="210"/>
      <c r="Q330" s="19">
        <v>45</v>
      </c>
      <c r="R330" s="15">
        <f>Q330/I330</f>
        <v>0.22500000000000001</v>
      </c>
      <c r="S330" s="5">
        <v>23</v>
      </c>
      <c r="U330" s="109" t="s">
        <v>129</v>
      </c>
      <c r="V330" s="21" t="s">
        <v>360</v>
      </c>
      <c r="W330" s="205"/>
      <c r="Y330" s="175"/>
      <c r="Z330" s="175"/>
      <c r="AA330" s="175"/>
      <c r="AB330" s="175"/>
      <c r="AC330" s="175"/>
      <c r="AD330" s="175"/>
      <c r="AE330" s="175"/>
      <c r="AF330" s="175"/>
      <c r="AG330" s="175"/>
      <c r="AH330" s="175"/>
    </row>
    <row r="331" spans="1:34">
      <c r="A331" s="165" t="s">
        <v>1383</v>
      </c>
      <c r="B331" s="39" t="s">
        <v>63</v>
      </c>
      <c r="C331" s="192">
        <v>46176</v>
      </c>
      <c r="D331" s="144">
        <v>0.91666666666666663</v>
      </c>
      <c r="E331" s="43"/>
      <c r="F331" s="194" t="s">
        <v>909</v>
      </c>
      <c r="G331" s="2">
        <v>1</v>
      </c>
      <c r="H331" s="2">
        <v>9</v>
      </c>
      <c r="I331" s="37">
        <v>135</v>
      </c>
      <c r="J331" s="2" t="s">
        <v>766</v>
      </c>
      <c r="K331" s="88" t="s">
        <v>813</v>
      </c>
      <c r="L331" s="89">
        <v>10000</v>
      </c>
      <c r="M331" s="202">
        <v>15</v>
      </c>
      <c r="N331" s="132" t="s">
        <v>821</v>
      </c>
      <c r="O331" s="39" t="s">
        <v>49</v>
      </c>
      <c r="Q331" s="19">
        <v>35</v>
      </c>
      <c r="R331" s="15">
        <f>Q331/I331</f>
        <v>0.25925925925925924</v>
      </c>
      <c r="S331" s="5">
        <v>22</v>
      </c>
      <c r="U331" s="109" t="s">
        <v>767</v>
      </c>
      <c r="V331" s="71" t="s">
        <v>362</v>
      </c>
      <c r="W331" s="8" t="s">
        <v>369</v>
      </c>
      <c r="Y331" s="175"/>
      <c r="Z331" s="175"/>
      <c r="AA331" s="175"/>
      <c r="AB331" s="175"/>
      <c r="AC331" s="175"/>
      <c r="AD331" s="175"/>
      <c r="AE331" s="175"/>
      <c r="AF331" s="175"/>
      <c r="AG331" s="175"/>
      <c r="AH331" s="175"/>
    </row>
    <row r="332" spans="1:34">
      <c r="A332" s="165" t="s">
        <v>1383</v>
      </c>
      <c r="B332" s="36" t="s">
        <v>63</v>
      </c>
      <c r="C332" s="192">
        <v>46176</v>
      </c>
      <c r="D332" s="144" t="s">
        <v>117</v>
      </c>
      <c r="E332" s="228">
        <v>18</v>
      </c>
      <c r="F332" s="194" t="s">
        <v>941</v>
      </c>
      <c r="G332" s="2">
        <v>5</v>
      </c>
      <c r="H332" s="2">
        <v>9</v>
      </c>
      <c r="I332" s="37">
        <v>1500</v>
      </c>
      <c r="J332" s="2" t="s">
        <v>761</v>
      </c>
      <c r="K332" s="109" t="s">
        <v>816</v>
      </c>
      <c r="L332" s="89">
        <v>50000</v>
      </c>
      <c r="M332" s="202">
        <v>60</v>
      </c>
      <c r="N332" s="39" t="s">
        <v>48</v>
      </c>
      <c r="O332" s="39" t="s">
        <v>49</v>
      </c>
      <c r="P332" s="210"/>
      <c r="Q332" s="19">
        <f>R332*I332</f>
        <v>172.5</v>
      </c>
      <c r="R332" s="15">
        <v>0.115</v>
      </c>
      <c r="S332" s="5">
        <f>($AC332*$AD332)/(($Z332/$Y332)+($AA332/$Z332)+($AB332/$AA332))</f>
        <v>161.993769470405</v>
      </c>
      <c r="U332" s="109" t="s">
        <v>767</v>
      </c>
      <c r="V332" s="10" t="s">
        <v>121</v>
      </c>
      <c r="Y332" s="2">
        <v>2</v>
      </c>
      <c r="Z332" s="2">
        <v>5</v>
      </c>
      <c r="AA332" s="2">
        <v>13</v>
      </c>
      <c r="AB332" s="2">
        <v>30</v>
      </c>
      <c r="AC332" s="2">
        <v>20</v>
      </c>
      <c r="AD332" s="2">
        <v>60</v>
      </c>
      <c r="AE332" s="2">
        <f>AC332*AD332</f>
        <v>1200</v>
      </c>
      <c r="AF332" s="2">
        <f>Z332/Y332</f>
        <v>2.5</v>
      </c>
      <c r="AG332" s="2">
        <f>AA332/Z332</f>
        <v>2.6</v>
      </c>
      <c r="AH332" s="2">
        <f>AB332/AA332</f>
        <v>2.3076923076923075</v>
      </c>
    </row>
    <row r="333" spans="1:34">
      <c r="A333" s="165" t="s">
        <v>1383</v>
      </c>
      <c r="B333" s="36" t="s">
        <v>63</v>
      </c>
      <c r="C333" s="192">
        <v>46176</v>
      </c>
      <c r="D333" s="144" t="s">
        <v>115</v>
      </c>
      <c r="E333" s="35">
        <v>11</v>
      </c>
      <c r="F333" s="194" t="s">
        <v>1242</v>
      </c>
      <c r="G333" s="2">
        <v>4</v>
      </c>
      <c r="H333" s="2">
        <v>9</v>
      </c>
      <c r="I333" s="37">
        <v>10000</v>
      </c>
      <c r="J333" s="2" t="s">
        <v>766</v>
      </c>
      <c r="K333" s="109" t="s">
        <v>601</v>
      </c>
      <c r="L333" s="89">
        <v>100000</v>
      </c>
      <c r="M333" s="202">
        <v>60</v>
      </c>
      <c r="N333" s="39" t="s">
        <v>48</v>
      </c>
      <c r="O333" s="39" t="s">
        <v>49</v>
      </c>
      <c r="P333" s="210"/>
      <c r="Q333" s="19">
        <f>R333*I333</f>
        <v>700.00000000000011</v>
      </c>
      <c r="R333" s="15">
        <v>7.0000000000000007E-2</v>
      </c>
      <c r="S333" s="5">
        <v>196</v>
      </c>
      <c r="U333" s="109" t="s">
        <v>767</v>
      </c>
      <c r="V333" s="10" t="s">
        <v>121</v>
      </c>
      <c r="Y333" s="175"/>
      <c r="Z333" s="175"/>
      <c r="AA333" s="175"/>
      <c r="AB333" s="175"/>
      <c r="AC333" s="175"/>
      <c r="AD333" s="175"/>
      <c r="AE333" s="175"/>
      <c r="AF333" s="175"/>
      <c r="AG333" s="175"/>
      <c r="AH333" s="175"/>
    </row>
    <row r="334" spans="1:34">
      <c r="A334" s="165" t="s">
        <v>1383</v>
      </c>
      <c r="B334" s="36" t="s">
        <v>63</v>
      </c>
      <c r="C334" s="192">
        <v>46176</v>
      </c>
      <c r="D334" s="144" t="s">
        <v>115</v>
      </c>
      <c r="E334" s="194">
        <v>16</v>
      </c>
      <c r="F334" s="194" t="s">
        <v>1237</v>
      </c>
      <c r="G334" s="2">
        <v>3</v>
      </c>
      <c r="H334" s="2">
        <v>9</v>
      </c>
      <c r="I334" s="37">
        <v>1700</v>
      </c>
      <c r="J334" s="2" t="s">
        <v>762</v>
      </c>
      <c r="K334" s="109" t="s">
        <v>601</v>
      </c>
      <c r="L334" s="89">
        <v>40000</v>
      </c>
      <c r="M334" s="202" t="s">
        <v>97</v>
      </c>
      <c r="N334" s="39" t="s">
        <v>48</v>
      </c>
      <c r="O334" s="39" t="s">
        <v>49</v>
      </c>
      <c r="P334" s="210"/>
      <c r="Q334" s="19">
        <f>R334*I334</f>
        <v>195.5</v>
      </c>
      <c r="R334" s="15">
        <v>0.115</v>
      </c>
      <c r="S334" s="5">
        <f>($AC334*$AD334)/(($Z334/$Y334)+($AA334/$Z334)+($AB334/$AA334))</f>
        <v>102.59605399792316</v>
      </c>
      <c r="U334" s="109" t="s">
        <v>767</v>
      </c>
      <c r="V334" s="10" t="s">
        <v>121</v>
      </c>
      <c r="W334" s="205"/>
      <c r="Y334" s="2">
        <v>2</v>
      </c>
      <c r="Z334" s="2">
        <v>5</v>
      </c>
      <c r="AA334" s="2">
        <v>13</v>
      </c>
      <c r="AB334" s="2">
        <v>30</v>
      </c>
      <c r="AC334" s="2">
        <v>19</v>
      </c>
      <c r="AD334" s="2">
        <v>40</v>
      </c>
      <c r="AE334" s="2">
        <f>AC334*AD334</f>
        <v>760</v>
      </c>
      <c r="AF334" s="2">
        <f>Z334/Y334</f>
        <v>2.5</v>
      </c>
      <c r="AG334" s="2">
        <f>AA334/Z334</f>
        <v>2.6</v>
      </c>
      <c r="AH334" s="2">
        <f>AB334/AA334</f>
        <v>2.3076923076923075</v>
      </c>
    </row>
    <row r="335" spans="1:34">
      <c r="A335" s="165" t="s">
        <v>1383</v>
      </c>
      <c r="B335" s="36" t="s">
        <v>63</v>
      </c>
      <c r="C335" s="192">
        <v>46176</v>
      </c>
      <c r="D335" s="144" t="s">
        <v>115</v>
      </c>
      <c r="E335" s="228">
        <v>19</v>
      </c>
      <c r="F335" s="194" t="s">
        <v>945</v>
      </c>
      <c r="G335" s="2">
        <v>4</v>
      </c>
      <c r="H335" s="2">
        <v>8</v>
      </c>
      <c r="I335" s="37">
        <v>25000</v>
      </c>
      <c r="J335" s="2" t="s">
        <v>760</v>
      </c>
      <c r="K335" s="109" t="s">
        <v>598</v>
      </c>
      <c r="L335" s="89">
        <v>150000</v>
      </c>
      <c r="M335" s="202">
        <v>60</v>
      </c>
      <c r="N335" s="39" t="s">
        <v>48</v>
      </c>
      <c r="O335" s="39" t="s">
        <v>49</v>
      </c>
      <c r="P335" s="210"/>
      <c r="Q335" s="19">
        <f>R335*I335</f>
        <v>1500</v>
      </c>
      <c r="R335" s="15">
        <v>0.06</v>
      </c>
      <c r="S335" s="5">
        <f>($AC335*$AD335)/(($Z335/$Y335)+($AA335/$Z335)+($AB335/$AA335))</f>
        <v>136.46655231560891</v>
      </c>
      <c r="U335" s="109" t="s">
        <v>767</v>
      </c>
      <c r="V335" s="205" t="s">
        <v>121</v>
      </c>
      <c r="Y335" s="2">
        <v>13</v>
      </c>
      <c r="Z335" s="2">
        <v>30</v>
      </c>
      <c r="AA335" s="2">
        <v>75</v>
      </c>
      <c r="AB335" s="2">
        <v>200</v>
      </c>
      <c r="AC335" s="2">
        <v>17</v>
      </c>
      <c r="AD335" s="2">
        <v>60</v>
      </c>
      <c r="AE335" s="2">
        <f>AC335*AD335</f>
        <v>1020</v>
      </c>
      <c r="AF335" s="2">
        <f>Z335/Y335</f>
        <v>2.3076923076923075</v>
      </c>
      <c r="AG335" s="2">
        <f>AA335/Z335</f>
        <v>2.5</v>
      </c>
      <c r="AH335" s="2">
        <f>AB335/AA335</f>
        <v>2.6666666666666665</v>
      </c>
    </row>
    <row r="336" spans="1:34">
      <c r="A336" s="165" t="s">
        <v>1383</v>
      </c>
      <c r="B336" s="36" t="s">
        <v>63</v>
      </c>
      <c r="C336" s="192">
        <v>46176</v>
      </c>
      <c r="D336" s="144" t="s">
        <v>116</v>
      </c>
      <c r="E336" s="194">
        <v>20</v>
      </c>
      <c r="F336" s="194" t="s">
        <v>182</v>
      </c>
      <c r="G336" s="2">
        <v>3</v>
      </c>
      <c r="H336" s="2">
        <v>7</v>
      </c>
      <c r="I336" s="37">
        <v>1500</v>
      </c>
      <c r="J336" s="2" t="s">
        <v>760</v>
      </c>
      <c r="K336" s="109" t="s">
        <v>598</v>
      </c>
      <c r="L336" s="89">
        <v>25000</v>
      </c>
      <c r="M336" s="202" t="s">
        <v>97</v>
      </c>
      <c r="N336" s="39" t="s">
        <v>48</v>
      </c>
      <c r="O336" s="39" t="s">
        <v>393</v>
      </c>
      <c r="P336" s="213"/>
      <c r="Q336" s="38">
        <f>R336*I336</f>
        <v>172.5</v>
      </c>
      <c r="R336" s="15">
        <v>0.115</v>
      </c>
      <c r="S336" s="149" t="s">
        <v>110</v>
      </c>
      <c r="T336" s="149"/>
      <c r="U336" s="109" t="s">
        <v>767</v>
      </c>
      <c r="V336" s="2" t="s">
        <v>121</v>
      </c>
      <c r="AE336" s="2" t="e">
        <f>AD336*#REF!</f>
        <v>#REF!</v>
      </c>
      <c r="AF336" s="2" t="e">
        <f>Z336/Y336</f>
        <v>#DIV/0!</v>
      </c>
      <c r="AG336" s="2" t="e">
        <f>AA336/Z336</f>
        <v>#DIV/0!</v>
      </c>
      <c r="AH336" s="2" t="e">
        <f>AC336/AA336</f>
        <v>#DIV/0!</v>
      </c>
    </row>
    <row r="337" spans="1:34" s="73" customFormat="1">
      <c r="A337" s="165" t="s">
        <v>1383</v>
      </c>
      <c r="B337" s="36" t="s">
        <v>63</v>
      </c>
      <c r="C337" s="41">
        <v>46176</v>
      </c>
      <c r="D337" s="144" t="s">
        <v>876</v>
      </c>
      <c r="E337" s="8">
        <v>13</v>
      </c>
      <c r="F337" s="194" t="s">
        <v>1315</v>
      </c>
      <c r="G337" s="2">
        <v>3</v>
      </c>
      <c r="H337" s="2">
        <v>6</v>
      </c>
      <c r="I337" s="37">
        <v>1500</v>
      </c>
      <c r="J337" s="2" t="s">
        <v>760</v>
      </c>
      <c r="K337" s="109" t="s">
        <v>598</v>
      </c>
      <c r="L337" s="89">
        <v>25000</v>
      </c>
      <c r="M337" s="202" t="s">
        <v>97</v>
      </c>
      <c r="N337" s="39" t="s">
        <v>48</v>
      </c>
      <c r="O337" s="39" t="s">
        <v>49</v>
      </c>
      <c r="P337" s="210"/>
      <c r="Q337" s="19">
        <f>R337*I337</f>
        <v>172.5</v>
      </c>
      <c r="R337" s="15">
        <v>0.115</v>
      </c>
      <c r="S337" s="5">
        <f>($AC337*$AD337)/(($Z337/$Y337)+($AA337/$Z337)+($AB337/$AA337))</f>
        <v>93.913043478260875</v>
      </c>
      <c r="T337" s="5"/>
      <c r="U337" s="109" t="s">
        <v>375</v>
      </c>
      <c r="V337" s="10" t="s">
        <v>121</v>
      </c>
      <c r="W337" s="205"/>
      <c r="X337" s="2"/>
      <c r="Y337" s="2">
        <v>1.5</v>
      </c>
      <c r="Z337" s="2">
        <v>4</v>
      </c>
      <c r="AA337" s="2">
        <v>10</v>
      </c>
      <c r="AB337" s="2">
        <v>25</v>
      </c>
      <c r="AC337" s="2">
        <v>18</v>
      </c>
      <c r="AD337" s="2">
        <v>40</v>
      </c>
      <c r="AE337" s="2">
        <f>AC337*AD337</f>
        <v>720</v>
      </c>
      <c r="AF337" s="2">
        <f>Z337/Y337</f>
        <v>2.6666666666666665</v>
      </c>
      <c r="AG337" s="2">
        <f>AA337/Z337</f>
        <v>2.5</v>
      </c>
      <c r="AH337" s="2">
        <f>AB337/AA337</f>
        <v>2.5</v>
      </c>
    </row>
    <row r="338" spans="1:34" s="70" customFormat="1">
      <c r="A338" s="165" t="s">
        <v>1383</v>
      </c>
      <c r="B338" s="36" t="s">
        <v>63</v>
      </c>
      <c r="C338" s="41">
        <v>46176</v>
      </c>
      <c r="D338" s="144" t="s">
        <v>876</v>
      </c>
      <c r="E338" s="8">
        <v>14</v>
      </c>
      <c r="F338" s="194" t="s">
        <v>1311</v>
      </c>
      <c r="G338" s="2">
        <v>3</v>
      </c>
      <c r="H338" s="2">
        <v>8</v>
      </c>
      <c r="I338" s="45">
        <v>1500</v>
      </c>
      <c r="J338" s="2" t="s">
        <v>762</v>
      </c>
      <c r="K338" s="109" t="s">
        <v>598</v>
      </c>
      <c r="L338" s="92">
        <v>25000</v>
      </c>
      <c r="M338" s="69" t="s">
        <v>97</v>
      </c>
      <c r="N338" s="39" t="s">
        <v>48</v>
      </c>
      <c r="O338" s="39" t="s">
        <v>875</v>
      </c>
      <c r="P338" s="19"/>
      <c r="Q338" s="38">
        <f>R338*I338</f>
        <v>172.5</v>
      </c>
      <c r="R338" s="15">
        <v>0.115</v>
      </c>
      <c r="S338" s="149" t="s">
        <v>110</v>
      </c>
      <c r="T338" s="149"/>
      <c r="U338" s="109" t="s">
        <v>767</v>
      </c>
      <c r="V338" s="10" t="s">
        <v>121</v>
      </c>
      <c r="W338" s="10"/>
      <c r="X338" s="2"/>
      <c r="Y338" s="2"/>
      <c r="Z338" s="2"/>
      <c r="AA338" s="2"/>
      <c r="AB338" s="2"/>
      <c r="AC338" s="2"/>
      <c r="AD338" s="2"/>
      <c r="AE338" s="2" t="e">
        <f>AD338*#REF!</f>
        <v>#REF!</v>
      </c>
      <c r="AF338" s="2" t="e">
        <f>Z338/Y338</f>
        <v>#DIV/0!</v>
      </c>
      <c r="AG338" s="2" t="e">
        <f>AA338/Z338</f>
        <v>#DIV/0!</v>
      </c>
      <c r="AH338" s="2" t="e">
        <f>AC338/AA338</f>
        <v>#DIV/0!</v>
      </c>
    </row>
    <row r="339" spans="1:34" s="73" customFormat="1">
      <c r="A339" s="165" t="s">
        <v>1383</v>
      </c>
      <c r="B339" s="39" t="s">
        <v>63</v>
      </c>
      <c r="C339" s="41">
        <v>46177</v>
      </c>
      <c r="D339" s="144">
        <v>0.375</v>
      </c>
      <c r="E339" s="8"/>
      <c r="F339" s="194" t="s">
        <v>925</v>
      </c>
      <c r="G339" s="2">
        <v>1</v>
      </c>
      <c r="H339" s="2">
        <v>9</v>
      </c>
      <c r="I339" s="45">
        <v>250</v>
      </c>
      <c r="J339" s="2" t="s">
        <v>766</v>
      </c>
      <c r="K339" s="88" t="s">
        <v>772</v>
      </c>
      <c r="L339" s="92">
        <v>25000</v>
      </c>
      <c r="M339" s="10">
        <v>30</v>
      </c>
      <c r="N339" s="39" t="s">
        <v>823</v>
      </c>
      <c r="O339" s="39" t="s">
        <v>49</v>
      </c>
      <c r="P339" s="129"/>
      <c r="Q339" s="19">
        <v>50</v>
      </c>
      <c r="R339" s="15">
        <v>0.2</v>
      </c>
      <c r="S339" s="5">
        <v>44</v>
      </c>
      <c r="T339" s="5"/>
      <c r="U339" s="109" t="s">
        <v>54</v>
      </c>
      <c r="V339" s="21" t="s">
        <v>360</v>
      </c>
      <c r="W339" s="10"/>
      <c r="X339" s="2"/>
      <c r="Y339" s="175"/>
      <c r="Z339" s="175"/>
      <c r="AA339" s="175"/>
      <c r="AB339" s="175"/>
      <c r="AC339" s="175"/>
      <c r="AD339" s="175"/>
      <c r="AE339" s="175"/>
      <c r="AF339" s="175"/>
      <c r="AG339" s="175"/>
      <c r="AH339" s="175"/>
    </row>
    <row r="340" spans="1:34">
      <c r="A340" s="96" t="s">
        <v>461</v>
      </c>
      <c r="B340" s="96" t="s">
        <v>462</v>
      </c>
      <c r="C340" s="41">
        <v>46177</v>
      </c>
      <c r="D340" s="42">
        <v>0.4236111111111111</v>
      </c>
      <c r="E340" s="193"/>
      <c r="F340" s="194" t="s">
        <v>457</v>
      </c>
      <c r="G340" s="2">
        <v>1</v>
      </c>
      <c r="I340" s="125">
        <v>120</v>
      </c>
      <c r="J340" s="2" t="s">
        <v>766</v>
      </c>
      <c r="K340" s="109" t="s">
        <v>602</v>
      </c>
      <c r="L340" s="8">
        <v>20000</v>
      </c>
      <c r="M340" s="69">
        <v>20</v>
      </c>
      <c r="N340" s="39" t="s">
        <v>48</v>
      </c>
      <c r="O340" s="39" t="s">
        <v>49</v>
      </c>
      <c r="P340" s="135" t="s">
        <v>832</v>
      </c>
      <c r="Q340" s="19">
        <v>24</v>
      </c>
      <c r="R340" s="15">
        <f>Q340/I340</f>
        <v>0.2</v>
      </c>
      <c r="S340" s="5">
        <f>($AC340*$AD340)/(($Z340/$Y340)+($AA340/$Z340)+($AB340/$AA340))</f>
        <v>25.161290322580644</v>
      </c>
      <c r="U340" s="109" t="s">
        <v>767</v>
      </c>
      <c r="V340" s="10" t="s">
        <v>735</v>
      </c>
      <c r="W340" s="10"/>
      <c r="Y340" s="2">
        <v>2.5</v>
      </c>
      <c r="Z340" s="2">
        <v>7.5</v>
      </c>
      <c r="AA340" s="2">
        <v>30</v>
      </c>
      <c r="AB340" s="2">
        <v>100</v>
      </c>
      <c r="AC340" s="2">
        <v>13</v>
      </c>
      <c r="AD340" s="2">
        <v>20</v>
      </c>
      <c r="AE340" s="2">
        <f>AC340*AD340</f>
        <v>260</v>
      </c>
      <c r="AF340" s="2">
        <f>Z340/Y340</f>
        <v>3</v>
      </c>
      <c r="AG340" s="2">
        <f>AA340/Z340</f>
        <v>4</v>
      </c>
      <c r="AH340" s="2">
        <f>AB340/AA340</f>
        <v>3.3333333333333335</v>
      </c>
    </row>
    <row r="341" spans="1:34">
      <c r="A341" s="68" t="s">
        <v>357</v>
      </c>
      <c r="B341" s="68" t="s">
        <v>358</v>
      </c>
      <c r="C341" s="191">
        <v>46177</v>
      </c>
      <c r="D341" s="42">
        <v>0.4236111111111111</v>
      </c>
      <c r="E341" s="8">
        <v>36</v>
      </c>
      <c r="F341" s="197" t="s">
        <v>298</v>
      </c>
      <c r="G341" s="2">
        <v>2</v>
      </c>
      <c r="H341" s="2">
        <v>9</v>
      </c>
      <c r="I341" s="125">
        <v>800</v>
      </c>
      <c r="J341" s="2" t="s">
        <v>766</v>
      </c>
      <c r="K341" s="137" t="s">
        <v>603</v>
      </c>
      <c r="L341" s="89">
        <v>40000</v>
      </c>
      <c r="M341" s="69">
        <v>40</v>
      </c>
      <c r="N341" s="39" t="s">
        <v>48</v>
      </c>
      <c r="O341" s="39" t="s">
        <v>49</v>
      </c>
      <c r="P341" s="135" t="s">
        <v>842</v>
      </c>
      <c r="Q341" s="19">
        <v>110</v>
      </c>
      <c r="R341" s="15">
        <f>Q341/I341</f>
        <v>0.13750000000000001</v>
      </c>
      <c r="S341" s="5">
        <f>($AC341*$AD341)/(($Z341/$Y341)+($AA341/$Z341)+($AB341/$AA341))</f>
        <v>102.59605399792316</v>
      </c>
      <c r="U341" s="109" t="s">
        <v>767</v>
      </c>
      <c r="V341" s="10" t="s">
        <v>670</v>
      </c>
      <c r="W341" s="10"/>
      <c r="Y341" s="2">
        <v>2</v>
      </c>
      <c r="Z341" s="2">
        <v>5</v>
      </c>
      <c r="AA341" s="2">
        <v>13</v>
      </c>
      <c r="AB341" s="2">
        <v>30</v>
      </c>
      <c r="AC341" s="2">
        <v>40</v>
      </c>
      <c r="AD341" s="2">
        <v>19</v>
      </c>
      <c r="AE341" s="2">
        <f>AC341*AD341</f>
        <v>760</v>
      </c>
      <c r="AF341" s="2">
        <f>Z341/Y341</f>
        <v>2.5</v>
      </c>
      <c r="AG341" s="2">
        <f>AA341/Z341</f>
        <v>2.6</v>
      </c>
      <c r="AH341" s="2">
        <f>AB341/AA341</f>
        <v>2.3076923076923075</v>
      </c>
    </row>
    <row r="342" spans="1:34" s="70" customFormat="1">
      <c r="A342" s="95" t="s">
        <v>447</v>
      </c>
      <c r="B342" s="95" t="s">
        <v>448</v>
      </c>
      <c r="C342" s="190">
        <v>46177</v>
      </c>
      <c r="D342" s="42">
        <v>0.45833333333333331</v>
      </c>
      <c r="E342" s="193"/>
      <c r="F342" s="194" t="s">
        <v>412</v>
      </c>
      <c r="G342" s="2">
        <v>1</v>
      </c>
      <c r="H342" s="2">
        <v>9</v>
      </c>
      <c r="I342" s="126">
        <v>800</v>
      </c>
      <c r="J342" s="2" t="s">
        <v>766</v>
      </c>
      <c r="K342" s="109" t="s">
        <v>602</v>
      </c>
      <c r="L342" s="194">
        <v>30000</v>
      </c>
      <c r="M342" s="194">
        <v>30</v>
      </c>
      <c r="N342" s="39" t="s">
        <v>48</v>
      </c>
      <c r="O342" s="39" t="s">
        <v>49</v>
      </c>
      <c r="P342" s="135" t="s">
        <v>840</v>
      </c>
      <c r="Q342" s="19">
        <v>100</v>
      </c>
      <c r="R342" s="15">
        <f>Q342/I342</f>
        <v>0.125</v>
      </c>
      <c r="S342" s="5">
        <f>($AC342*$AD342)/(($Z342/$Y342)+($AA342/$Z342)+($AB342/$AA342))</f>
        <v>72.897196261682254</v>
      </c>
      <c r="T342" s="5"/>
      <c r="U342" s="109" t="s">
        <v>54</v>
      </c>
      <c r="V342" s="10" t="s">
        <v>741</v>
      </c>
      <c r="W342" s="10"/>
      <c r="X342" s="2"/>
      <c r="Y342" s="2">
        <v>2</v>
      </c>
      <c r="Z342" s="2">
        <v>5</v>
      </c>
      <c r="AA342" s="2">
        <v>13</v>
      </c>
      <c r="AB342" s="2">
        <v>30</v>
      </c>
      <c r="AC342" s="2">
        <v>18</v>
      </c>
      <c r="AD342" s="2">
        <v>30</v>
      </c>
      <c r="AE342" s="2">
        <f>AC342*AD342</f>
        <v>540</v>
      </c>
      <c r="AF342" s="2">
        <f>Z342/Y342</f>
        <v>2.5</v>
      </c>
      <c r="AG342" s="2">
        <f>AA342/Z342</f>
        <v>2.6</v>
      </c>
      <c r="AH342" s="2">
        <f>AB342/AA342</f>
        <v>2.3076923076923075</v>
      </c>
    </row>
    <row r="343" spans="1:34">
      <c r="A343" s="103" t="s">
        <v>539</v>
      </c>
      <c r="B343" s="103" t="s">
        <v>540</v>
      </c>
      <c r="C343" s="191">
        <v>46177</v>
      </c>
      <c r="D343" s="42">
        <v>0.45833333333333331</v>
      </c>
      <c r="E343" s="8">
        <v>5</v>
      </c>
      <c r="F343" s="197" t="s">
        <v>542</v>
      </c>
      <c r="G343" s="2">
        <v>1</v>
      </c>
      <c r="H343" s="2">
        <v>9</v>
      </c>
      <c r="I343" s="125">
        <v>200</v>
      </c>
      <c r="J343" s="179" t="s">
        <v>766</v>
      </c>
      <c r="K343" s="179" t="s">
        <v>815</v>
      </c>
      <c r="L343" s="89">
        <v>30000</v>
      </c>
      <c r="M343" s="69">
        <v>30</v>
      </c>
      <c r="N343" s="39" t="s">
        <v>48</v>
      </c>
      <c r="O343" s="39" t="s">
        <v>49</v>
      </c>
      <c r="P343" s="134" t="s">
        <v>833</v>
      </c>
      <c r="Q343" s="19">
        <v>44</v>
      </c>
      <c r="R343" s="15">
        <f>Q343/I343</f>
        <v>0.22</v>
      </c>
      <c r="S343" s="5">
        <f>($AC343*$AD343)/(($Z343/$Y343)+($AA343/$Z343)+($AB343/$AA343))</f>
        <v>53.333333333333336</v>
      </c>
      <c r="U343" s="109" t="s">
        <v>767</v>
      </c>
      <c r="V343" s="21" t="s">
        <v>1395</v>
      </c>
      <c r="W343" s="10"/>
      <c r="Y343" s="2">
        <v>2</v>
      </c>
      <c r="Z343" s="2">
        <v>5</v>
      </c>
      <c r="AA343" s="2">
        <v>20</v>
      </c>
      <c r="AB343" s="2">
        <v>50</v>
      </c>
      <c r="AC343" s="2">
        <v>16</v>
      </c>
      <c r="AD343" s="2">
        <v>30</v>
      </c>
      <c r="AE343" s="2">
        <f>AC343*AD343</f>
        <v>480</v>
      </c>
      <c r="AF343" s="2">
        <f>Z343/Y343</f>
        <v>2.5</v>
      </c>
      <c r="AG343" s="2">
        <f>AA343/Z343</f>
        <v>4</v>
      </c>
      <c r="AH343" s="2">
        <f>AB343/AA343</f>
        <v>2.5</v>
      </c>
    </row>
    <row r="344" spans="1:34">
      <c r="A344" s="165" t="s">
        <v>1383</v>
      </c>
      <c r="B344" s="36" t="s">
        <v>63</v>
      </c>
      <c r="C344" s="41">
        <v>46177</v>
      </c>
      <c r="D344" s="144">
        <v>0.45833333333333331</v>
      </c>
      <c r="E344" s="14">
        <v>18</v>
      </c>
      <c r="F344" s="194" t="s">
        <v>1225</v>
      </c>
      <c r="G344" s="2">
        <v>5</v>
      </c>
      <c r="H344" s="2">
        <v>9</v>
      </c>
      <c r="I344" s="37">
        <v>1500</v>
      </c>
      <c r="J344" s="2" t="s">
        <v>761</v>
      </c>
      <c r="K344" s="109" t="s">
        <v>816</v>
      </c>
      <c r="L344" s="89">
        <v>50000</v>
      </c>
      <c r="M344" s="69">
        <v>60</v>
      </c>
      <c r="N344" s="39" t="s">
        <v>48</v>
      </c>
      <c r="O344" s="39" t="s">
        <v>49</v>
      </c>
      <c r="Q344" s="19">
        <f>R344*I344</f>
        <v>172.5</v>
      </c>
      <c r="R344" s="15">
        <v>0.115</v>
      </c>
      <c r="S344" s="5">
        <f>($AC344*$AD344)/(($Z344/$Y344)+($AA344/$Z344)+($AB344/$AA344))</f>
        <v>161.993769470405</v>
      </c>
      <c r="U344" s="109" t="s">
        <v>767</v>
      </c>
      <c r="V344" s="10" t="s">
        <v>121</v>
      </c>
      <c r="W344" s="10"/>
      <c r="Y344" s="2">
        <v>2</v>
      </c>
      <c r="Z344" s="2">
        <v>5</v>
      </c>
      <c r="AA344" s="2">
        <v>13</v>
      </c>
      <c r="AB344" s="2">
        <v>30</v>
      </c>
      <c r="AC344" s="2">
        <v>20</v>
      </c>
      <c r="AD344" s="2">
        <v>60</v>
      </c>
      <c r="AE344" s="2">
        <f>AC344*AD344</f>
        <v>1200</v>
      </c>
      <c r="AF344" s="2">
        <f>Z344/Y344</f>
        <v>2.5</v>
      </c>
      <c r="AG344" s="2">
        <f>AA344/Z344</f>
        <v>2.6</v>
      </c>
      <c r="AH344" s="2">
        <f>AB344/AA344</f>
        <v>2.3076923076923075</v>
      </c>
    </row>
    <row r="345" spans="1:34">
      <c r="A345" s="102" t="s">
        <v>475</v>
      </c>
      <c r="B345" s="102" t="s">
        <v>476</v>
      </c>
      <c r="C345" s="190">
        <v>46177</v>
      </c>
      <c r="D345" s="42">
        <v>0.45833333333333331</v>
      </c>
      <c r="E345" s="8" t="s">
        <v>480</v>
      </c>
      <c r="F345" s="194" t="s">
        <v>479</v>
      </c>
      <c r="G345" s="2">
        <v>2</v>
      </c>
      <c r="H345" s="2">
        <v>9</v>
      </c>
      <c r="I345" s="126">
        <v>400</v>
      </c>
      <c r="J345" s="2" t="s">
        <v>766</v>
      </c>
      <c r="K345" s="109" t="s">
        <v>599</v>
      </c>
      <c r="L345" s="201">
        <v>30000</v>
      </c>
      <c r="M345" s="203">
        <v>30</v>
      </c>
      <c r="N345" s="39" t="s">
        <v>48</v>
      </c>
      <c r="O345" s="39" t="s">
        <v>49</v>
      </c>
      <c r="P345" s="212" t="s">
        <v>838</v>
      </c>
      <c r="Q345" s="19">
        <v>70</v>
      </c>
      <c r="R345" s="15">
        <f>Q345/I345</f>
        <v>0.17499999999999999</v>
      </c>
      <c r="S345" s="5">
        <f>($AC345*$AD345)/(($Z345/$Y345)+($AA345/$Z345)+($AB345/$AA345))</f>
        <v>72.897196261682254</v>
      </c>
      <c r="U345" s="109" t="s">
        <v>767</v>
      </c>
      <c r="V345" s="2" t="s">
        <v>590</v>
      </c>
      <c r="W345" s="10" t="s">
        <v>591</v>
      </c>
      <c r="Y345" s="2">
        <v>2</v>
      </c>
      <c r="Z345" s="2">
        <v>5</v>
      </c>
      <c r="AA345" s="2">
        <v>13</v>
      </c>
      <c r="AB345" s="2">
        <v>30</v>
      </c>
      <c r="AC345" s="2">
        <v>30</v>
      </c>
      <c r="AD345" s="2">
        <v>18</v>
      </c>
      <c r="AE345" s="2">
        <f>AC345*AD345</f>
        <v>540</v>
      </c>
      <c r="AF345" s="2">
        <f>Z345/Y345</f>
        <v>2.5</v>
      </c>
      <c r="AG345" s="2">
        <f>AA345/Z345</f>
        <v>2.6</v>
      </c>
      <c r="AH345" s="2">
        <f>AB345/AA345</f>
        <v>2.3076923076923075</v>
      </c>
    </row>
    <row r="346" spans="1:34">
      <c r="A346" s="52" t="s">
        <v>229</v>
      </c>
      <c r="B346" s="52" t="s">
        <v>230</v>
      </c>
      <c r="C346" s="190">
        <v>46177</v>
      </c>
      <c r="D346" s="42">
        <v>0.45833333333333331</v>
      </c>
      <c r="E346" s="193"/>
      <c r="F346" s="194" t="s">
        <v>240</v>
      </c>
      <c r="G346" s="2">
        <v>1</v>
      </c>
      <c r="I346" s="125">
        <v>400</v>
      </c>
      <c r="J346" s="2" t="s">
        <v>766</v>
      </c>
      <c r="K346" s="88" t="s">
        <v>788</v>
      </c>
      <c r="L346" s="90">
        <v>40000</v>
      </c>
      <c r="M346" s="194" t="s">
        <v>22</v>
      </c>
      <c r="N346" s="39" t="s">
        <v>48</v>
      </c>
      <c r="O346" s="39" t="s">
        <v>49</v>
      </c>
      <c r="P346" s="134" t="s">
        <v>836</v>
      </c>
      <c r="Q346" s="19">
        <v>60</v>
      </c>
      <c r="R346" s="15">
        <f>IF(Q346&gt;0,Q346/I346,"")</f>
        <v>0.15</v>
      </c>
      <c r="S346" s="5">
        <f>($AC346*$AD346)/(($Z346/$Y346)+($AA346/$Z346)+($AB346/$AA346))</f>
        <v>76.947040498442377</v>
      </c>
      <c r="U346" s="109" t="s">
        <v>767</v>
      </c>
      <c r="V346" s="10" t="s">
        <v>719</v>
      </c>
      <c r="W346" s="10"/>
      <c r="Y346" s="2">
        <v>2</v>
      </c>
      <c r="Z346" s="2">
        <v>5</v>
      </c>
      <c r="AA346" s="2">
        <v>13</v>
      </c>
      <c r="AB346" s="2">
        <v>30</v>
      </c>
      <c r="AC346" s="2">
        <v>19</v>
      </c>
      <c r="AD346" s="2">
        <v>30</v>
      </c>
      <c r="AE346" s="2">
        <f>AC346*AD346</f>
        <v>570</v>
      </c>
      <c r="AF346" s="2">
        <f>Z346/Y346</f>
        <v>2.5</v>
      </c>
      <c r="AG346" s="2">
        <f>AA346/Z346</f>
        <v>2.6</v>
      </c>
      <c r="AH346" s="2">
        <f>AB346/AA346</f>
        <v>2.3076923076923075</v>
      </c>
    </row>
    <row r="347" spans="1:34">
      <c r="A347" s="103" t="s">
        <v>539</v>
      </c>
      <c r="B347" s="103" t="s">
        <v>540</v>
      </c>
      <c r="C347" s="191">
        <v>46177</v>
      </c>
      <c r="D347" s="42">
        <v>0.5</v>
      </c>
      <c r="E347" s="8">
        <v>6</v>
      </c>
      <c r="F347" s="197" t="s">
        <v>545</v>
      </c>
      <c r="G347" s="2">
        <v>1</v>
      </c>
      <c r="H347" s="2">
        <v>8</v>
      </c>
      <c r="I347" s="126">
        <v>500</v>
      </c>
      <c r="J347" s="179" t="s">
        <v>766</v>
      </c>
      <c r="K347" s="179" t="s">
        <v>602</v>
      </c>
      <c r="L347" s="92">
        <v>35000</v>
      </c>
      <c r="M347" s="181" t="s">
        <v>22</v>
      </c>
      <c r="N347" s="39" t="s">
        <v>48</v>
      </c>
      <c r="O347" s="39" t="s">
        <v>57</v>
      </c>
      <c r="P347" s="63">
        <v>30000</v>
      </c>
      <c r="Q347" s="2">
        <v>70</v>
      </c>
      <c r="R347" s="15">
        <f>Q347/I347</f>
        <v>0.14000000000000001</v>
      </c>
      <c r="S347" s="142"/>
      <c r="U347" s="109" t="s">
        <v>767</v>
      </c>
      <c r="V347" s="71" t="s">
        <v>1395</v>
      </c>
      <c r="W347" s="10"/>
      <c r="AE347" s="2">
        <f>AC347*AD347</f>
        <v>0</v>
      </c>
      <c r="AF347" s="2" t="e">
        <f>Z347/Y347</f>
        <v>#DIV/0!</v>
      </c>
      <c r="AG347" s="2" t="e">
        <f>AA347/Z347</f>
        <v>#DIV/0!</v>
      </c>
      <c r="AH347" s="2" t="e">
        <f>AB347/AA347</f>
        <v>#DIV/0!</v>
      </c>
    </row>
    <row r="348" spans="1:34">
      <c r="A348" s="52" t="s">
        <v>229</v>
      </c>
      <c r="B348" s="52" t="s">
        <v>230</v>
      </c>
      <c r="C348" s="190">
        <v>46177</v>
      </c>
      <c r="D348" s="42">
        <v>0.5</v>
      </c>
      <c r="F348" s="194" t="s">
        <v>260</v>
      </c>
      <c r="G348" s="2">
        <v>1</v>
      </c>
      <c r="I348" s="45">
        <v>600</v>
      </c>
      <c r="J348" s="2" t="s">
        <v>766</v>
      </c>
      <c r="K348" s="88" t="s">
        <v>788</v>
      </c>
      <c r="L348" s="91">
        <v>40000</v>
      </c>
      <c r="M348" s="195" t="s">
        <v>22</v>
      </c>
      <c r="N348" s="39" t="s">
        <v>48</v>
      </c>
      <c r="O348" s="39" t="s">
        <v>862</v>
      </c>
      <c r="P348" s="19">
        <v>50000</v>
      </c>
      <c r="Q348" s="2">
        <v>85</v>
      </c>
      <c r="R348" s="15">
        <f>IF(Q348&gt;0,Q348/I348,"")</f>
        <v>0.14166666666666666</v>
      </c>
      <c r="S348" s="149" t="s">
        <v>110</v>
      </c>
      <c r="T348" s="149"/>
      <c r="U348" s="109" t="s">
        <v>767</v>
      </c>
      <c r="V348" s="205" t="s">
        <v>719</v>
      </c>
      <c r="W348" s="10"/>
      <c r="AE348" s="2">
        <f>AC348*AD348</f>
        <v>0</v>
      </c>
      <c r="AF348" s="2" t="e">
        <f>Z348/Y348</f>
        <v>#DIV/0!</v>
      </c>
      <c r="AG348" s="2" t="e">
        <f>AA348/Z348</f>
        <v>#DIV/0!</v>
      </c>
      <c r="AH348" s="2" t="e">
        <f>AB348/AA348</f>
        <v>#DIV/0!</v>
      </c>
    </row>
    <row r="349" spans="1:34">
      <c r="A349" s="165" t="s">
        <v>1383</v>
      </c>
      <c r="B349" s="36" t="s">
        <v>63</v>
      </c>
      <c r="C349" s="41">
        <v>46177</v>
      </c>
      <c r="D349" s="144">
        <v>0.54166666666666663</v>
      </c>
      <c r="E349" s="8">
        <v>20</v>
      </c>
      <c r="F349" s="8" t="s">
        <v>1120</v>
      </c>
      <c r="G349" s="2">
        <v>3</v>
      </c>
      <c r="H349" s="2">
        <v>7</v>
      </c>
      <c r="I349" s="37">
        <v>1500</v>
      </c>
      <c r="J349" s="2" t="s">
        <v>760</v>
      </c>
      <c r="K349" s="109" t="s">
        <v>598</v>
      </c>
      <c r="L349" s="89">
        <v>25000</v>
      </c>
      <c r="M349" s="69" t="s">
        <v>97</v>
      </c>
      <c r="N349" s="39" t="s">
        <v>48</v>
      </c>
      <c r="O349" s="39" t="s">
        <v>393</v>
      </c>
      <c r="P349" s="19"/>
      <c r="Q349" s="38">
        <f>R349*I349</f>
        <v>172.5</v>
      </c>
      <c r="R349" s="15">
        <v>0.115</v>
      </c>
      <c r="S349" s="149" t="s">
        <v>110</v>
      </c>
      <c r="T349" s="149"/>
      <c r="U349" s="109" t="s">
        <v>767</v>
      </c>
      <c r="V349" s="10" t="s">
        <v>121</v>
      </c>
      <c r="W349" s="10"/>
      <c r="AE349" s="2" t="e">
        <f>AD349*#REF!</f>
        <v>#REF!</v>
      </c>
      <c r="AF349" s="2" t="e">
        <f>Z349/Y349</f>
        <v>#DIV/0!</v>
      </c>
      <c r="AG349" s="2" t="e">
        <f>AA349/Z349</f>
        <v>#DIV/0!</v>
      </c>
      <c r="AH349" s="2" t="e">
        <f>AC349/AA349</f>
        <v>#DIV/0!</v>
      </c>
    </row>
    <row r="350" spans="1:34">
      <c r="A350" s="165" t="s">
        <v>1383</v>
      </c>
      <c r="B350" s="36" t="s">
        <v>63</v>
      </c>
      <c r="C350" s="41">
        <v>46177</v>
      </c>
      <c r="D350" s="144">
        <v>0.54166666666666663</v>
      </c>
      <c r="E350" s="8">
        <v>17</v>
      </c>
      <c r="F350" t="s">
        <v>1318</v>
      </c>
      <c r="G350" s="2">
        <v>3</v>
      </c>
      <c r="H350" s="2">
        <v>9</v>
      </c>
      <c r="I350" s="45">
        <v>10000</v>
      </c>
      <c r="J350" s="2" t="s">
        <v>762</v>
      </c>
      <c r="K350" s="109" t="s">
        <v>601</v>
      </c>
      <c r="L350" s="92">
        <v>60000</v>
      </c>
      <c r="M350" s="69" t="s">
        <v>112</v>
      </c>
      <c r="N350" s="39" t="s">
        <v>48</v>
      </c>
      <c r="O350" s="39" t="s">
        <v>872</v>
      </c>
      <c r="P350" s="213"/>
      <c r="Q350" s="38">
        <f>R350*I350</f>
        <v>700.00000000000011</v>
      </c>
      <c r="R350" s="15">
        <v>7.0000000000000007E-2</v>
      </c>
      <c r="S350" s="149" t="s">
        <v>110</v>
      </c>
      <c r="T350" s="149"/>
      <c r="U350" s="109" t="s">
        <v>767</v>
      </c>
      <c r="V350" s="2" t="s">
        <v>121</v>
      </c>
      <c r="W350" s="10"/>
      <c r="AE350" s="2" t="e">
        <f>AD350*#REF!</f>
        <v>#REF!</v>
      </c>
      <c r="AF350" s="2" t="e">
        <f>Z350/Y350</f>
        <v>#DIV/0!</v>
      </c>
      <c r="AG350" s="2" t="e">
        <f>AA350/Z350</f>
        <v>#DIV/0!</v>
      </c>
      <c r="AH350" s="2" t="e">
        <f>AC350/AA350</f>
        <v>#DIV/0!</v>
      </c>
    </row>
    <row r="351" spans="1:34">
      <c r="A351" s="165" t="s">
        <v>1383</v>
      </c>
      <c r="B351" s="39" t="s">
        <v>63</v>
      </c>
      <c r="C351" s="41">
        <v>46177</v>
      </c>
      <c r="D351" s="144">
        <v>0.54166666666666663</v>
      </c>
      <c r="E351" s="8"/>
      <c r="F351" s="194" t="s">
        <v>881</v>
      </c>
      <c r="G351" s="2">
        <v>1</v>
      </c>
      <c r="H351" s="2">
        <v>9</v>
      </c>
      <c r="I351" s="37">
        <v>250</v>
      </c>
      <c r="J351" s="2" t="s">
        <v>766</v>
      </c>
      <c r="K351" s="88" t="s">
        <v>787</v>
      </c>
      <c r="L351" s="89">
        <v>25000</v>
      </c>
      <c r="M351" s="10">
        <v>30</v>
      </c>
      <c r="N351" s="39" t="s">
        <v>817</v>
      </c>
      <c r="O351" s="39" t="s">
        <v>49</v>
      </c>
      <c r="P351" s="210"/>
      <c r="Q351" s="19">
        <v>50</v>
      </c>
      <c r="R351" s="15">
        <f>Q351/I351</f>
        <v>0.2</v>
      </c>
      <c r="S351" s="5">
        <v>44</v>
      </c>
      <c r="U351" s="109" t="s">
        <v>767</v>
      </c>
      <c r="V351" s="21" t="s">
        <v>360</v>
      </c>
      <c r="W351" s="10"/>
      <c r="Y351" s="175"/>
      <c r="Z351" s="175"/>
      <c r="AA351" s="175"/>
      <c r="AB351" s="175"/>
      <c r="AC351" s="175"/>
      <c r="AD351" s="175"/>
      <c r="AE351" s="175"/>
      <c r="AF351" s="175"/>
      <c r="AG351" s="175"/>
      <c r="AH351" s="175"/>
    </row>
    <row r="352" spans="1:34">
      <c r="A352" s="52" t="s">
        <v>220</v>
      </c>
      <c r="B352" s="52" t="s">
        <v>221</v>
      </c>
      <c r="C352" s="191">
        <v>46177</v>
      </c>
      <c r="D352" s="42">
        <v>0.54166666666666663</v>
      </c>
      <c r="E352" s="193"/>
      <c r="F352" s="194" t="s">
        <v>1300</v>
      </c>
      <c r="G352" s="2">
        <v>3</v>
      </c>
      <c r="H352" s="2">
        <v>9</v>
      </c>
      <c r="I352" s="125">
        <v>1100</v>
      </c>
      <c r="J352" s="2" t="s">
        <v>766</v>
      </c>
      <c r="K352" s="109" t="s">
        <v>767</v>
      </c>
      <c r="L352" s="90">
        <v>40000</v>
      </c>
      <c r="M352" s="203">
        <v>40</v>
      </c>
      <c r="N352" s="39" t="s">
        <v>48</v>
      </c>
      <c r="O352" s="39" t="s">
        <v>49</v>
      </c>
      <c r="P352" s="135" t="s">
        <v>847</v>
      </c>
      <c r="Q352" s="19">
        <v>135</v>
      </c>
      <c r="R352" s="15">
        <f>Q352/I352</f>
        <v>0.12272727272727273</v>
      </c>
      <c r="S352" s="5">
        <f>($AC352*$AD352)/(($Z352/$Y352)+($AA352/$Z352)+($AB352/$AA352))</f>
        <v>66.122448979591837</v>
      </c>
      <c r="U352" s="109" t="s">
        <v>767</v>
      </c>
      <c r="V352" s="10" t="s">
        <v>738</v>
      </c>
      <c r="W352" s="10"/>
      <c r="Y352" s="2">
        <v>2</v>
      </c>
      <c r="Z352" s="2">
        <v>5</v>
      </c>
      <c r="AA352" s="2">
        <v>15</v>
      </c>
      <c r="AB352" s="2">
        <v>40</v>
      </c>
      <c r="AC352" s="2">
        <v>18</v>
      </c>
      <c r="AD352" s="2">
        <v>30</v>
      </c>
      <c r="AE352" s="2">
        <f>AC352*AD352</f>
        <v>540</v>
      </c>
      <c r="AF352" s="2">
        <f>Z352/Y352</f>
        <v>2.5</v>
      </c>
      <c r="AG352" s="2">
        <f>AA352/Z352</f>
        <v>3</v>
      </c>
      <c r="AH352" s="2">
        <f>AB352/AA352</f>
        <v>2.6666666666666665</v>
      </c>
    </row>
    <row r="353" spans="1:34">
      <c r="A353" s="52" t="s">
        <v>220</v>
      </c>
      <c r="B353" s="52" t="s">
        <v>221</v>
      </c>
      <c r="C353" s="191">
        <v>46177</v>
      </c>
      <c r="D353" s="42">
        <v>0.54166666666666663</v>
      </c>
      <c r="E353" s="193"/>
      <c r="F353" s="194" t="s">
        <v>1053</v>
      </c>
      <c r="G353" s="2">
        <v>1</v>
      </c>
      <c r="H353" s="2">
        <v>9</v>
      </c>
      <c r="I353" s="125">
        <v>1100</v>
      </c>
      <c r="J353" s="2" t="s">
        <v>766</v>
      </c>
      <c r="K353" s="88" t="s">
        <v>786</v>
      </c>
      <c r="L353" s="90">
        <v>30000</v>
      </c>
      <c r="M353" s="203">
        <v>30</v>
      </c>
      <c r="N353" s="39" t="s">
        <v>48</v>
      </c>
      <c r="O353" s="39" t="s">
        <v>49</v>
      </c>
      <c r="P353" s="135" t="s">
        <v>840</v>
      </c>
      <c r="Q353" s="19">
        <v>135</v>
      </c>
      <c r="R353" s="15">
        <f>Q353/I353</f>
        <v>0.12272727272727273</v>
      </c>
      <c r="S353" s="5">
        <f>($AC353*$AD353)/(($Z353/$Y353)+($AA353/$Z353)+($AB353/$AA353))</f>
        <v>62.448979591836739</v>
      </c>
      <c r="U353" s="109" t="s">
        <v>767</v>
      </c>
      <c r="V353" s="10" t="s">
        <v>738</v>
      </c>
      <c r="W353" s="10"/>
      <c r="X353" s="70"/>
      <c r="Y353" s="2">
        <v>2</v>
      </c>
      <c r="Z353" s="2">
        <v>5</v>
      </c>
      <c r="AA353" s="2">
        <v>15</v>
      </c>
      <c r="AB353" s="2">
        <v>40</v>
      </c>
      <c r="AC353" s="2">
        <v>17</v>
      </c>
      <c r="AD353" s="2">
        <v>30</v>
      </c>
      <c r="AE353" s="2">
        <f>AC353*AD353</f>
        <v>510</v>
      </c>
      <c r="AF353" s="2">
        <f>Z353/Y353</f>
        <v>2.5</v>
      </c>
      <c r="AG353" s="2">
        <f>AA353/Z353</f>
        <v>3</v>
      </c>
      <c r="AH353" s="2">
        <f>AB353/AA353</f>
        <v>2.6666666666666665</v>
      </c>
    </row>
    <row r="354" spans="1:34">
      <c r="A354" s="96" t="s">
        <v>461</v>
      </c>
      <c r="B354" s="96" t="s">
        <v>462</v>
      </c>
      <c r="C354" s="41">
        <v>46177</v>
      </c>
      <c r="D354" s="42">
        <v>0.59027777777777779</v>
      </c>
      <c r="E354" s="193"/>
      <c r="F354" s="194" t="s">
        <v>1334</v>
      </c>
      <c r="G354" s="2">
        <v>2</v>
      </c>
      <c r="I354" s="126">
        <v>300</v>
      </c>
      <c r="J354" s="2" t="s">
        <v>766</v>
      </c>
      <c r="K354" s="109" t="s">
        <v>598</v>
      </c>
      <c r="L354" s="194">
        <v>30000</v>
      </c>
      <c r="M354" s="69">
        <v>30</v>
      </c>
      <c r="N354" s="39" t="s">
        <v>48</v>
      </c>
      <c r="O354" s="39" t="s">
        <v>49</v>
      </c>
      <c r="P354" s="135" t="s">
        <v>842</v>
      </c>
      <c r="Q354" s="19">
        <v>65</v>
      </c>
      <c r="R354" s="15">
        <f>Q354/I354</f>
        <v>0.21666666666666667</v>
      </c>
      <c r="S354" s="5">
        <f>($AC354*$AD354)/(($Z354/$Y354)+($AA354/$Z354)+($AB354/$AA354))</f>
        <v>53.333333333333336</v>
      </c>
      <c r="U354" s="109" t="s">
        <v>767</v>
      </c>
      <c r="V354" s="10" t="s">
        <v>735</v>
      </c>
      <c r="Y354" s="2">
        <v>2</v>
      </c>
      <c r="Z354" s="2">
        <v>5</v>
      </c>
      <c r="AA354" s="2">
        <v>20</v>
      </c>
      <c r="AB354" s="2">
        <v>50</v>
      </c>
      <c r="AC354" s="2">
        <v>16</v>
      </c>
      <c r="AD354" s="2">
        <v>30</v>
      </c>
      <c r="AE354" s="2">
        <f>AC354*AD354</f>
        <v>480</v>
      </c>
      <c r="AF354" s="2">
        <f>Z354/Y354</f>
        <v>2.5</v>
      </c>
      <c r="AG354" s="2">
        <f>AA354/Z354</f>
        <v>4</v>
      </c>
      <c r="AH354" s="2">
        <f>AB354/AA354</f>
        <v>2.5</v>
      </c>
    </row>
    <row r="355" spans="1:34">
      <c r="A355" s="165" t="s">
        <v>1383</v>
      </c>
      <c r="B355" s="39" t="s">
        <v>63</v>
      </c>
      <c r="C355" s="41">
        <v>46177</v>
      </c>
      <c r="D355" s="144">
        <v>0.625</v>
      </c>
      <c r="F355" s="194" t="s">
        <v>912</v>
      </c>
      <c r="G355" s="2">
        <v>1</v>
      </c>
      <c r="H355" s="2">
        <v>9</v>
      </c>
      <c r="I355" s="37">
        <v>240</v>
      </c>
      <c r="J355" s="2" t="s">
        <v>766</v>
      </c>
      <c r="K355" s="88" t="s">
        <v>784</v>
      </c>
      <c r="L355" s="89">
        <v>10000</v>
      </c>
      <c r="M355" s="202">
        <v>20</v>
      </c>
      <c r="N355" s="132" t="s">
        <v>821</v>
      </c>
      <c r="O355" s="39" t="s">
        <v>49</v>
      </c>
      <c r="Q355" s="19">
        <v>40</v>
      </c>
      <c r="R355" s="15">
        <v>0.16666666666666666</v>
      </c>
      <c r="S355" s="5">
        <v>29</v>
      </c>
      <c r="U355" s="109" t="s">
        <v>767</v>
      </c>
      <c r="V355" s="21" t="s">
        <v>362</v>
      </c>
      <c r="W355" s="8" t="s">
        <v>367</v>
      </c>
      <c r="Y355" s="175"/>
      <c r="Z355" s="175"/>
      <c r="AA355" s="175"/>
      <c r="AB355" s="175"/>
      <c r="AC355" s="175"/>
      <c r="AD355" s="175"/>
      <c r="AE355" s="175"/>
      <c r="AF355" s="175"/>
      <c r="AG355" s="175"/>
      <c r="AH355" s="175"/>
    </row>
    <row r="356" spans="1:34" s="73" customFormat="1">
      <c r="A356" s="165" t="s">
        <v>1383</v>
      </c>
      <c r="B356" s="39" t="s">
        <v>63</v>
      </c>
      <c r="C356" s="41">
        <v>46177</v>
      </c>
      <c r="D356" s="144">
        <v>0.66666666666666663</v>
      </c>
      <c r="E356" s="8"/>
      <c r="F356" t="s">
        <v>1024</v>
      </c>
      <c r="G356" s="2">
        <v>1</v>
      </c>
      <c r="H356" s="2">
        <v>9</v>
      </c>
      <c r="I356" s="37">
        <v>400</v>
      </c>
      <c r="J356" s="2" t="s">
        <v>766</v>
      </c>
      <c r="K356" s="88" t="s">
        <v>794</v>
      </c>
      <c r="L356" s="89">
        <v>30000</v>
      </c>
      <c r="M356" s="10">
        <v>20</v>
      </c>
      <c r="N356" s="39" t="s">
        <v>817</v>
      </c>
      <c r="O356" s="39" t="s">
        <v>49</v>
      </c>
      <c r="P356" s="129"/>
      <c r="Q356" s="19">
        <v>70</v>
      </c>
      <c r="R356" s="15">
        <f>Q356/I356</f>
        <v>0.17499999999999999</v>
      </c>
      <c r="S356" s="5">
        <v>37</v>
      </c>
      <c r="T356" s="5"/>
      <c r="U356" s="109" t="s">
        <v>129</v>
      </c>
      <c r="V356" s="21" t="s">
        <v>360</v>
      </c>
      <c r="W356" s="10"/>
      <c r="X356" s="2"/>
      <c r="Y356" s="175"/>
      <c r="Z356" s="175"/>
      <c r="AA356" s="175"/>
      <c r="AB356" s="175"/>
      <c r="AC356" s="175"/>
      <c r="AD356" s="175"/>
      <c r="AE356" s="175"/>
      <c r="AF356" s="175"/>
      <c r="AG356" s="175"/>
      <c r="AH356" s="175"/>
    </row>
    <row r="357" spans="1:34">
      <c r="A357" s="52" t="s">
        <v>229</v>
      </c>
      <c r="B357" s="52" t="s">
        <v>230</v>
      </c>
      <c r="C357" s="190">
        <v>46177</v>
      </c>
      <c r="D357" s="42">
        <v>0.66666666666666663</v>
      </c>
      <c r="E357" s="193"/>
      <c r="F357" s="194" t="s">
        <v>222</v>
      </c>
      <c r="G357" s="2">
        <v>1</v>
      </c>
      <c r="I357" s="126">
        <v>240</v>
      </c>
      <c r="J357" s="2" t="s">
        <v>766</v>
      </c>
      <c r="K357" s="88" t="s">
        <v>795</v>
      </c>
      <c r="L357" s="91">
        <v>30000</v>
      </c>
      <c r="M357" s="194">
        <v>20</v>
      </c>
      <c r="N357" s="39" t="s">
        <v>48</v>
      </c>
      <c r="O357" s="39" t="s">
        <v>222</v>
      </c>
      <c r="P357" s="19">
        <v>10000</v>
      </c>
      <c r="Q357" s="2">
        <v>40</v>
      </c>
      <c r="R357" s="15">
        <f>IF(Q357&gt;0,Q357/I357,"")</f>
        <v>0.16666666666666666</v>
      </c>
      <c r="S357" s="149" t="s">
        <v>110</v>
      </c>
      <c r="T357" s="149"/>
      <c r="U357" s="109" t="s">
        <v>767</v>
      </c>
      <c r="V357" s="205" t="s">
        <v>719</v>
      </c>
      <c r="W357" s="10"/>
      <c r="AE357" s="2">
        <f>AC357*AD357</f>
        <v>0</v>
      </c>
      <c r="AF357" s="2" t="e">
        <f>Z357/Y357</f>
        <v>#DIV/0!</v>
      </c>
      <c r="AG357" s="2" t="e">
        <f>AA357/Z357</f>
        <v>#DIV/0!</v>
      </c>
      <c r="AH357" s="2" t="e">
        <f>AB357/AA357</f>
        <v>#DIV/0!</v>
      </c>
    </row>
    <row r="358" spans="1:34">
      <c r="A358" s="68" t="s">
        <v>357</v>
      </c>
      <c r="B358" s="68" t="s">
        <v>358</v>
      </c>
      <c r="C358" s="191">
        <v>46177</v>
      </c>
      <c r="D358" s="42">
        <v>0.67361111111111116</v>
      </c>
      <c r="E358" s="8">
        <v>36</v>
      </c>
      <c r="F358" s="63" t="s">
        <v>299</v>
      </c>
      <c r="G358" s="2">
        <v>2</v>
      </c>
      <c r="H358" s="2">
        <v>9</v>
      </c>
      <c r="I358" s="125">
        <v>800</v>
      </c>
      <c r="J358" s="2" t="s">
        <v>766</v>
      </c>
      <c r="K358" s="137" t="s">
        <v>603</v>
      </c>
      <c r="L358" s="89">
        <v>40000</v>
      </c>
      <c r="M358" s="69">
        <v>30</v>
      </c>
      <c r="N358" s="39" t="s">
        <v>48</v>
      </c>
      <c r="O358" s="39" t="s">
        <v>49</v>
      </c>
      <c r="P358" s="135" t="s">
        <v>842</v>
      </c>
      <c r="Q358" s="19">
        <v>110</v>
      </c>
      <c r="R358" s="15">
        <f>Q358/I358</f>
        <v>0.13750000000000001</v>
      </c>
      <c r="S358" s="5">
        <f>($AC358*$AD358)/(($Z358/$Y358)+($AA358/$Z358)+($AB358/$AA358))</f>
        <v>76.947040498442377</v>
      </c>
      <c r="U358" s="109" t="s">
        <v>767</v>
      </c>
      <c r="V358" s="21" t="s">
        <v>1414</v>
      </c>
      <c r="W358" s="10"/>
      <c r="Y358" s="2">
        <v>2</v>
      </c>
      <c r="Z358" s="2">
        <v>5</v>
      </c>
      <c r="AA358" s="2">
        <v>13</v>
      </c>
      <c r="AB358" s="2">
        <v>30</v>
      </c>
      <c r="AC358" s="2">
        <v>30</v>
      </c>
      <c r="AD358" s="2">
        <v>19</v>
      </c>
      <c r="AE358" s="2">
        <f>AC358*AD358</f>
        <v>570</v>
      </c>
      <c r="AF358" s="2">
        <f>Z358/Y358</f>
        <v>2.5</v>
      </c>
      <c r="AG358" s="2">
        <f>AA358/Z358</f>
        <v>2.6</v>
      </c>
      <c r="AH358" s="2">
        <f>AB358/AA358</f>
        <v>2.3076923076923075</v>
      </c>
    </row>
    <row r="359" spans="1:34" s="70" customFormat="1">
      <c r="A359" s="103" t="s">
        <v>539</v>
      </c>
      <c r="B359" s="103" t="s">
        <v>540</v>
      </c>
      <c r="C359" s="191">
        <v>46177</v>
      </c>
      <c r="D359" s="42">
        <v>0.70833333333333337</v>
      </c>
      <c r="E359" s="8">
        <v>7</v>
      </c>
      <c r="F359" s="197" t="s">
        <v>542</v>
      </c>
      <c r="G359" s="2">
        <v>1</v>
      </c>
      <c r="H359" s="2">
        <v>9</v>
      </c>
      <c r="I359" s="180">
        <v>170</v>
      </c>
      <c r="J359" s="179" t="s">
        <v>766</v>
      </c>
      <c r="K359" s="179" t="s">
        <v>598</v>
      </c>
      <c r="L359" s="112">
        <v>30000</v>
      </c>
      <c r="M359" s="69">
        <v>20</v>
      </c>
      <c r="N359" s="39" t="s">
        <v>48</v>
      </c>
      <c r="O359" s="39" t="s">
        <v>49</v>
      </c>
      <c r="P359" s="135" t="s">
        <v>830</v>
      </c>
      <c r="Q359" s="19">
        <v>49</v>
      </c>
      <c r="R359" s="59">
        <f>Q359/I359</f>
        <v>0.28823529411764703</v>
      </c>
      <c r="S359" s="5">
        <f>($AC359*$AD359)/(($Z359/$Y359)+($AA359/$Z359)+($AB359/$AA359))</f>
        <v>26.046511627906977</v>
      </c>
      <c r="T359" s="5"/>
      <c r="U359" s="109" t="s">
        <v>767</v>
      </c>
      <c r="V359" s="21" t="s">
        <v>1395</v>
      </c>
      <c r="W359" s="182" t="s">
        <v>1389</v>
      </c>
      <c r="X359" s="2"/>
      <c r="Y359" s="2">
        <v>4</v>
      </c>
      <c r="Z359" s="2">
        <v>8</v>
      </c>
      <c r="AA359" s="2">
        <v>30</v>
      </c>
      <c r="AB359" s="2">
        <v>150</v>
      </c>
      <c r="AC359" s="2">
        <v>14</v>
      </c>
      <c r="AD359" s="2">
        <v>20</v>
      </c>
      <c r="AE359" s="2">
        <f>AC359*AD359</f>
        <v>280</v>
      </c>
      <c r="AF359" s="2">
        <f>Z359/Y359</f>
        <v>2</v>
      </c>
      <c r="AG359" s="2">
        <f>AA359/Z359</f>
        <v>3.75</v>
      </c>
      <c r="AH359" s="2">
        <f>AB359/AA359</f>
        <v>5</v>
      </c>
    </row>
    <row r="360" spans="1:34">
      <c r="A360" s="102" t="s">
        <v>475</v>
      </c>
      <c r="B360" s="102" t="s">
        <v>476</v>
      </c>
      <c r="C360" s="190">
        <v>46177</v>
      </c>
      <c r="D360" s="42">
        <v>0.75</v>
      </c>
      <c r="E360" s="8" t="s">
        <v>481</v>
      </c>
      <c r="F360" s="194" t="s">
        <v>479</v>
      </c>
      <c r="G360" s="2">
        <v>2</v>
      </c>
      <c r="H360" s="2">
        <v>9</v>
      </c>
      <c r="I360" s="125">
        <v>400</v>
      </c>
      <c r="J360" s="2" t="s">
        <v>766</v>
      </c>
      <c r="K360" s="109" t="s">
        <v>599</v>
      </c>
      <c r="L360" s="105">
        <v>30000</v>
      </c>
      <c r="M360" s="203">
        <v>30</v>
      </c>
      <c r="N360" s="39" t="s">
        <v>48</v>
      </c>
      <c r="O360" s="39" t="s">
        <v>49</v>
      </c>
      <c r="P360" s="212" t="s">
        <v>838</v>
      </c>
      <c r="Q360" s="19">
        <v>70</v>
      </c>
      <c r="R360" s="15">
        <f>Q360/I360</f>
        <v>0.17499999999999999</v>
      </c>
      <c r="S360" s="5">
        <f>($AC360*$AD360)/(($Z360/$Y360)+($AA360/$Z360)+($AB360/$AA360))</f>
        <v>72.897196261682254</v>
      </c>
      <c r="U360" s="109" t="s">
        <v>767</v>
      </c>
      <c r="V360" s="10" t="s">
        <v>590</v>
      </c>
      <c r="W360" s="10" t="s">
        <v>591</v>
      </c>
      <c r="Y360" s="2">
        <v>2</v>
      </c>
      <c r="Z360" s="2">
        <v>5</v>
      </c>
      <c r="AA360" s="2">
        <v>13</v>
      </c>
      <c r="AB360" s="2">
        <v>30</v>
      </c>
      <c r="AC360" s="2">
        <v>30</v>
      </c>
      <c r="AD360" s="2">
        <v>18</v>
      </c>
      <c r="AE360" s="2">
        <f>AC360*AD360</f>
        <v>540</v>
      </c>
      <c r="AF360" s="2">
        <f>Z360/Y360</f>
        <v>2.5</v>
      </c>
      <c r="AG360" s="2">
        <f>AA360/Z360</f>
        <v>2.6</v>
      </c>
      <c r="AH360" s="2">
        <f>AB360/AA360</f>
        <v>2.3076923076923075</v>
      </c>
    </row>
    <row r="361" spans="1:34" s="73" customFormat="1">
      <c r="A361" s="52" t="s">
        <v>229</v>
      </c>
      <c r="B361" s="52" t="s">
        <v>230</v>
      </c>
      <c r="C361" s="190">
        <v>46177</v>
      </c>
      <c r="D361" s="42">
        <v>0.75</v>
      </c>
      <c r="E361" s="193"/>
      <c r="F361" s="194" t="s">
        <v>244</v>
      </c>
      <c r="G361" s="2">
        <v>1</v>
      </c>
      <c r="H361" s="2"/>
      <c r="I361" s="125">
        <v>200</v>
      </c>
      <c r="J361" s="2" t="s">
        <v>766</v>
      </c>
      <c r="K361" s="88" t="s">
        <v>804</v>
      </c>
      <c r="L361" s="90">
        <v>30000</v>
      </c>
      <c r="M361" s="194">
        <v>20</v>
      </c>
      <c r="N361" s="39" t="s">
        <v>48</v>
      </c>
      <c r="O361" s="39" t="s">
        <v>49</v>
      </c>
      <c r="P361" s="135" t="s">
        <v>832</v>
      </c>
      <c r="Q361" s="19">
        <v>40</v>
      </c>
      <c r="R361" s="15">
        <f>IF(Q361&gt;0,Q361/I361,"")</f>
        <v>0.2</v>
      </c>
      <c r="S361" s="5">
        <f>($AC361*$AD361)/(($Z361/$Y361)+($AA361/$Z361)+($AB361/$AA361))</f>
        <v>35.555555555555557</v>
      </c>
      <c r="T361" s="5"/>
      <c r="U361" s="109" t="s">
        <v>767</v>
      </c>
      <c r="V361" s="10" t="s">
        <v>719</v>
      </c>
      <c r="W361" s="10"/>
      <c r="X361" s="2"/>
      <c r="Y361" s="2">
        <v>2</v>
      </c>
      <c r="Z361" s="2">
        <v>5</v>
      </c>
      <c r="AA361" s="2">
        <v>20</v>
      </c>
      <c r="AB361" s="2">
        <v>50</v>
      </c>
      <c r="AC361" s="2">
        <v>20</v>
      </c>
      <c r="AD361" s="2">
        <v>16</v>
      </c>
      <c r="AE361" s="2">
        <f>AC361*AD361</f>
        <v>320</v>
      </c>
      <c r="AF361" s="2">
        <f>Z361/Y361</f>
        <v>2.5</v>
      </c>
      <c r="AG361" s="2">
        <f>AA361/Z361</f>
        <v>4</v>
      </c>
      <c r="AH361" s="2">
        <f>AB361/AA361</f>
        <v>2.5</v>
      </c>
    </row>
    <row r="362" spans="1:34">
      <c r="A362" s="52" t="s">
        <v>220</v>
      </c>
      <c r="B362" s="52" t="s">
        <v>221</v>
      </c>
      <c r="C362" s="191">
        <v>46177</v>
      </c>
      <c r="D362" s="42">
        <v>0.75</v>
      </c>
      <c r="E362" s="193"/>
      <c r="F362" s="194" t="s">
        <v>1073</v>
      </c>
      <c r="G362" s="2">
        <v>1</v>
      </c>
      <c r="H362" s="2">
        <v>9</v>
      </c>
      <c r="I362" s="125">
        <v>1100</v>
      </c>
      <c r="J362" s="2" t="s">
        <v>766</v>
      </c>
      <c r="K362" s="88" t="s">
        <v>799</v>
      </c>
      <c r="L362" s="90">
        <v>30000</v>
      </c>
      <c r="M362" s="203">
        <v>20</v>
      </c>
      <c r="N362" s="39" t="s">
        <v>48</v>
      </c>
      <c r="O362" s="39" t="s">
        <v>49</v>
      </c>
      <c r="P362" s="212" t="s">
        <v>838</v>
      </c>
      <c r="Q362" s="19">
        <v>125</v>
      </c>
      <c r="R362" s="15">
        <f>Q362/I362</f>
        <v>0.11363636363636363</v>
      </c>
      <c r="S362" s="5">
        <f>($AC362*$AD362)/(($Z362/$Y362)+($AA362/$Z362)+($AB362/$AA362))</f>
        <v>62.448979591836739</v>
      </c>
      <c r="U362" s="109" t="s">
        <v>129</v>
      </c>
      <c r="V362" s="10" t="s">
        <v>738</v>
      </c>
      <c r="W362" s="10"/>
      <c r="Y362" s="2">
        <v>2</v>
      </c>
      <c r="Z362" s="2">
        <v>5</v>
      </c>
      <c r="AA362" s="2">
        <v>15</v>
      </c>
      <c r="AB362" s="2">
        <v>40</v>
      </c>
      <c r="AC362" s="2">
        <v>17</v>
      </c>
      <c r="AD362" s="2">
        <v>30</v>
      </c>
      <c r="AE362" s="2">
        <f>AC362*AD362</f>
        <v>510</v>
      </c>
      <c r="AF362" s="2">
        <f>Z362/Y362</f>
        <v>2.5</v>
      </c>
      <c r="AG362" s="2">
        <f>AA362/Z362</f>
        <v>3</v>
      </c>
      <c r="AH362" s="2">
        <f>AB362/AA362</f>
        <v>2.6666666666666665</v>
      </c>
    </row>
    <row r="363" spans="1:34">
      <c r="A363" s="96" t="s">
        <v>461</v>
      </c>
      <c r="B363" s="96" t="s">
        <v>462</v>
      </c>
      <c r="C363" s="41">
        <v>46177</v>
      </c>
      <c r="D363" s="42">
        <v>0.75694444444444442</v>
      </c>
      <c r="F363" s="194" t="s">
        <v>458</v>
      </c>
      <c r="G363" s="2">
        <v>1</v>
      </c>
      <c r="I363" s="125">
        <v>200</v>
      </c>
      <c r="J363" s="2" t="s">
        <v>766</v>
      </c>
      <c r="K363" s="109" t="s">
        <v>602</v>
      </c>
      <c r="L363" s="8">
        <v>30000</v>
      </c>
      <c r="M363" s="69">
        <v>20</v>
      </c>
      <c r="N363" s="39" t="s">
        <v>48</v>
      </c>
      <c r="O363" s="39" t="s">
        <v>49</v>
      </c>
      <c r="P363" s="212" t="s">
        <v>833</v>
      </c>
      <c r="Q363" s="19">
        <v>40</v>
      </c>
      <c r="R363" s="15">
        <f>Q363/I363</f>
        <v>0.2</v>
      </c>
      <c r="S363" s="5">
        <f>($AC363*$AD363)/(($Z363/$Y363)+($AA363/$Z363)+($AB363/$AA363))</f>
        <v>41.632653061224495</v>
      </c>
      <c r="U363" s="109" t="s">
        <v>767</v>
      </c>
      <c r="V363" s="10" t="s">
        <v>735</v>
      </c>
      <c r="W363" s="10"/>
      <c r="Y363" s="2">
        <v>2</v>
      </c>
      <c r="Z363" s="2">
        <v>5</v>
      </c>
      <c r="AA363" s="2">
        <v>15</v>
      </c>
      <c r="AB363" s="2">
        <v>40</v>
      </c>
      <c r="AC363" s="2">
        <v>17</v>
      </c>
      <c r="AD363" s="2">
        <v>20</v>
      </c>
      <c r="AE363" s="2">
        <f>AC363*AD363</f>
        <v>340</v>
      </c>
      <c r="AF363" s="2">
        <f>Z363/Y363</f>
        <v>2.5</v>
      </c>
      <c r="AG363" s="2">
        <f>AA363/Z363</f>
        <v>3</v>
      </c>
      <c r="AH363" s="2">
        <f>AB363/AA363</f>
        <v>2.6666666666666665</v>
      </c>
    </row>
    <row r="364" spans="1:34">
      <c r="A364" s="95" t="s">
        <v>447</v>
      </c>
      <c r="B364" s="95" t="s">
        <v>448</v>
      </c>
      <c r="C364" s="190">
        <v>46177</v>
      </c>
      <c r="D364" s="42">
        <v>0.79166666666666663</v>
      </c>
      <c r="E364" s="193"/>
      <c r="F364" s="194" t="s">
        <v>403</v>
      </c>
      <c r="G364" s="2">
        <v>1</v>
      </c>
      <c r="H364" s="2">
        <v>9</v>
      </c>
      <c r="I364" s="126">
        <v>300</v>
      </c>
      <c r="J364" s="2" t="s">
        <v>766</v>
      </c>
      <c r="K364" s="109" t="s">
        <v>602</v>
      </c>
      <c r="L364" s="194">
        <v>25000</v>
      </c>
      <c r="M364" s="194">
        <v>25</v>
      </c>
      <c r="N364" s="39" t="s">
        <v>48</v>
      </c>
      <c r="O364" s="39" t="s">
        <v>49</v>
      </c>
      <c r="P364" s="134" t="s">
        <v>834</v>
      </c>
      <c r="Q364" s="19">
        <v>50</v>
      </c>
      <c r="R364" s="15">
        <f>Q364/I364</f>
        <v>0.16666666666666666</v>
      </c>
      <c r="S364" s="5">
        <f>($AC364*$AD364)/(($Z364/$Y364)+($AA364/$Z364)+($AB364/$AA364))</f>
        <v>37.5</v>
      </c>
      <c r="U364" s="109" t="s">
        <v>767</v>
      </c>
      <c r="V364" s="205" t="s">
        <v>741</v>
      </c>
      <c r="W364" s="10"/>
      <c r="Y364" s="2">
        <v>2.5</v>
      </c>
      <c r="Z364" s="2">
        <v>7.5</v>
      </c>
      <c r="AA364" s="2">
        <v>25</v>
      </c>
      <c r="AB364" s="2">
        <v>75</v>
      </c>
      <c r="AC364" s="2">
        <v>14</v>
      </c>
      <c r="AD364" s="2">
        <v>25</v>
      </c>
      <c r="AE364" s="2">
        <f>AC364*AD364</f>
        <v>350</v>
      </c>
      <c r="AF364" s="2">
        <f>Z364/Y364</f>
        <v>3</v>
      </c>
      <c r="AG364" s="2">
        <f>AA364/Z364</f>
        <v>3.3333333333333335</v>
      </c>
      <c r="AH364" s="2">
        <f>AB364/AA364</f>
        <v>3</v>
      </c>
    </row>
    <row r="365" spans="1:34">
      <c r="A365" s="103" t="s">
        <v>539</v>
      </c>
      <c r="B365" s="103" t="s">
        <v>540</v>
      </c>
      <c r="C365" s="191">
        <v>46177</v>
      </c>
      <c r="D365" s="42">
        <v>0.79166666666666663</v>
      </c>
      <c r="E365" s="8">
        <v>8</v>
      </c>
      <c r="F365" s="197" t="s">
        <v>544</v>
      </c>
      <c r="G365" s="2">
        <v>1</v>
      </c>
      <c r="H365" s="2">
        <v>9</v>
      </c>
      <c r="I365" s="126">
        <v>150</v>
      </c>
      <c r="J365" s="179" t="s">
        <v>766</v>
      </c>
      <c r="K365" s="179" t="s">
        <v>602</v>
      </c>
      <c r="L365" s="92">
        <v>30000</v>
      </c>
      <c r="M365" s="69">
        <v>15</v>
      </c>
      <c r="N365" s="39" t="s">
        <v>48</v>
      </c>
      <c r="O365" s="39" t="s">
        <v>49</v>
      </c>
      <c r="P365" s="135" t="s">
        <v>828</v>
      </c>
      <c r="Q365" s="19">
        <v>46</v>
      </c>
      <c r="R365" s="15">
        <f>Q365/I365</f>
        <v>0.30666666666666664</v>
      </c>
      <c r="S365" s="5">
        <f>($AC365*$AD365)/(($Z365/$Y365)+($AA365/$Z365)+($AB365/$AA365))</f>
        <v>19.534883720930232</v>
      </c>
      <c r="U365" s="109" t="s">
        <v>129</v>
      </c>
      <c r="V365" s="71" t="s">
        <v>1395</v>
      </c>
      <c r="W365" s="182" t="s">
        <v>1389</v>
      </c>
      <c r="Y365" s="2">
        <v>4</v>
      </c>
      <c r="Z365" s="2">
        <v>8</v>
      </c>
      <c r="AA365" s="2">
        <v>30</v>
      </c>
      <c r="AB365" s="2">
        <v>150</v>
      </c>
      <c r="AC365" s="2">
        <v>14</v>
      </c>
      <c r="AD365" s="2">
        <v>15</v>
      </c>
      <c r="AE365" s="2">
        <f>AC365*AD365</f>
        <v>210</v>
      </c>
      <c r="AF365" s="2">
        <f>Z365/Y365</f>
        <v>2</v>
      </c>
      <c r="AG365" s="2">
        <f>AA365/Z365</f>
        <v>3.75</v>
      </c>
      <c r="AH365" s="2">
        <f>AB365/AA365</f>
        <v>5</v>
      </c>
    </row>
    <row r="366" spans="1:34">
      <c r="A366" s="165" t="s">
        <v>1383</v>
      </c>
      <c r="B366" s="39" t="s">
        <v>63</v>
      </c>
      <c r="C366" s="41">
        <v>46177</v>
      </c>
      <c r="D366" s="144">
        <v>0.79166666666666663</v>
      </c>
      <c r="F366" s="194" t="s">
        <v>895</v>
      </c>
      <c r="G366" s="2">
        <v>1</v>
      </c>
      <c r="I366" s="45">
        <v>1100</v>
      </c>
      <c r="J366" s="2" t="s">
        <v>766</v>
      </c>
      <c r="K366" s="88" t="s">
        <v>807</v>
      </c>
      <c r="L366" s="92">
        <v>15000</v>
      </c>
      <c r="M366" s="82">
        <v>30</v>
      </c>
      <c r="N366" s="132" t="s">
        <v>821</v>
      </c>
      <c r="O366" s="39" t="s">
        <v>371</v>
      </c>
      <c r="P366" s="213"/>
      <c r="Q366" s="2">
        <f>88+37</f>
        <v>125</v>
      </c>
      <c r="R366" s="15">
        <f>Q366/I366</f>
        <v>0.11363636363636363</v>
      </c>
      <c r="S366" s="149" t="s">
        <v>110</v>
      </c>
      <c r="T366" s="149"/>
      <c r="U366" s="109" t="s">
        <v>767</v>
      </c>
      <c r="V366" s="71" t="s">
        <v>362</v>
      </c>
      <c r="W366" s="194" t="s">
        <v>370</v>
      </c>
      <c r="AE366" s="2" t="e">
        <f>AD366*#REF!</f>
        <v>#REF!</v>
      </c>
      <c r="AF366" s="2" t="e">
        <f>Z366/Y366</f>
        <v>#DIV/0!</v>
      </c>
      <c r="AG366" s="2" t="e">
        <f>AA366/Z366</f>
        <v>#DIV/0!</v>
      </c>
      <c r="AH366" s="2" t="e">
        <f>AC366/AA366</f>
        <v>#DIV/0!</v>
      </c>
    </row>
    <row r="367" spans="1:34">
      <c r="A367" s="165" t="s">
        <v>1383</v>
      </c>
      <c r="B367" s="39" t="s">
        <v>63</v>
      </c>
      <c r="C367" s="41">
        <v>46177</v>
      </c>
      <c r="D367" s="144">
        <v>0.83333333333333337</v>
      </c>
      <c r="E367" s="8"/>
      <c r="F367" s="194" t="s">
        <v>1023</v>
      </c>
      <c r="G367" s="2">
        <v>1</v>
      </c>
      <c r="H367" s="2">
        <v>9</v>
      </c>
      <c r="I367" s="45">
        <v>200</v>
      </c>
      <c r="J367" s="2" t="s">
        <v>766</v>
      </c>
      <c r="K367" s="88" t="s">
        <v>806</v>
      </c>
      <c r="L367" s="92">
        <v>20000</v>
      </c>
      <c r="M367" s="10">
        <v>20</v>
      </c>
      <c r="N367" s="39" t="s">
        <v>817</v>
      </c>
      <c r="O367" s="39" t="s">
        <v>49</v>
      </c>
      <c r="P367" s="210"/>
      <c r="Q367" s="19">
        <v>45</v>
      </c>
      <c r="R367" s="15">
        <f>Q367/I367</f>
        <v>0.22500000000000001</v>
      </c>
      <c r="S367" s="5">
        <v>23</v>
      </c>
      <c r="U367" s="109" t="s">
        <v>129</v>
      </c>
      <c r="V367" s="71" t="s">
        <v>360</v>
      </c>
      <c r="W367" s="10"/>
      <c r="Y367" s="175"/>
      <c r="Z367" s="175"/>
      <c r="AA367" s="175"/>
      <c r="AB367" s="175"/>
      <c r="AC367" s="175"/>
      <c r="AD367" s="175"/>
      <c r="AE367" s="175"/>
      <c r="AF367" s="175"/>
      <c r="AG367" s="175"/>
      <c r="AH367" s="175"/>
    </row>
    <row r="368" spans="1:34">
      <c r="A368" s="165" t="s">
        <v>1383</v>
      </c>
      <c r="B368" s="39" t="s">
        <v>63</v>
      </c>
      <c r="C368" s="41">
        <v>46177</v>
      </c>
      <c r="D368" s="144">
        <v>0.91666666666666663</v>
      </c>
      <c r="F368" s="194" t="s">
        <v>909</v>
      </c>
      <c r="G368" s="2">
        <v>1</v>
      </c>
      <c r="H368" s="2">
        <v>9</v>
      </c>
      <c r="I368" s="45">
        <v>135</v>
      </c>
      <c r="J368" s="2" t="s">
        <v>766</v>
      </c>
      <c r="K368" s="88" t="s">
        <v>813</v>
      </c>
      <c r="L368" s="92">
        <v>10000</v>
      </c>
      <c r="M368" s="69">
        <v>15</v>
      </c>
      <c r="N368" s="132" t="s">
        <v>821</v>
      </c>
      <c r="O368" s="39" t="s">
        <v>49</v>
      </c>
      <c r="Q368" s="19">
        <v>35</v>
      </c>
      <c r="R368" s="15">
        <f>Q368/I368</f>
        <v>0.25925925925925924</v>
      </c>
      <c r="S368" s="5">
        <v>22</v>
      </c>
      <c r="U368" s="109" t="s">
        <v>767</v>
      </c>
      <c r="V368" s="21" t="s">
        <v>362</v>
      </c>
      <c r="W368" s="194" t="s">
        <v>369</v>
      </c>
      <c r="Y368" s="175"/>
      <c r="Z368" s="175"/>
      <c r="AA368" s="175"/>
      <c r="AB368" s="175"/>
      <c r="AC368" s="175"/>
      <c r="AD368" s="175"/>
      <c r="AE368" s="175"/>
      <c r="AF368" s="175"/>
      <c r="AG368" s="175"/>
      <c r="AH368" s="175"/>
    </row>
    <row r="369" spans="1:34">
      <c r="A369" s="96" t="s">
        <v>461</v>
      </c>
      <c r="B369" s="96" t="s">
        <v>462</v>
      </c>
      <c r="C369" s="41">
        <v>46177</v>
      </c>
      <c r="D369" s="42">
        <v>0.92361111111111116</v>
      </c>
      <c r="F369" s="194" t="s">
        <v>456</v>
      </c>
      <c r="G369" s="2">
        <v>1</v>
      </c>
      <c r="I369" s="126">
        <v>120</v>
      </c>
      <c r="J369" s="2" t="s">
        <v>766</v>
      </c>
      <c r="K369" s="109" t="s">
        <v>737</v>
      </c>
      <c r="L369" s="194">
        <v>20000</v>
      </c>
      <c r="M369" s="69">
        <v>15</v>
      </c>
      <c r="N369" s="39" t="s">
        <v>48</v>
      </c>
      <c r="O369" s="39" t="s">
        <v>49</v>
      </c>
      <c r="P369" s="135" t="s">
        <v>827</v>
      </c>
      <c r="Q369" s="19">
        <v>24</v>
      </c>
      <c r="R369" s="15">
        <f>Q369/I369</f>
        <v>0.2</v>
      </c>
      <c r="S369" s="5">
        <f>($AC369*$AD369)/(($Z369/$Y369)+($AA369/$Z369)+($AB369/$AA369))</f>
        <v>25.161290322580644</v>
      </c>
      <c r="U369" s="109" t="s">
        <v>463</v>
      </c>
      <c r="V369" s="2" t="s">
        <v>735</v>
      </c>
      <c r="W369" s="10" t="s">
        <v>464</v>
      </c>
      <c r="Y369" s="2">
        <v>2.5</v>
      </c>
      <c r="Z369" s="2">
        <v>7.5</v>
      </c>
      <c r="AA369" s="2">
        <v>30</v>
      </c>
      <c r="AB369" s="2">
        <v>100</v>
      </c>
      <c r="AC369" s="2">
        <v>13</v>
      </c>
      <c r="AD369" s="2">
        <v>20</v>
      </c>
      <c r="AE369" s="2">
        <f>AC369*AD369</f>
        <v>260</v>
      </c>
      <c r="AF369" s="2">
        <f>Z369/Y369</f>
        <v>3</v>
      </c>
      <c r="AG369" s="2">
        <f>AA369/Z369</f>
        <v>4</v>
      </c>
      <c r="AH369" s="2">
        <f>AB369/AA369</f>
        <v>3.3333333333333335</v>
      </c>
    </row>
    <row r="370" spans="1:34">
      <c r="A370" s="165" t="s">
        <v>1383</v>
      </c>
      <c r="B370" s="36" t="s">
        <v>63</v>
      </c>
      <c r="C370" s="41">
        <v>46177</v>
      </c>
      <c r="D370" s="144" t="s">
        <v>117</v>
      </c>
      <c r="E370" s="14">
        <v>18</v>
      </c>
      <c r="F370" s="194" t="s">
        <v>942</v>
      </c>
      <c r="G370" s="2">
        <v>5</v>
      </c>
      <c r="H370" s="2">
        <v>9</v>
      </c>
      <c r="I370" s="45">
        <v>1500</v>
      </c>
      <c r="J370" s="2" t="s">
        <v>761</v>
      </c>
      <c r="K370" s="109" t="s">
        <v>816</v>
      </c>
      <c r="L370" s="92">
        <v>50000</v>
      </c>
      <c r="M370" s="69">
        <v>60</v>
      </c>
      <c r="N370" s="39" t="s">
        <v>48</v>
      </c>
      <c r="O370" s="39" t="s">
        <v>49</v>
      </c>
      <c r="P370" s="210"/>
      <c r="Q370" s="19">
        <f>R370*I370</f>
        <v>172.5</v>
      </c>
      <c r="R370" s="15">
        <v>0.115</v>
      </c>
      <c r="S370" s="5">
        <f>($AC370*$AD370)/(($Z370/$Y370)+($AA370/$Z370)+($AB370/$AA370))</f>
        <v>161.993769470405</v>
      </c>
      <c r="U370" s="109" t="s">
        <v>767</v>
      </c>
      <c r="V370" s="2" t="s">
        <v>121</v>
      </c>
      <c r="W370" s="10"/>
      <c r="Y370" s="2">
        <v>2</v>
      </c>
      <c r="Z370" s="2">
        <v>5</v>
      </c>
      <c r="AA370" s="2">
        <v>13</v>
      </c>
      <c r="AB370" s="2">
        <v>30</v>
      </c>
      <c r="AC370" s="2">
        <v>20</v>
      </c>
      <c r="AD370" s="2">
        <v>60</v>
      </c>
      <c r="AE370" s="2">
        <f>AC370*AD370</f>
        <v>1200</v>
      </c>
      <c r="AF370" s="2">
        <f>Z370/Y370</f>
        <v>2.5</v>
      </c>
      <c r="AG370" s="2">
        <f>AA370/Z370</f>
        <v>2.6</v>
      </c>
      <c r="AH370" s="2">
        <f>AB370/AA370</f>
        <v>2.3076923076923075</v>
      </c>
    </row>
    <row r="371" spans="1:34">
      <c r="A371" s="165" t="s">
        <v>1383</v>
      </c>
      <c r="B371" s="36" t="s">
        <v>63</v>
      </c>
      <c r="C371" s="41">
        <v>46177</v>
      </c>
      <c r="D371" s="144" t="s">
        <v>115</v>
      </c>
      <c r="E371" s="14">
        <v>11</v>
      </c>
      <c r="F371" s="194" t="s">
        <v>1102</v>
      </c>
      <c r="G371" s="2">
        <v>4</v>
      </c>
      <c r="H371" s="2">
        <v>9</v>
      </c>
      <c r="I371" s="37">
        <v>10000</v>
      </c>
      <c r="J371" s="2" t="s">
        <v>766</v>
      </c>
      <c r="K371" s="109" t="s">
        <v>601</v>
      </c>
      <c r="L371" s="92">
        <v>100000</v>
      </c>
      <c r="M371" s="202">
        <v>60</v>
      </c>
      <c r="N371" s="39" t="s">
        <v>48</v>
      </c>
      <c r="O371" s="39" t="s">
        <v>49</v>
      </c>
      <c r="P371" s="210"/>
      <c r="Q371" s="19">
        <f>R371*I371</f>
        <v>700.00000000000011</v>
      </c>
      <c r="R371" s="15">
        <v>7.0000000000000007E-2</v>
      </c>
      <c r="S371" s="5">
        <v>196</v>
      </c>
      <c r="U371" s="109" t="s">
        <v>767</v>
      </c>
      <c r="V371" s="10" t="s">
        <v>121</v>
      </c>
      <c r="Y371" s="175"/>
      <c r="Z371" s="175"/>
      <c r="AA371" s="175"/>
      <c r="AB371" s="175"/>
      <c r="AC371" s="175"/>
      <c r="AD371" s="175"/>
      <c r="AE371" s="175"/>
      <c r="AF371" s="175"/>
      <c r="AG371" s="175"/>
      <c r="AH371" s="175"/>
    </row>
    <row r="372" spans="1:34">
      <c r="A372" s="165" t="s">
        <v>1383</v>
      </c>
      <c r="B372" s="36" t="s">
        <v>63</v>
      </c>
      <c r="C372" s="41">
        <v>46177</v>
      </c>
      <c r="D372" s="144" t="s">
        <v>115</v>
      </c>
      <c r="E372" s="14">
        <v>19</v>
      </c>
      <c r="F372" s="194" t="s">
        <v>946</v>
      </c>
      <c r="G372" s="2">
        <v>4</v>
      </c>
      <c r="H372" s="2">
        <v>8</v>
      </c>
      <c r="I372" s="45">
        <v>25000</v>
      </c>
      <c r="J372" s="2" t="s">
        <v>760</v>
      </c>
      <c r="K372" s="109" t="s">
        <v>598</v>
      </c>
      <c r="L372" s="92">
        <v>150000</v>
      </c>
      <c r="M372" s="69">
        <v>60</v>
      </c>
      <c r="N372" s="39" t="s">
        <v>48</v>
      </c>
      <c r="O372" s="39" t="s">
        <v>49</v>
      </c>
      <c r="P372" s="210"/>
      <c r="Q372" s="19">
        <f>R372*I372</f>
        <v>1500</v>
      </c>
      <c r="R372" s="15">
        <v>0.06</v>
      </c>
      <c r="S372" s="5">
        <f>($AC372*$AD372)/(($Z372/$Y372)+($AA372/$Z372)+($AB372/$AA372))</f>
        <v>136.46655231560891</v>
      </c>
      <c r="U372" s="109" t="s">
        <v>767</v>
      </c>
      <c r="V372" s="10" t="s">
        <v>121</v>
      </c>
      <c r="W372" s="10"/>
      <c r="Y372" s="2">
        <v>13</v>
      </c>
      <c r="Z372" s="2">
        <v>30</v>
      </c>
      <c r="AA372" s="2">
        <v>75</v>
      </c>
      <c r="AB372" s="2">
        <v>200</v>
      </c>
      <c r="AC372" s="2">
        <v>17</v>
      </c>
      <c r="AD372" s="2">
        <v>60</v>
      </c>
      <c r="AE372" s="2">
        <f>AC372*AD372</f>
        <v>1020</v>
      </c>
      <c r="AF372" s="2">
        <f>Z372/Y372</f>
        <v>2.3076923076923075</v>
      </c>
      <c r="AG372" s="2">
        <f>AA372/Z372</f>
        <v>2.5</v>
      </c>
      <c r="AH372" s="2">
        <f>AB372/AA372</f>
        <v>2.6666666666666665</v>
      </c>
    </row>
    <row r="373" spans="1:34" s="70" customFormat="1">
      <c r="A373" s="165" t="s">
        <v>1383</v>
      </c>
      <c r="B373" s="36" t="s">
        <v>63</v>
      </c>
      <c r="C373" s="41">
        <v>46177</v>
      </c>
      <c r="D373" s="144" t="s">
        <v>116</v>
      </c>
      <c r="E373" s="8">
        <v>21</v>
      </c>
      <c r="F373" s="194" t="s">
        <v>947</v>
      </c>
      <c r="G373" s="2">
        <v>3</v>
      </c>
      <c r="H373" s="2">
        <v>8</v>
      </c>
      <c r="I373" s="45">
        <v>1500</v>
      </c>
      <c r="J373" s="2" t="s">
        <v>762</v>
      </c>
      <c r="K373" s="109" t="s">
        <v>598</v>
      </c>
      <c r="L373" s="92">
        <v>25000</v>
      </c>
      <c r="M373" s="69" t="s">
        <v>97</v>
      </c>
      <c r="N373" s="39" t="s">
        <v>48</v>
      </c>
      <c r="O373" s="39" t="s">
        <v>359</v>
      </c>
      <c r="P373" s="213"/>
      <c r="Q373" s="38">
        <f>R373*I373</f>
        <v>172.5</v>
      </c>
      <c r="R373" s="15">
        <v>0.115</v>
      </c>
      <c r="S373" s="149" t="s">
        <v>110</v>
      </c>
      <c r="T373" s="149"/>
      <c r="U373" s="109" t="s">
        <v>767</v>
      </c>
      <c r="V373" s="10" t="s">
        <v>121</v>
      </c>
      <c r="W373" s="2"/>
      <c r="X373" s="2"/>
      <c r="Y373" s="2"/>
      <c r="Z373" s="2"/>
      <c r="AA373" s="2"/>
      <c r="AB373" s="2"/>
      <c r="AC373" s="2"/>
      <c r="AD373" s="2"/>
      <c r="AE373" s="2" t="e">
        <f>AD373*#REF!</f>
        <v>#REF!</v>
      </c>
      <c r="AF373" s="2" t="e">
        <f>Z373/Y373</f>
        <v>#DIV/0!</v>
      </c>
      <c r="AG373" s="2" t="e">
        <f>AA373/Z373</f>
        <v>#DIV/0!</v>
      </c>
      <c r="AH373" s="2" t="e">
        <f>AC373/AA373</f>
        <v>#DIV/0!</v>
      </c>
    </row>
    <row r="374" spans="1:34">
      <c r="A374" s="165" t="s">
        <v>1383</v>
      </c>
      <c r="B374" s="36" t="s">
        <v>63</v>
      </c>
      <c r="C374" s="41">
        <v>46177</v>
      </c>
      <c r="D374" s="144" t="s">
        <v>876</v>
      </c>
      <c r="E374" s="8">
        <v>16</v>
      </c>
      <c r="F374" s="194" t="s">
        <v>1317</v>
      </c>
      <c r="G374" s="2">
        <v>3</v>
      </c>
      <c r="H374" s="2">
        <v>9</v>
      </c>
      <c r="I374" s="45">
        <v>1700</v>
      </c>
      <c r="J374" s="2" t="s">
        <v>762</v>
      </c>
      <c r="K374" s="109" t="s">
        <v>601</v>
      </c>
      <c r="L374" s="92">
        <v>40000</v>
      </c>
      <c r="M374" s="69" t="s">
        <v>97</v>
      </c>
      <c r="N374" s="39" t="s">
        <v>48</v>
      </c>
      <c r="O374" s="39" t="s">
        <v>49</v>
      </c>
      <c r="P374" s="210"/>
      <c r="Q374" s="19">
        <f>R374*I374</f>
        <v>195.5</v>
      </c>
      <c r="R374" s="15">
        <v>0.115</v>
      </c>
      <c r="S374" s="5">
        <f>($AC374*$AD374)/(($Z374/$Y374)+($AA374/$Z374)+($AB374/$AA374))</f>
        <v>102.59605399792316</v>
      </c>
      <c r="U374" s="109" t="s">
        <v>767</v>
      </c>
      <c r="V374" s="2" t="s">
        <v>121</v>
      </c>
      <c r="W374" s="10"/>
      <c r="Y374" s="2">
        <v>2</v>
      </c>
      <c r="Z374" s="2">
        <v>5</v>
      </c>
      <c r="AA374" s="2">
        <v>13</v>
      </c>
      <c r="AB374" s="2">
        <v>30</v>
      </c>
      <c r="AC374" s="2">
        <v>19</v>
      </c>
      <c r="AD374" s="2">
        <v>40</v>
      </c>
      <c r="AE374" s="2">
        <f>AC374*AD374</f>
        <v>760</v>
      </c>
      <c r="AF374" s="2">
        <f>Z374/Y374</f>
        <v>2.5</v>
      </c>
      <c r="AG374" s="2">
        <f>AA374/Z374</f>
        <v>2.6</v>
      </c>
      <c r="AH374" s="2">
        <f>AB374/AA374</f>
        <v>2.3076923076923075</v>
      </c>
    </row>
    <row r="375" spans="1:34">
      <c r="A375" s="96" t="s">
        <v>461</v>
      </c>
      <c r="B375" s="96" t="s">
        <v>462</v>
      </c>
      <c r="C375" s="41">
        <v>46178</v>
      </c>
      <c r="D375" s="42">
        <v>0.4236111111111111</v>
      </c>
      <c r="E375" s="193"/>
      <c r="F375" s="194" t="s">
        <v>457</v>
      </c>
      <c r="G375" s="2">
        <v>1</v>
      </c>
      <c r="I375" s="126">
        <v>120</v>
      </c>
      <c r="J375" s="2" t="s">
        <v>766</v>
      </c>
      <c r="K375" s="109" t="s">
        <v>602</v>
      </c>
      <c r="L375" s="194">
        <v>20000</v>
      </c>
      <c r="M375" s="69">
        <v>20</v>
      </c>
      <c r="N375" s="39" t="s">
        <v>48</v>
      </c>
      <c r="O375" s="39" t="s">
        <v>49</v>
      </c>
      <c r="P375" s="135" t="s">
        <v>832</v>
      </c>
      <c r="Q375" s="19">
        <v>24</v>
      </c>
      <c r="R375" s="15">
        <f>Q375/I375</f>
        <v>0.2</v>
      </c>
      <c r="S375" s="5">
        <f>($AC375*$AD375)/(($Z375/$Y375)+($AA375/$Z375)+($AB375/$AA375))</f>
        <v>25.161290322580644</v>
      </c>
      <c r="U375" s="109" t="s">
        <v>767</v>
      </c>
      <c r="V375" s="10" t="s">
        <v>735</v>
      </c>
      <c r="W375" s="10"/>
      <c r="Y375" s="2">
        <v>2.5</v>
      </c>
      <c r="Z375" s="2">
        <v>7.5</v>
      </c>
      <c r="AA375" s="2">
        <v>30</v>
      </c>
      <c r="AB375" s="2">
        <v>100</v>
      </c>
      <c r="AC375" s="2">
        <v>13</v>
      </c>
      <c r="AD375" s="2">
        <v>20</v>
      </c>
      <c r="AE375" s="2">
        <f>AC375*AD375</f>
        <v>260</v>
      </c>
      <c r="AF375" s="2">
        <f>Z375/Y375</f>
        <v>3</v>
      </c>
      <c r="AG375" s="2">
        <f>AA375/Z375</f>
        <v>4</v>
      </c>
      <c r="AH375" s="2">
        <f>AB375/AA375</f>
        <v>3.3333333333333335</v>
      </c>
    </row>
    <row r="376" spans="1:34">
      <c r="A376" s="68" t="s">
        <v>357</v>
      </c>
      <c r="B376" s="68" t="s">
        <v>358</v>
      </c>
      <c r="C376" s="191">
        <v>46178</v>
      </c>
      <c r="D376" s="42">
        <v>0.4236111111111111</v>
      </c>
      <c r="E376" s="8">
        <v>36</v>
      </c>
      <c r="F376" s="197" t="s">
        <v>300</v>
      </c>
      <c r="G376" s="2">
        <v>2</v>
      </c>
      <c r="H376" s="2">
        <v>9</v>
      </c>
      <c r="I376" s="126">
        <v>800</v>
      </c>
      <c r="J376" s="2" t="s">
        <v>766</v>
      </c>
      <c r="K376" s="137" t="s">
        <v>603</v>
      </c>
      <c r="L376" s="92">
        <v>40000</v>
      </c>
      <c r="M376" s="69">
        <v>40</v>
      </c>
      <c r="N376" s="39" t="s">
        <v>48</v>
      </c>
      <c r="O376" s="39" t="s">
        <v>49</v>
      </c>
      <c r="P376" s="135" t="s">
        <v>842</v>
      </c>
      <c r="Q376" s="19">
        <v>110</v>
      </c>
      <c r="R376" s="15">
        <f>Q376/I376</f>
        <v>0.13750000000000001</v>
      </c>
      <c r="S376" s="5">
        <f>($AC376*$AD376)/(($Z376/$Y376)+($AA376/$Z376)+($AB376/$AA376))</f>
        <v>102.59605399792316</v>
      </c>
      <c r="U376" s="109" t="s">
        <v>767</v>
      </c>
      <c r="V376" s="2" t="s">
        <v>670</v>
      </c>
      <c r="Y376" s="2">
        <v>2</v>
      </c>
      <c r="Z376" s="2">
        <v>5</v>
      </c>
      <c r="AA376" s="2">
        <v>13</v>
      </c>
      <c r="AB376" s="2">
        <v>30</v>
      </c>
      <c r="AC376" s="2">
        <v>40</v>
      </c>
      <c r="AD376" s="2">
        <v>19</v>
      </c>
      <c r="AE376" s="2">
        <f>AC376*AD376</f>
        <v>760</v>
      </c>
      <c r="AF376" s="2">
        <f>Z376/Y376</f>
        <v>2.5</v>
      </c>
      <c r="AG376" s="2">
        <f>AA376/Z376</f>
        <v>2.6</v>
      </c>
      <c r="AH376" s="2">
        <f>AB376/AA376</f>
        <v>2.3076923076923075</v>
      </c>
    </row>
    <row r="377" spans="1:34">
      <c r="A377" s="95" t="s">
        <v>447</v>
      </c>
      <c r="B377" s="95" t="s">
        <v>448</v>
      </c>
      <c r="C377" s="190">
        <v>46178</v>
      </c>
      <c r="D377" s="42">
        <v>0.45833333333333331</v>
      </c>
      <c r="E377" s="193"/>
      <c r="F377" s="194" t="s">
        <v>410</v>
      </c>
      <c r="G377" s="2">
        <v>1</v>
      </c>
      <c r="H377" s="2">
        <v>9</v>
      </c>
      <c r="I377" s="126">
        <v>600</v>
      </c>
      <c r="J377" s="2" t="s">
        <v>766</v>
      </c>
      <c r="K377" s="109" t="s">
        <v>602</v>
      </c>
      <c r="L377" s="194">
        <v>30000</v>
      </c>
      <c r="M377" s="194">
        <v>30</v>
      </c>
      <c r="N377" s="39" t="s">
        <v>48</v>
      </c>
      <c r="O377" s="39" t="s">
        <v>49</v>
      </c>
      <c r="P377" s="134" t="s">
        <v>839</v>
      </c>
      <c r="Q377" s="19">
        <v>90</v>
      </c>
      <c r="R377" s="15">
        <f>Q377/I377</f>
        <v>0.15</v>
      </c>
      <c r="S377" s="5">
        <f>($AC377*$AD377)/(($Z377/$Y377)+($AA377/$Z377)+($AB377/$AA377))</f>
        <v>72.897196261682254</v>
      </c>
      <c r="U377" s="109" t="s">
        <v>767</v>
      </c>
      <c r="V377" s="2" t="s">
        <v>741</v>
      </c>
      <c r="W377" s="10"/>
      <c r="Y377" s="2">
        <v>2</v>
      </c>
      <c r="Z377" s="2">
        <v>5</v>
      </c>
      <c r="AA377" s="2">
        <v>13</v>
      </c>
      <c r="AB377" s="2">
        <v>30</v>
      </c>
      <c r="AC377" s="2">
        <v>18</v>
      </c>
      <c r="AD377" s="2">
        <v>30</v>
      </c>
      <c r="AE377" s="2">
        <f>AC377*AD377</f>
        <v>540</v>
      </c>
      <c r="AF377" s="2">
        <f>Z377/Y377</f>
        <v>2.5</v>
      </c>
      <c r="AG377" s="2">
        <f>AA377/Z377</f>
        <v>2.6</v>
      </c>
      <c r="AH377" s="2">
        <f>AB377/AA377</f>
        <v>2.3076923076923075</v>
      </c>
    </row>
    <row r="378" spans="1:34" s="70" customFormat="1">
      <c r="A378" s="103" t="s">
        <v>539</v>
      </c>
      <c r="B378" s="103" t="s">
        <v>540</v>
      </c>
      <c r="C378" s="191">
        <v>46178</v>
      </c>
      <c r="D378" s="42">
        <v>0.45833333333333331</v>
      </c>
      <c r="E378" s="8">
        <v>9</v>
      </c>
      <c r="F378" s="197" t="s">
        <v>542</v>
      </c>
      <c r="G378" s="2">
        <v>1</v>
      </c>
      <c r="H378" s="2">
        <v>9</v>
      </c>
      <c r="I378" s="126">
        <v>200</v>
      </c>
      <c r="J378" s="179" t="s">
        <v>766</v>
      </c>
      <c r="K378" s="179" t="s">
        <v>815</v>
      </c>
      <c r="L378" s="92">
        <v>30000</v>
      </c>
      <c r="M378" s="69">
        <v>30</v>
      </c>
      <c r="N378" s="39" t="s">
        <v>48</v>
      </c>
      <c r="O378" s="39" t="s">
        <v>49</v>
      </c>
      <c r="P378" s="134" t="s">
        <v>833</v>
      </c>
      <c r="Q378" s="19">
        <v>44</v>
      </c>
      <c r="R378" s="15">
        <f>Q378/I378</f>
        <v>0.22</v>
      </c>
      <c r="S378" s="5">
        <f>($AC378*$AD378)/(($Z378/$Y378)+($AA378/$Z378)+($AB378/$AA378))</f>
        <v>53.333333333333336</v>
      </c>
      <c r="T378" s="5"/>
      <c r="U378" s="109" t="s">
        <v>767</v>
      </c>
      <c r="V378" s="71" t="s">
        <v>1395</v>
      </c>
      <c r="W378" s="10"/>
      <c r="X378" s="2"/>
      <c r="Y378" s="2">
        <v>2</v>
      </c>
      <c r="Z378" s="2">
        <v>5</v>
      </c>
      <c r="AA378" s="2">
        <v>20</v>
      </c>
      <c r="AB378" s="2">
        <v>50</v>
      </c>
      <c r="AC378" s="2">
        <v>16</v>
      </c>
      <c r="AD378" s="2">
        <v>30</v>
      </c>
      <c r="AE378" s="2">
        <f>AC378*AD378</f>
        <v>480</v>
      </c>
      <c r="AF378" s="2">
        <f>Z378/Y378</f>
        <v>2.5</v>
      </c>
      <c r="AG378" s="2">
        <f>AA378/Z378</f>
        <v>4</v>
      </c>
      <c r="AH378" s="2">
        <f>AB378/AA378</f>
        <v>2.5</v>
      </c>
    </row>
    <row r="379" spans="1:34">
      <c r="A379" s="165" t="s">
        <v>1383</v>
      </c>
      <c r="B379" s="36" t="s">
        <v>63</v>
      </c>
      <c r="C379" s="173">
        <v>46178</v>
      </c>
      <c r="D379" s="144">
        <v>0.45833333333333331</v>
      </c>
      <c r="E379" s="14">
        <v>18</v>
      </c>
      <c r="F379" s="194" t="s">
        <v>1226</v>
      </c>
      <c r="G379" s="2">
        <v>5</v>
      </c>
      <c r="H379" s="2">
        <v>9</v>
      </c>
      <c r="I379" s="45">
        <v>1500</v>
      </c>
      <c r="J379" s="2" t="s">
        <v>761</v>
      </c>
      <c r="K379" s="109" t="s">
        <v>816</v>
      </c>
      <c r="L379" s="92">
        <v>50000</v>
      </c>
      <c r="M379" s="69">
        <v>60</v>
      </c>
      <c r="N379" s="39" t="s">
        <v>48</v>
      </c>
      <c r="O379" s="39" t="s">
        <v>49</v>
      </c>
      <c r="Q379" s="19">
        <f>R379*I379</f>
        <v>172.5</v>
      </c>
      <c r="R379" s="15">
        <v>0.115</v>
      </c>
      <c r="S379" s="5">
        <f>($AC379*$AD379)/(($Z379/$Y379)+($AA379/$Z379)+($AB379/$AA379))</f>
        <v>161.993769470405</v>
      </c>
      <c r="U379" s="109" t="s">
        <v>767</v>
      </c>
      <c r="V379" s="205" t="s">
        <v>121</v>
      </c>
      <c r="W379" s="10"/>
      <c r="Y379" s="2">
        <v>2</v>
      </c>
      <c r="Z379" s="2">
        <v>5</v>
      </c>
      <c r="AA379" s="2">
        <v>13</v>
      </c>
      <c r="AB379" s="2">
        <v>30</v>
      </c>
      <c r="AC379" s="2">
        <v>20</v>
      </c>
      <c r="AD379" s="2">
        <v>60</v>
      </c>
      <c r="AE379" s="2">
        <f>AC379*AD379</f>
        <v>1200</v>
      </c>
      <c r="AF379" s="2">
        <f>Z379/Y379</f>
        <v>2.5</v>
      </c>
      <c r="AG379" s="2">
        <f>AA379/Z379</f>
        <v>2.6</v>
      </c>
      <c r="AH379" s="2">
        <f>AB379/AA379</f>
        <v>2.3076923076923075</v>
      </c>
    </row>
    <row r="380" spans="1:34" s="73" customFormat="1">
      <c r="A380" s="102" t="s">
        <v>475</v>
      </c>
      <c r="B380" s="102" t="s">
        <v>476</v>
      </c>
      <c r="C380" s="190">
        <v>46178</v>
      </c>
      <c r="D380" s="42">
        <v>0.45833333333333331</v>
      </c>
      <c r="E380" s="8">
        <v>3</v>
      </c>
      <c r="F380" s="157" t="s">
        <v>482</v>
      </c>
      <c r="G380" s="2">
        <v>1</v>
      </c>
      <c r="H380" s="2">
        <v>8</v>
      </c>
      <c r="I380" s="126">
        <v>300</v>
      </c>
      <c r="J380" s="2" t="s">
        <v>766</v>
      </c>
      <c r="K380" s="109" t="s">
        <v>602</v>
      </c>
      <c r="L380" s="201">
        <v>25000</v>
      </c>
      <c r="M380" s="203">
        <v>30</v>
      </c>
      <c r="N380" s="39" t="s">
        <v>48</v>
      </c>
      <c r="O380" s="39" t="s">
        <v>537</v>
      </c>
      <c r="P380" s="63">
        <v>20000</v>
      </c>
      <c r="Q380" s="2">
        <v>65</v>
      </c>
      <c r="R380" s="15">
        <f>Q380/I380</f>
        <v>0.21666666666666667</v>
      </c>
      <c r="S380" s="149" t="s">
        <v>110</v>
      </c>
      <c r="T380" s="149"/>
      <c r="U380" s="109" t="s">
        <v>767</v>
      </c>
      <c r="V380" s="10" t="s">
        <v>593</v>
      </c>
      <c r="W380" s="10"/>
      <c r="X380" s="2"/>
      <c r="Y380" s="2"/>
      <c r="Z380" s="2"/>
      <c r="AA380" s="2"/>
      <c r="AB380" s="2"/>
      <c r="AC380" s="2"/>
      <c r="AD380" s="2"/>
      <c r="AE380" s="2">
        <f>AC380*AD380</f>
        <v>0</v>
      </c>
      <c r="AF380" s="2" t="e">
        <f>Z380/Y380</f>
        <v>#DIV/0!</v>
      </c>
      <c r="AG380" s="2" t="e">
        <f>AA380/Z380</f>
        <v>#DIV/0!</v>
      </c>
      <c r="AH380" s="2" t="e">
        <f>AB380/AA380</f>
        <v>#DIV/0!</v>
      </c>
    </row>
    <row r="381" spans="1:34">
      <c r="A381" s="52" t="s">
        <v>229</v>
      </c>
      <c r="B381" s="52" t="s">
        <v>230</v>
      </c>
      <c r="C381" s="190">
        <v>46178</v>
      </c>
      <c r="D381" s="42">
        <v>0.45833333333333331</v>
      </c>
      <c r="E381" s="193"/>
      <c r="F381" s="194" t="s">
        <v>249</v>
      </c>
      <c r="G381" s="2">
        <v>1</v>
      </c>
      <c r="I381" s="126">
        <v>300</v>
      </c>
      <c r="J381" s="2" t="s">
        <v>766</v>
      </c>
      <c r="K381" s="88" t="s">
        <v>788</v>
      </c>
      <c r="L381" s="91">
        <v>30000</v>
      </c>
      <c r="M381" s="194">
        <v>30</v>
      </c>
      <c r="N381" s="39" t="s">
        <v>48</v>
      </c>
      <c r="O381" s="39" t="s">
        <v>49</v>
      </c>
      <c r="P381" s="134" t="s">
        <v>835</v>
      </c>
      <c r="Q381" s="19">
        <v>45</v>
      </c>
      <c r="R381" s="15">
        <f>IF(Q381&gt;0,Q381/I381,"")</f>
        <v>0.15</v>
      </c>
      <c r="S381" s="5">
        <f>($AC381*$AD381)/(($Z381/$Y381)+($AA381/$Z381)+($AB381/$AA381))</f>
        <v>72.897196261682254</v>
      </c>
      <c r="U381" s="109" t="s">
        <v>767</v>
      </c>
      <c r="V381" s="205" t="s">
        <v>719</v>
      </c>
      <c r="W381" s="10"/>
      <c r="Y381" s="2">
        <v>2</v>
      </c>
      <c r="Z381" s="2">
        <v>5</v>
      </c>
      <c r="AA381" s="2">
        <v>13</v>
      </c>
      <c r="AB381" s="2">
        <v>30</v>
      </c>
      <c r="AC381" s="2">
        <v>18</v>
      </c>
      <c r="AD381" s="2">
        <v>30</v>
      </c>
      <c r="AE381" s="2">
        <f>AC381*AD381</f>
        <v>540</v>
      </c>
      <c r="AF381" s="2">
        <f>Z381/Y381</f>
        <v>2.5</v>
      </c>
      <c r="AG381" s="2">
        <f>AA381/Z381</f>
        <v>2.6</v>
      </c>
      <c r="AH381" s="2">
        <f>AB381/AA381</f>
        <v>2.3076923076923075</v>
      </c>
    </row>
    <row r="382" spans="1:34" s="70" customFormat="1">
      <c r="A382" s="103" t="s">
        <v>539</v>
      </c>
      <c r="B382" s="103" t="s">
        <v>540</v>
      </c>
      <c r="C382" s="191">
        <v>46178</v>
      </c>
      <c r="D382" s="42">
        <v>0.5</v>
      </c>
      <c r="E382" s="8">
        <v>10</v>
      </c>
      <c r="F382" s="197" t="s">
        <v>546</v>
      </c>
      <c r="G382" s="2">
        <v>1</v>
      </c>
      <c r="H382" s="2">
        <v>7</v>
      </c>
      <c r="I382" s="126">
        <v>500</v>
      </c>
      <c r="J382" s="179" t="s">
        <v>766</v>
      </c>
      <c r="K382" s="179" t="s">
        <v>602</v>
      </c>
      <c r="L382" s="92">
        <v>35000</v>
      </c>
      <c r="M382" s="181" t="s">
        <v>22</v>
      </c>
      <c r="N382" s="39" t="s">
        <v>48</v>
      </c>
      <c r="O382" s="39" t="s">
        <v>861</v>
      </c>
      <c r="P382" s="63">
        <v>40000</v>
      </c>
      <c r="Q382" s="2">
        <v>70</v>
      </c>
      <c r="R382" s="15">
        <f>Q382/I382</f>
        <v>0.14000000000000001</v>
      </c>
      <c r="S382" s="142"/>
      <c r="T382" s="5"/>
      <c r="U382" s="109" t="s">
        <v>767</v>
      </c>
      <c r="V382" s="21" t="s">
        <v>1395</v>
      </c>
      <c r="W382" s="10"/>
      <c r="X382" s="2"/>
      <c r="Y382" s="2"/>
      <c r="Z382" s="2"/>
      <c r="AA382" s="2"/>
      <c r="AB382" s="2"/>
      <c r="AC382" s="2"/>
      <c r="AD382" s="2"/>
      <c r="AE382" s="2">
        <f>AC382*AD382</f>
        <v>0</v>
      </c>
      <c r="AF382" s="2" t="e">
        <f>Z382/Y382</f>
        <v>#DIV/0!</v>
      </c>
      <c r="AG382" s="2" t="e">
        <f>AA382/Z382</f>
        <v>#DIV/0!</v>
      </c>
      <c r="AH382" s="2" t="e">
        <f>AB382/AA382</f>
        <v>#DIV/0!</v>
      </c>
    </row>
    <row r="383" spans="1:34" s="70" customFormat="1">
      <c r="A383" s="102" t="s">
        <v>475</v>
      </c>
      <c r="B383" s="102" t="s">
        <v>476</v>
      </c>
      <c r="C383" s="190">
        <v>46178</v>
      </c>
      <c r="D383" s="42">
        <v>0.5</v>
      </c>
      <c r="E383" s="8">
        <v>2</v>
      </c>
      <c r="F383" s="166" t="s">
        <v>1342</v>
      </c>
      <c r="G383" s="2">
        <v>2</v>
      </c>
      <c r="H383" s="2">
        <v>9</v>
      </c>
      <c r="I383" s="126">
        <v>400</v>
      </c>
      <c r="J383" s="2" t="s">
        <v>766</v>
      </c>
      <c r="K383" s="109" t="s">
        <v>601</v>
      </c>
      <c r="L383" s="201">
        <v>30000</v>
      </c>
      <c r="M383" s="203">
        <v>30</v>
      </c>
      <c r="N383" s="39" t="s">
        <v>48</v>
      </c>
      <c r="O383" s="39" t="s">
        <v>49</v>
      </c>
      <c r="P383" s="134" t="s">
        <v>838</v>
      </c>
      <c r="Q383" s="19">
        <v>70</v>
      </c>
      <c r="R383" s="15">
        <f>Q383/I383</f>
        <v>0.17499999999999999</v>
      </c>
      <c r="S383" s="5">
        <f>($AC383*$AD383)/(($Z383/$Y383)+($AA383/$Z383)+($AB383/$AA383))</f>
        <v>72.897196261682254</v>
      </c>
      <c r="T383" s="5"/>
      <c r="U383" s="109" t="s">
        <v>767</v>
      </c>
      <c r="V383" s="2" t="s">
        <v>594</v>
      </c>
      <c r="W383" s="10"/>
      <c r="X383" s="2"/>
      <c r="Y383" s="2">
        <v>2</v>
      </c>
      <c r="Z383" s="2">
        <v>5</v>
      </c>
      <c r="AA383" s="2">
        <v>13</v>
      </c>
      <c r="AB383" s="2">
        <v>30</v>
      </c>
      <c r="AC383" s="2">
        <v>30</v>
      </c>
      <c r="AD383" s="2">
        <v>18</v>
      </c>
      <c r="AE383" s="2">
        <f>AC383*AD383</f>
        <v>540</v>
      </c>
      <c r="AF383" s="2">
        <f>Z383/Y383</f>
        <v>2.5</v>
      </c>
      <c r="AG383" s="2">
        <f>AA383/Z383</f>
        <v>2.6</v>
      </c>
      <c r="AH383" s="2">
        <f>AB383/AA383</f>
        <v>2.3076923076923075</v>
      </c>
    </row>
    <row r="384" spans="1:34">
      <c r="A384" s="52" t="s">
        <v>229</v>
      </c>
      <c r="B384" s="52" t="s">
        <v>230</v>
      </c>
      <c r="C384" s="190">
        <v>46178</v>
      </c>
      <c r="D384" s="42">
        <v>0.5</v>
      </c>
      <c r="F384" s="194" t="s">
        <v>254</v>
      </c>
      <c r="G384" s="2">
        <v>1</v>
      </c>
      <c r="I384" s="45">
        <v>600</v>
      </c>
      <c r="J384" s="2" t="s">
        <v>766</v>
      </c>
      <c r="K384" s="88" t="s">
        <v>788</v>
      </c>
      <c r="L384" s="91">
        <v>40000</v>
      </c>
      <c r="M384" s="195" t="s">
        <v>22</v>
      </c>
      <c r="N384" s="39" t="s">
        <v>48</v>
      </c>
      <c r="O384" s="39" t="s">
        <v>864</v>
      </c>
      <c r="P384" s="19">
        <v>40000</v>
      </c>
      <c r="Q384" s="2">
        <v>85</v>
      </c>
      <c r="R384" s="15">
        <f>IF(Q384&gt;0,Q384/I384,"")</f>
        <v>0.14166666666666666</v>
      </c>
      <c r="S384" s="149" t="s">
        <v>110</v>
      </c>
      <c r="T384" s="149"/>
      <c r="U384" s="109" t="s">
        <v>767</v>
      </c>
      <c r="V384" s="10" t="s">
        <v>719</v>
      </c>
      <c r="W384" s="10"/>
      <c r="AE384" s="2">
        <f>AC384*AD384</f>
        <v>0</v>
      </c>
      <c r="AF384" s="2" t="e">
        <f>Z384/Y384</f>
        <v>#DIV/0!</v>
      </c>
      <c r="AG384" s="2" t="e">
        <f>AA384/Z384</f>
        <v>#DIV/0!</v>
      </c>
      <c r="AH384" s="2" t="e">
        <f>AB384/AA384</f>
        <v>#DIV/0!</v>
      </c>
    </row>
    <row r="385" spans="1:34" s="73" customFormat="1">
      <c r="A385" s="52" t="s">
        <v>220</v>
      </c>
      <c r="B385" s="52" t="s">
        <v>221</v>
      </c>
      <c r="C385" s="191">
        <v>46178</v>
      </c>
      <c r="D385" s="42">
        <v>0.5</v>
      </c>
      <c r="E385" s="193"/>
      <c r="F385" s="194" t="s">
        <v>1302</v>
      </c>
      <c r="G385" s="2">
        <v>3</v>
      </c>
      <c r="H385" s="2">
        <v>9</v>
      </c>
      <c r="I385" s="126">
        <v>1100</v>
      </c>
      <c r="J385" s="2" t="s">
        <v>766</v>
      </c>
      <c r="K385" s="109" t="s">
        <v>767</v>
      </c>
      <c r="L385" s="91">
        <v>40000</v>
      </c>
      <c r="M385" s="203">
        <v>40</v>
      </c>
      <c r="N385" s="39" t="s">
        <v>48</v>
      </c>
      <c r="O385" s="39" t="s">
        <v>49</v>
      </c>
      <c r="P385" s="135" t="s">
        <v>847</v>
      </c>
      <c r="Q385" s="19">
        <v>135</v>
      </c>
      <c r="R385" s="15">
        <f>Q385/I385</f>
        <v>0.12272727272727273</v>
      </c>
      <c r="S385" s="5">
        <f>($AC385*$AD385)/(($Z385/$Y385)+($AA385/$Z385)+($AB385/$AA385))</f>
        <v>66.122448979591837</v>
      </c>
      <c r="T385" s="5"/>
      <c r="U385" s="109" t="s">
        <v>767</v>
      </c>
      <c r="V385" s="2" t="s">
        <v>738</v>
      </c>
      <c r="W385" s="10"/>
      <c r="X385" s="2"/>
      <c r="Y385" s="2">
        <v>2</v>
      </c>
      <c r="Z385" s="2">
        <v>5</v>
      </c>
      <c r="AA385" s="2">
        <v>15</v>
      </c>
      <c r="AB385" s="2">
        <v>40</v>
      </c>
      <c r="AC385" s="2">
        <v>18</v>
      </c>
      <c r="AD385" s="2">
        <v>30</v>
      </c>
      <c r="AE385" s="2">
        <f>AC385*AD385</f>
        <v>540</v>
      </c>
      <c r="AF385" s="2">
        <f>Z385/Y385</f>
        <v>2.5</v>
      </c>
      <c r="AG385" s="2">
        <f>AA385/Z385</f>
        <v>3</v>
      </c>
      <c r="AH385" s="2">
        <f>AB385/AA385</f>
        <v>2.6666666666666665</v>
      </c>
    </row>
    <row r="386" spans="1:34">
      <c r="A386" s="52" t="s">
        <v>220</v>
      </c>
      <c r="B386" s="52" t="s">
        <v>221</v>
      </c>
      <c r="C386" s="191">
        <v>46178</v>
      </c>
      <c r="D386" s="42">
        <v>0.5</v>
      </c>
      <c r="E386" s="193"/>
      <c r="F386" s="194" t="s">
        <v>1053</v>
      </c>
      <c r="G386" s="2">
        <v>1</v>
      </c>
      <c r="H386" s="2">
        <v>9</v>
      </c>
      <c r="I386" s="126">
        <v>1100</v>
      </c>
      <c r="J386" s="2" t="s">
        <v>766</v>
      </c>
      <c r="K386" s="88" t="s">
        <v>780</v>
      </c>
      <c r="L386" s="91">
        <v>30000</v>
      </c>
      <c r="M386" s="203">
        <v>30</v>
      </c>
      <c r="N386" s="39" t="s">
        <v>48</v>
      </c>
      <c r="O386" s="39" t="s">
        <v>49</v>
      </c>
      <c r="P386" s="135" t="s">
        <v>840</v>
      </c>
      <c r="Q386" s="19">
        <v>135</v>
      </c>
      <c r="R386" s="15">
        <f>Q386/I386</f>
        <v>0.12272727272727273</v>
      </c>
      <c r="S386" s="5">
        <f>($AC386*$AD386)/(($Z386/$Y386)+($AA386/$Z386)+($AB386/$AA386))</f>
        <v>62.448979591836739</v>
      </c>
      <c r="U386" s="109" t="s">
        <v>767</v>
      </c>
      <c r="V386" s="2" t="s">
        <v>738</v>
      </c>
      <c r="W386" s="10"/>
      <c r="Y386" s="2">
        <v>2</v>
      </c>
      <c r="Z386" s="2">
        <v>5</v>
      </c>
      <c r="AA386" s="2">
        <v>15</v>
      </c>
      <c r="AB386" s="2">
        <v>40</v>
      </c>
      <c r="AC386" s="2">
        <v>17</v>
      </c>
      <c r="AD386" s="2">
        <v>30</v>
      </c>
      <c r="AE386" s="2">
        <f>AC386*AD386</f>
        <v>510</v>
      </c>
      <c r="AF386" s="2">
        <f>Z386/Y386</f>
        <v>2.5</v>
      </c>
      <c r="AG386" s="2">
        <f>AA386/Z386</f>
        <v>3</v>
      </c>
      <c r="AH386" s="2">
        <f>AB386/AA386</f>
        <v>2.6666666666666665</v>
      </c>
    </row>
    <row r="387" spans="1:34">
      <c r="A387" s="165" t="s">
        <v>1383</v>
      </c>
      <c r="B387" s="36" t="s">
        <v>63</v>
      </c>
      <c r="C387" s="41">
        <v>46178</v>
      </c>
      <c r="D387" s="144">
        <v>0.54166666666666663</v>
      </c>
      <c r="E387" s="8">
        <v>21</v>
      </c>
      <c r="F387" s="194" t="s">
        <v>1137</v>
      </c>
      <c r="G387" s="2">
        <v>3</v>
      </c>
      <c r="H387" s="2">
        <v>8</v>
      </c>
      <c r="I387" s="45">
        <v>1500</v>
      </c>
      <c r="J387" s="2" t="s">
        <v>762</v>
      </c>
      <c r="K387" s="109" t="s">
        <v>598</v>
      </c>
      <c r="L387" s="92">
        <v>25000</v>
      </c>
      <c r="M387" s="69" t="s">
        <v>97</v>
      </c>
      <c r="N387" s="39" t="s">
        <v>48</v>
      </c>
      <c r="O387" s="39" t="s">
        <v>359</v>
      </c>
      <c r="P387" s="19"/>
      <c r="Q387" s="38">
        <f>R387*I387</f>
        <v>172.5</v>
      </c>
      <c r="R387" s="15">
        <v>0.115</v>
      </c>
      <c r="S387" s="149" t="s">
        <v>110</v>
      </c>
      <c r="T387" s="149"/>
      <c r="U387" s="109" t="s">
        <v>767</v>
      </c>
      <c r="V387" s="2" t="s">
        <v>121</v>
      </c>
      <c r="W387" s="10"/>
      <c r="X387" s="70"/>
      <c r="AE387" s="2" t="e">
        <f>AD387*#REF!</f>
        <v>#REF!</v>
      </c>
      <c r="AF387" s="2" t="e">
        <f>Z387/Y387</f>
        <v>#DIV/0!</v>
      </c>
      <c r="AG387" s="2" t="e">
        <f>AA387/Z387</f>
        <v>#DIV/0!</v>
      </c>
      <c r="AH387" s="2" t="e">
        <f>AC387/AA387</f>
        <v>#DIV/0!</v>
      </c>
    </row>
    <row r="388" spans="1:34">
      <c r="A388" s="165" t="s">
        <v>1383</v>
      </c>
      <c r="B388" s="39" t="s">
        <v>63</v>
      </c>
      <c r="C388" s="41">
        <v>46178</v>
      </c>
      <c r="D388" s="144">
        <v>0.54166666666666663</v>
      </c>
      <c r="E388" s="8"/>
      <c r="F388" t="s">
        <v>881</v>
      </c>
      <c r="G388" s="2">
        <v>1</v>
      </c>
      <c r="H388" s="2">
        <v>9</v>
      </c>
      <c r="I388" s="45">
        <v>250</v>
      </c>
      <c r="J388" s="2" t="s">
        <v>766</v>
      </c>
      <c r="K388" s="88" t="s">
        <v>787</v>
      </c>
      <c r="L388" s="92">
        <v>25000</v>
      </c>
      <c r="M388" s="10">
        <v>30</v>
      </c>
      <c r="N388" s="39" t="s">
        <v>817</v>
      </c>
      <c r="O388" s="39" t="s">
        <v>49</v>
      </c>
      <c r="P388" s="210"/>
      <c r="Q388" s="19">
        <v>50</v>
      </c>
      <c r="R388" s="15">
        <f>Q388/I388</f>
        <v>0.2</v>
      </c>
      <c r="S388" s="5">
        <v>44</v>
      </c>
      <c r="U388" s="109" t="s">
        <v>767</v>
      </c>
      <c r="V388" s="71" t="s">
        <v>360</v>
      </c>
      <c r="W388" s="10"/>
      <c r="Y388" s="175"/>
      <c r="Z388" s="175"/>
      <c r="AA388" s="175"/>
      <c r="AB388" s="175"/>
      <c r="AC388" s="175"/>
      <c r="AD388" s="175"/>
      <c r="AE388" s="175"/>
      <c r="AF388" s="175"/>
      <c r="AG388" s="175"/>
      <c r="AH388" s="175"/>
    </row>
    <row r="389" spans="1:34">
      <c r="A389" s="96" t="s">
        <v>461</v>
      </c>
      <c r="B389" s="96" t="s">
        <v>462</v>
      </c>
      <c r="C389" s="41">
        <v>46178</v>
      </c>
      <c r="D389" s="42">
        <v>0.59027777777777779</v>
      </c>
      <c r="F389" s="194" t="s">
        <v>459</v>
      </c>
      <c r="G389" s="2">
        <v>1</v>
      </c>
      <c r="I389" s="126">
        <v>120</v>
      </c>
      <c r="J389" s="2" t="s">
        <v>766</v>
      </c>
      <c r="K389" s="109" t="s">
        <v>602</v>
      </c>
      <c r="L389">
        <v>20000</v>
      </c>
      <c r="M389" s="69">
        <v>20</v>
      </c>
      <c r="N389" s="39" t="s">
        <v>48</v>
      </c>
      <c r="O389" s="39" t="s">
        <v>465</v>
      </c>
      <c r="P389" s="63">
        <v>6000</v>
      </c>
      <c r="Q389" s="2">
        <v>24</v>
      </c>
      <c r="R389" s="15">
        <f>Q389/I389</f>
        <v>0.2</v>
      </c>
      <c r="S389" s="149" t="s">
        <v>110</v>
      </c>
      <c r="T389" s="149"/>
      <c r="U389" s="109" t="s">
        <v>767</v>
      </c>
      <c r="V389" s="2" t="s">
        <v>735</v>
      </c>
      <c r="W389" s="10"/>
      <c r="AE389" s="2">
        <f>AC389*AD389</f>
        <v>0</v>
      </c>
      <c r="AF389" s="2" t="e">
        <f>Z389/Y389</f>
        <v>#DIV/0!</v>
      </c>
      <c r="AG389" s="2" t="e">
        <f>AA389/Z389</f>
        <v>#DIV/0!</v>
      </c>
      <c r="AH389" s="2" t="e">
        <f>AB389/AA389</f>
        <v>#DIV/0!</v>
      </c>
    </row>
    <row r="390" spans="1:34">
      <c r="A390" s="165" t="s">
        <v>1383</v>
      </c>
      <c r="B390" s="39" t="s">
        <v>63</v>
      </c>
      <c r="C390" s="41">
        <v>46178</v>
      </c>
      <c r="D390" s="144">
        <v>0.625</v>
      </c>
      <c r="F390" s="194" t="s">
        <v>912</v>
      </c>
      <c r="G390" s="2">
        <v>1</v>
      </c>
      <c r="H390" s="2">
        <v>9</v>
      </c>
      <c r="I390" s="45">
        <v>240</v>
      </c>
      <c r="J390" s="2" t="s">
        <v>766</v>
      </c>
      <c r="K390" s="88" t="s">
        <v>784</v>
      </c>
      <c r="L390" s="92">
        <v>10000</v>
      </c>
      <c r="M390" s="69">
        <v>20</v>
      </c>
      <c r="N390" s="132" t="s">
        <v>821</v>
      </c>
      <c r="O390" s="39" t="s">
        <v>49</v>
      </c>
      <c r="P390" s="210"/>
      <c r="Q390" s="19">
        <v>40</v>
      </c>
      <c r="R390" s="15">
        <v>0.16666666666666666</v>
      </c>
      <c r="S390" s="5">
        <v>29</v>
      </c>
      <c r="U390" s="109" t="s">
        <v>767</v>
      </c>
      <c r="V390" s="71" t="s">
        <v>362</v>
      </c>
      <c r="W390" s="194" t="s">
        <v>367</v>
      </c>
      <c r="Y390" s="175"/>
      <c r="Z390" s="175"/>
      <c r="AA390" s="175"/>
      <c r="AB390" s="175"/>
      <c r="AC390" s="175"/>
      <c r="AD390" s="175"/>
      <c r="AE390" s="175"/>
      <c r="AF390" s="175"/>
      <c r="AG390" s="175"/>
      <c r="AH390" s="175"/>
    </row>
    <row r="391" spans="1:34">
      <c r="A391" s="165" t="s">
        <v>1383</v>
      </c>
      <c r="B391" s="39" t="s">
        <v>63</v>
      </c>
      <c r="C391" s="41">
        <v>46178</v>
      </c>
      <c r="D391" s="144">
        <v>0.66666666666666663</v>
      </c>
      <c r="E391" s="8"/>
      <c r="F391" s="194" t="s">
        <v>1024</v>
      </c>
      <c r="G391" s="2">
        <v>1</v>
      </c>
      <c r="H391" s="2">
        <v>9</v>
      </c>
      <c r="I391" s="45">
        <v>400</v>
      </c>
      <c r="J391" s="2" t="s">
        <v>766</v>
      </c>
      <c r="K391" s="88" t="s">
        <v>794</v>
      </c>
      <c r="L391" s="92">
        <v>30000</v>
      </c>
      <c r="M391" s="10">
        <v>20</v>
      </c>
      <c r="N391" s="39" t="s">
        <v>817</v>
      </c>
      <c r="O391" s="39" t="s">
        <v>49</v>
      </c>
      <c r="P391" s="210"/>
      <c r="Q391" s="19">
        <v>70</v>
      </c>
      <c r="R391" s="15">
        <f>Q391/I391</f>
        <v>0.17499999999999999</v>
      </c>
      <c r="S391" s="5">
        <v>37</v>
      </c>
      <c r="U391" s="109" t="s">
        <v>129</v>
      </c>
      <c r="V391" s="71" t="s">
        <v>360</v>
      </c>
      <c r="W391" s="10"/>
      <c r="Y391" s="175"/>
      <c r="Z391" s="175"/>
      <c r="AA391" s="175"/>
      <c r="AB391" s="175"/>
      <c r="AC391" s="175"/>
      <c r="AD391" s="175"/>
      <c r="AE391" s="175"/>
      <c r="AF391" s="175"/>
      <c r="AG391" s="175"/>
      <c r="AH391" s="175"/>
    </row>
    <row r="392" spans="1:34">
      <c r="A392" s="68" t="s">
        <v>357</v>
      </c>
      <c r="B392" s="68" t="s">
        <v>358</v>
      </c>
      <c r="C392" s="191">
        <v>46178</v>
      </c>
      <c r="D392" s="42">
        <v>0.67361111111111116</v>
      </c>
      <c r="E392" s="8">
        <v>36</v>
      </c>
      <c r="F392" s="197" t="s">
        <v>301</v>
      </c>
      <c r="G392" s="2">
        <v>2</v>
      </c>
      <c r="H392" s="2">
        <v>9</v>
      </c>
      <c r="I392" s="126">
        <v>800</v>
      </c>
      <c r="J392" s="2" t="s">
        <v>766</v>
      </c>
      <c r="K392" s="137" t="s">
        <v>603</v>
      </c>
      <c r="L392" s="92">
        <v>40000</v>
      </c>
      <c r="M392" s="69">
        <v>30</v>
      </c>
      <c r="N392" s="39" t="s">
        <v>48</v>
      </c>
      <c r="O392" s="39" t="s">
        <v>49</v>
      </c>
      <c r="P392" s="135" t="s">
        <v>842</v>
      </c>
      <c r="Q392" s="19">
        <v>110</v>
      </c>
      <c r="R392" s="15">
        <f>Q392/I392</f>
        <v>0.13750000000000001</v>
      </c>
      <c r="S392" s="5">
        <f>($AC392*$AD392)/(($Z392/$Y392)+($AA392/$Z392)+($AB392/$AA392))</f>
        <v>76.947040498442377</v>
      </c>
      <c r="U392" s="109" t="s">
        <v>767</v>
      </c>
      <c r="V392" s="71" t="s">
        <v>1414</v>
      </c>
      <c r="W392" s="10"/>
      <c r="Y392" s="2">
        <v>2</v>
      </c>
      <c r="Z392" s="2">
        <v>5</v>
      </c>
      <c r="AA392" s="2">
        <v>13</v>
      </c>
      <c r="AB392" s="2">
        <v>30</v>
      </c>
      <c r="AC392" s="2">
        <v>30</v>
      </c>
      <c r="AD392" s="2">
        <v>19</v>
      </c>
      <c r="AE392" s="2">
        <f>AC392*AD392</f>
        <v>570</v>
      </c>
      <c r="AF392" s="2">
        <f>Z392/Y392</f>
        <v>2.5</v>
      </c>
      <c r="AG392" s="2">
        <f>AA392/Z392</f>
        <v>2.6</v>
      </c>
      <c r="AH392" s="2">
        <f>AB392/AA392</f>
        <v>2.3076923076923075</v>
      </c>
    </row>
    <row r="393" spans="1:34">
      <c r="A393" s="103" t="s">
        <v>539</v>
      </c>
      <c r="B393" s="103" t="s">
        <v>540</v>
      </c>
      <c r="C393" s="191">
        <v>46178</v>
      </c>
      <c r="D393" s="42">
        <v>0.70833333333333337</v>
      </c>
      <c r="E393" s="8">
        <v>11</v>
      </c>
      <c r="F393" s="197" t="s">
        <v>542</v>
      </c>
      <c r="G393" s="2">
        <v>1</v>
      </c>
      <c r="H393" s="2">
        <v>9</v>
      </c>
      <c r="I393" s="151">
        <v>170</v>
      </c>
      <c r="J393" s="179" t="s">
        <v>766</v>
      </c>
      <c r="K393" s="179" t="s">
        <v>598</v>
      </c>
      <c r="L393" s="160">
        <v>30000</v>
      </c>
      <c r="M393" s="69">
        <v>20</v>
      </c>
      <c r="N393" s="39" t="s">
        <v>48</v>
      </c>
      <c r="O393" s="39" t="s">
        <v>49</v>
      </c>
      <c r="P393" s="135" t="s">
        <v>830</v>
      </c>
      <c r="Q393" s="19">
        <v>49</v>
      </c>
      <c r="R393" s="59">
        <f>Q393/I393</f>
        <v>0.28823529411764703</v>
      </c>
      <c r="S393" s="5">
        <f>($AC393*$AD393)/(($Z393/$Y393)+($AA393/$Z393)+($AB393/$AA393))</f>
        <v>26.046511627906977</v>
      </c>
      <c r="U393" s="109" t="s">
        <v>767</v>
      </c>
      <c r="V393" s="71" t="s">
        <v>1395</v>
      </c>
      <c r="W393" s="182" t="s">
        <v>1389</v>
      </c>
      <c r="Y393" s="2">
        <v>4</v>
      </c>
      <c r="Z393" s="2">
        <v>8</v>
      </c>
      <c r="AA393" s="2">
        <v>30</v>
      </c>
      <c r="AB393" s="2">
        <v>150</v>
      </c>
      <c r="AC393" s="2">
        <v>14</v>
      </c>
      <c r="AD393" s="2">
        <v>20</v>
      </c>
      <c r="AE393" s="2">
        <f>AC393*AD393</f>
        <v>280</v>
      </c>
      <c r="AF393" s="2">
        <f>Z393/Y393</f>
        <v>2</v>
      </c>
      <c r="AG393" s="2">
        <f>AA393/Z393</f>
        <v>3.75</v>
      </c>
      <c r="AH393" s="2">
        <f>AB393/AA393</f>
        <v>5</v>
      </c>
    </row>
    <row r="394" spans="1:34">
      <c r="A394" s="165" t="s">
        <v>1383</v>
      </c>
      <c r="B394" s="39" t="s">
        <v>63</v>
      </c>
      <c r="C394" s="47">
        <v>46178</v>
      </c>
      <c r="D394" s="144">
        <v>0.75</v>
      </c>
      <c r="E394" s="193"/>
      <c r="F394" s="194" t="s">
        <v>133</v>
      </c>
      <c r="G394" s="2">
        <v>1</v>
      </c>
      <c r="H394" s="2">
        <v>6</v>
      </c>
      <c r="I394" s="126">
        <v>2750</v>
      </c>
      <c r="J394" s="2" t="s">
        <v>766</v>
      </c>
      <c r="K394" s="88" t="s">
        <v>796</v>
      </c>
      <c r="L394" s="91">
        <v>20000</v>
      </c>
      <c r="M394" s="194">
        <v>20</v>
      </c>
      <c r="N394" s="132" t="s">
        <v>821</v>
      </c>
      <c r="O394" s="39" t="s">
        <v>49</v>
      </c>
      <c r="P394" s="210"/>
      <c r="Q394" s="19">
        <v>250</v>
      </c>
      <c r="R394" s="15">
        <f>Q394/I394</f>
        <v>9.0909090909090912E-2</v>
      </c>
      <c r="S394" s="5">
        <v>35</v>
      </c>
      <c r="U394" s="109" t="s">
        <v>375</v>
      </c>
      <c r="V394" s="71" t="s">
        <v>362</v>
      </c>
      <c r="W394" s="194" t="s">
        <v>141</v>
      </c>
      <c r="Y394" s="175"/>
      <c r="Z394" s="175"/>
      <c r="AA394" s="175"/>
      <c r="AB394" s="175"/>
      <c r="AC394" s="175"/>
      <c r="AD394" s="175"/>
      <c r="AE394" s="175"/>
      <c r="AF394" s="175"/>
      <c r="AG394" s="175"/>
      <c r="AH394" s="175"/>
    </row>
    <row r="395" spans="1:34" s="70" customFormat="1">
      <c r="A395" s="102" t="s">
        <v>475</v>
      </c>
      <c r="B395" s="102" t="s">
        <v>476</v>
      </c>
      <c r="C395" s="190">
        <v>46178</v>
      </c>
      <c r="D395" s="42">
        <v>0.75</v>
      </c>
      <c r="E395" s="8">
        <v>4</v>
      </c>
      <c r="F395" s="157" t="s">
        <v>483</v>
      </c>
      <c r="G395" s="2">
        <v>1</v>
      </c>
      <c r="H395" s="2">
        <v>9</v>
      </c>
      <c r="I395" s="126">
        <v>160</v>
      </c>
      <c r="J395" s="2" t="s">
        <v>766</v>
      </c>
      <c r="K395" s="109" t="s">
        <v>603</v>
      </c>
      <c r="L395" s="201">
        <v>20000</v>
      </c>
      <c r="M395" s="203">
        <v>20</v>
      </c>
      <c r="N395" s="39" t="s">
        <v>48</v>
      </c>
      <c r="O395" s="39" t="s">
        <v>49</v>
      </c>
      <c r="P395" s="135" t="s">
        <v>828</v>
      </c>
      <c r="Q395" s="19">
        <v>30</v>
      </c>
      <c r="R395" s="15">
        <f>Q395/I395</f>
        <v>0.1875</v>
      </c>
      <c r="S395" s="5">
        <f>($AC395*$AD395)/(($Z395/$Y395)+($AA395/$Z395)+($AB395/$AA395))</f>
        <v>20</v>
      </c>
      <c r="T395" s="5"/>
      <c r="U395" s="109" t="s">
        <v>767</v>
      </c>
      <c r="V395" s="71" t="s">
        <v>595</v>
      </c>
      <c r="W395" s="241" t="s">
        <v>604</v>
      </c>
      <c r="X395" s="2"/>
      <c r="Y395" s="2">
        <v>2</v>
      </c>
      <c r="Z395" s="2">
        <v>5</v>
      </c>
      <c r="AA395" s="2">
        <v>40</v>
      </c>
      <c r="AB395" s="2">
        <v>100</v>
      </c>
      <c r="AC395" s="2">
        <v>20</v>
      </c>
      <c r="AD395" s="2">
        <v>13</v>
      </c>
      <c r="AE395" s="2">
        <f>AC395*AD395</f>
        <v>260</v>
      </c>
      <c r="AF395" s="2">
        <f>Z395/Y395</f>
        <v>2.5</v>
      </c>
      <c r="AG395" s="2">
        <f>AA395/Z395</f>
        <v>8</v>
      </c>
      <c r="AH395" s="2">
        <f>AB395/AA395</f>
        <v>2.5</v>
      </c>
    </row>
    <row r="396" spans="1:34">
      <c r="A396" s="52" t="s">
        <v>229</v>
      </c>
      <c r="B396" s="52" t="s">
        <v>230</v>
      </c>
      <c r="C396" s="190">
        <v>46178</v>
      </c>
      <c r="D396" s="42">
        <v>0.75</v>
      </c>
      <c r="E396" s="193"/>
      <c r="F396" s="194" t="s">
        <v>243</v>
      </c>
      <c r="G396" s="2">
        <v>1</v>
      </c>
      <c r="I396" s="126">
        <v>200</v>
      </c>
      <c r="J396" s="2" t="s">
        <v>766</v>
      </c>
      <c r="K396" s="88" t="s">
        <v>809</v>
      </c>
      <c r="L396" s="91">
        <v>30000</v>
      </c>
      <c r="M396" s="195" t="s">
        <v>128</v>
      </c>
      <c r="N396" s="39" t="s">
        <v>48</v>
      </c>
      <c r="O396" s="39" t="s">
        <v>49</v>
      </c>
      <c r="P396" s="134" t="s">
        <v>835</v>
      </c>
      <c r="Q396" s="19">
        <v>40</v>
      </c>
      <c r="R396" s="15">
        <f>IF(Q396&gt;0,Q396/I396,"")</f>
        <v>0.2</v>
      </c>
      <c r="S396" s="5">
        <f>($AC396*$AD396)/(($Z396/$Y396)+($AA396/$Z396)+($AB396/$AA396))</f>
        <v>48.598130841121502</v>
      </c>
      <c r="U396" s="109" t="s">
        <v>767</v>
      </c>
      <c r="V396" s="205" t="s">
        <v>719</v>
      </c>
      <c r="W396" s="10"/>
      <c r="X396" s="70"/>
      <c r="Y396" s="2">
        <v>2</v>
      </c>
      <c r="Z396" s="2">
        <v>5</v>
      </c>
      <c r="AA396" s="2">
        <v>13</v>
      </c>
      <c r="AB396" s="2">
        <v>30</v>
      </c>
      <c r="AC396" s="2">
        <v>18</v>
      </c>
      <c r="AD396" s="2">
        <v>20</v>
      </c>
      <c r="AE396" s="2">
        <f>AC396*AD396</f>
        <v>360</v>
      </c>
      <c r="AF396" s="2">
        <f>Z396/Y396</f>
        <v>2.5</v>
      </c>
      <c r="AG396" s="2">
        <f>AA396/Z396</f>
        <v>2.6</v>
      </c>
      <c r="AH396" s="2">
        <f>AB396/AA396</f>
        <v>2.3076923076923075</v>
      </c>
    </row>
    <row r="397" spans="1:34">
      <c r="A397" s="52" t="s">
        <v>220</v>
      </c>
      <c r="B397" s="52" t="s">
        <v>221</v>
      </c>
      <c r="C397" s="191">
        <v>46178</v>
      </c>
      <c r="D397" s="42">
        <v>0.75</v>
      </c>
      <c r="E397" s="193"/>
      <c r="F397" s="194" t="s">
        <v>1073</v>
      </c>
      <c r="G397" s="2">
        <v>1</v>
      </c>
      <c r="H397" s="2">
        <v>9</v>
      </c>
      <c r="I397" s="126">
        <v>1100</v>
      </c>
      <c r="J397" s="2" t="s">
        <v>766</v>
      </c>
      <c r="K397" s="88" t="s">
        <v>799</v>
      </c>
      <c r="L397" s="91">
        <v>30000</v>
      </c>
      <c r="M397" s="203">
        <v>20</v>
      </c>
      <c r="N397" s="39" t="s">
        <v>48</v>
      </c>
      <c r="O397" s="39" t="s">
        <v>49</v>
      </c>
      <c r="P397" s="212" t="s">
        <v>838</v>
      </c>
      <c r="Q397" s="19">
        <v>125</v>
      </c>
      <c r="R397" s="15">
        <f>Q397/I397</f>
        <v>0.11363636363636363</v>
      </c>
      <c r="S397" s="5">
        <f>($AC397*$AD397)/(($Z397/$Y397)+($AA397/$Z397)+($AB397/$AA397))</f>
        <v>62.448979591836739</v>
      </c>
      <c r="U397" s="109" t="s">
        <v>129</v>
      </c>
      <c r="V397" s="2" t="s">
        <v>738</v>
      </c>
      <c r="W397" s="10"/>
      <c r="Y397" s="2">
        <v>2</v>
      </c>
      <c r="Z397" s="2">
        <v>5</v>
      </c>
      <c r="AA397" s="2">
        <v>15</v>
      </c>
      <c r="AB397" s="2">
        <v>40</v>
      </c>
      <c r="AC397" s="2">
        <v>17</v>
      </c>
      <c r="AD397" s="2">
        <v>30</v>
      </c>
      <c r="AE397" s="2">
        <f>AC397*AD397</f>
        <v>510</v>
      </c>
      <c r="AF397" s="2">
        <f>Z397/Y397</f>
        <v>2.5</v>
      </c>
      <c r="AG397" s="2">
        <f>AA397/Z397</f>
        <v>3</v>
      </c>
      <c r="AH397" s="2">
        <f>AB397/AA397</f>
        <v>2.6666666666666665</v>
      </c>
    </row>
    <row r="398" spans="1:34">
      <c r="A398" s="96" t="s">
        <v>461</v>
      </c>
      <c r="B398" s="96" t="s">
        <v>462</v>
      </c>
      <c r="C398" s="41">
        <v>46178</v>
      </c>
      <c r="D398" s="42">
        <v>0.75694444444444442</v>
      </c>
      <c r="F398" s="194" t="s">
        <v>458</v>
      </c>
      <c r="G398" s="2">
        <v>1</v>
      </c>
      <c r="I398" s="126">
        <v>200</v>
      </c>
      <c r="J398" s="2" t="s">
        <v>766</v>
      </c>
      <c r="K398" s="109" t="s">
        <v>602</v>
      </c>
      <c r="L398" s="194">
        <v>30000</v>
      </c>
      <c r="M398" s="69">
        <v>20</v>
      </c>
      <c r="N398" s="39" t="s">
        <v>48</v>
      </c>
      <c r="O398" s="39" t="s">
        <v>49</v>
      </c>
      <c r="P398" s="212" t="s">
        <v>833</v>
      </c>
      <c r="Q398" s="19">
        <v>40</v>
      </c>
      <c r="R398" s="15">
        <f>Q398/I398</f>
        <v>0.2</v>
      </c>
      <c r="S398" s="5">
        <f>($AC398*$AD398)/(($Z398/$Y398)+($AA398/$Z398)+($AB398/$AA398))</f>
        <v>41.632653061224495</v>
      </c>
      <c r="U398" s="109" t="s">
        <v>767</v>
      </c>
      <c r="V398" s="2" t="s">
        <v>735</v>
      </c>
      <c r="W398" s="10"/>
      <c r="Y398" s="2">
        <v>2</v>
      </c>
      <c r="Z398" s="2">
        <v>5</v>
      </c>
      <c r="AA398" s="2">
        <v>15</v>
      </c>
      <c r="AB398" s="2">
        <v>40</v>
      </c>
      <c r="AC398" s="2">
        <v>17</v>
      </c>
      <c r="AD398" s="2">
        <v>20</v>
      </c>
      <c r="AE398" s="2">
        <f>AC398*AD398</f>
        <v>340</v>
      </c>
      <c r="AF398" s="2">
        <f>Z398/Y398</f>
        <v>2.5</v>
      </c>
      <c r="AG398" s="2">
        <f>AA398/Z398</f>
        <v>3</v>
      </c>
      <c r="AH398" s="2">
        <f>AB398/AA398</f>
        <v>2.6666666666666665</v>
      </c>
    </row>
    <row r="399" spans="1:34" s="73" customFormat="1">
      <c r="A399" s="95" t="s">
        <v>447</v>
      </c>
      <c r="B399" s="95" t="s">
        <v>448</v>
      </c>
      <c r="C399" s="190">
        <v>46178</v>
      </c>
      <c r="D399" s="42">
        <v>0.79166666666666663</v>
      </c>
      <c r="E399" s="193"/>
      <c r="F399" s="194" t="s">
        <v>403</v>
      </c>
      <c r="G399" s="2">
        <v>1</v>
      </c>
      <c r="H399" s="2">
        <v>9</v>
      </c>
      <c r="I399" s="126">
        <v>300</v>
      </c>
      <c r="J399" s="2" t="s">
        <v>766</v>
      </c>
      <c r="K399" s="109" t="s">
        <v>602</v>
      </c>
      <c r="L399" s="194">
        <v>25000</v>
      </c>
      <c r="M399" s="194">
        <v>25</v>
      </c>
      <c r="N399" s="39" t="s">
        <v>48</v>
      </c>
      <c r="O399" s="39" t="s">
        <v>49</v>
      </c>
      <c r="P399" s="212" t="s">
        <v>834</v>
      </c>
      <c r="Q399" s="19">
        <v>50</v>
      </c>
      <c r="R399" s="15">
        <f>Q399/I399</f>
        <v>0.16666666666666666</v>
      </c>
      <c r="S399" s="5">
        <f>($AC399*$AD399)/(($Z399/$Y399)+($AA399/$Z399)+($AB399/$AA399))</f>
        <v>37.5</v>
      </c>
      <c r="T399" s="5"/>
      <c r="U399" s="109" t="s">
        <v>767</v>
      </c>
      <c r="V399" s="205" t="s">
        <v>741</v>
      </c>
      <c r="W399" s="10"/>
      <c r="X399" s="2"/>
      <c r="Y399" s="2">
        <v>2.5</v>
      </c>
      <c r="Z399" s="2">
        <v>7.5</v>
      </c>
      <c r="AA399" s="2">
        <v>25</v>
      </c>
      <c r="AB399" s="2">
        <v>75</v>
      </c>
      <c r="AC399" s="2">
        <v>14</v>
      </c>
      <c r="AD399" s="2">
        <v>25</v>
      </c>
      <c r="AE399" s="2">
        <f>AC399*AD399</f>
        <v>350</v>
      </c>
      <c r="AF399" s="2">
        <f>Z399/Y399</f>
        <v>3</v>
      </c>
      <c r="AG399" s="2">
        <f>AA399/Z399</f>
        <v>3.3333333333333335</v>
      </c>
      <c r="AH399" s="2">
        <f>AB399/AA399</f>
        <v>3</v>
      </c>
    </row>
    <row r="400" spans="1:34" s="70" customFormat="1">
      <c r="A400" s="103" t="s">
        <v>539</v>
      </c>
      <c r="B400" s="103" t="s">
        <v>540</v>
      </c>
      <c r="C400" s="191">
        <v>46178</v>
      </c>
      <c r="D400" s="42">
        <v>0.79166666666666663</v>
      </c>
      <c r="E400" s="8">
        <v>12</v>
      </c>
      <c r="F400" s="197" t="s">
        <v>544</v>
      </c>
      <c r="G400" s="2">
        <v>1</v>
      </c>
      <c r="H400" s="2">
        <v>9</v>
      </c>
      <c r="I400" s="126">
        <v>150</v>
      </c>
      <c r="J400" s="179" t="s">
        <v>766</v>
      </c>
      <c r="K400" s="179" t="s">
        <v>602</v>
      </c>
      <c r="L400" s="92">
        <v>30000</v>
      </c>
      <c r="M400" s="69">
        <v>15</v>
      </c>
      <c r="N400" s="39" t="s">
        <v>48</v>
      </c>
      <c r="O400" s="39" t="s">
        <v>49</v>
      </c>
      <c r="P400" s="135" t="s">
        <v>828</v>
      </c>
      <c r="Q400" s="19">
        <v>46</v>
      </c>
      <c r="R400" s="15">
        <f>Q400/I400</f>
        <v>0.30666666666666664</v>
      </c>
      <c r="S400" s="5">
        <f>($AC400*$AD400)/(($Z400/$Y400)+($AA400/$Z400)+($AB400/$AA400))</f>
        <v>19.534883720930232</v>
      </c>
      <c r="T400" s="5"/>
      <c r="U400" s="109" t="s">
        <v>129</v>
      </c>
      <c r="V400" s="21" t="s">
        <v>1395</v>
      </c>
      <c r="W400" s="182" t="s">
        <v>1389</v>
      </c>
      <c r="X400" s="2"/>
      <c r="Y400" s="2">
        <v>4</v>
      </c>
      <c r="Z400" s="2">
        <v>8</v>
      </c>
      <c r="AA400" s="2">
        <v>30</v>
      </c>
      <c r="AB400" s="2">
        <v>150</v>
      </c>
      <c r="AC400" s="2">
        <v>14</v>
      </c>
      <c r="AD400" s="2">
        <v>15</v>
      </c>
      <c r="AE400" s="2">
        <f>AC400*AD400</f>
        <v>210</v>
      </c>
      <c r="AF400" s="2">
        <f>Z400/Y400</f>
        <v>2</v>
      </c>
      <c r="AG400" s="2">
        <f>AA400/Z400</f>
        <v>3.75</v>
      </c>
      <c r="AH400" s="2">
        <f>AB400/AA400</f>
        <v>5</v>
      </c>
    </row>
    <row r="401" spans="1:34">
      <c r="A401" s="165" t="s">
        <v>1383</v>
      </c>
      <c r="B401" s="39" t="s">
        <v>63</v>
      </c>
      <c r="C401" s="41">
        <v>46178</v>
      </c>
      <c r="D401" s="144">
        <v>0.79166666666666663</v>
      </c>
      <c r="F401" s="194" t="s">
        <v>917</v>
      </c>
      <c r="G401" s="2">
        <v>1</v>
      </c>
      <c r="H401" s="2">
        <v>9</v>
      </c>
      <c r="I401" s="57">
        <v>585</v>
      </c>
      <c r="J401" s="2" t="s">
        <v>766</v>
      </c>
      <c r="K401" s="88" t="s">
        <v>800</v>
      </c>
      <c r="L401" s="89">
        <v>10000</v>
      </c>
      <c r="M401" s="202">
        <v>20</v>
      </c>
      <c r="N401" s="132" t="s">
        <v>821</v>
      </c>
      <c r="O401" s="39" t="s">
        <v>49</v>
      </c>
      <c r="P401" s="210"/>
      <c r="Q401" s="19">
        <v>89</v>
      </c>
      <c r="R401" s="59">
        <f>Q401/I401</f>
        <v>0.15213675213675212</v>
      </c>
      <c r="S401" s="5">
        <v>29</v>
      </c>
      <c r="U401" s="109" t="s">
        <v>767</v>
      </c>
      <c r="V401" s="83" t="s">
        <v>362</v>
      </c>
      <c r="W401" s="8" t="s">
        <v>368</v>
      </c>
      <c r="Y401" s="175"/>
      <c r="Z401" s="175"/>
      <c r="AA401" s="175"/>
      <c r="AB401" s="175"/>
      <c r="AC401" s="175"/>
      <c r="AD401" s="175"/>
      <c r="AE401" s="175"/>
      <c r="AF401" s="175"/>
      <c r="AG401" s="175"/>
      <c r="AH401" s="175"/>
    </row>
    <row r="402" spans="1:34">
      <c r="A402" s="165" t="s">
        <v>1383</v>
      </c>
      <c r="B402" s="39" t="s">
        <v>63</v>
      </c>
      <c r="C402" s="41">
        <v>46178</v>
      </c>
      <c r="D402" s="144">
        <v>0.83333333333333337</v>
      </c>
      <c r="E402" s="8"/>
      <c r="F402" s="194" t="s">
        <v>1023</v>
      </c>
      <c r="G402" s="2">
        <v>1</v>
      </c>
      <c r="H402" s="2">
        <v>9</v>
      </c>
      <c r="I402" s="45">
        <v>200</v>
      </c>
      <c r="J402" s="2" t="s">
        <v>766</v>
      </c>
      <c r="K402" s="88" t="s">
        <v>806</v>
      </c>
      <c r="L402" s="92">
        <v>20000</v>
      </c>
      <c r="M402" s="10">
        <v>20</v>
      </c>
      <c r="N402" s="39" t="s">
        <v>817</v>
      </c>
      <c r="O402" s="39" t="s">
        <v>49</v>
      </c>
      <c r="P402" s="210"/>
      <c r="Q402" s="19">
        <v>45</v>
      </c>
      <c r="R402" s="15">
        <f>Q402/I402</f>
        <v>0.22500000000000001</v>
      </c>
      <c r="S402" s="5">
        <v>23</v>
      </c>
      <c r="U402" s="109" t="s">
        <v>129</v>
      </c>
      <c r="V402" s="71" t="s">
        <v>360</v>
      </c>
      <c r="W402" s="10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75"/>
    </row>
    <row r="403" spans="1:34">
      <c r="A403" s="165" t="s">
        <v>1383</v>
      </c>
      <c r="B403" s="39" t="s">
        <v>63</v>
      </c>
      <c r="C403" s="41">
        <v>46178</v>
      </c>
      <c r="D403" s="144">
        <v>0.91666666666666663</v>
      </c>
      <c r="F403" s="194" t="s">
        <v>909</v>
      </c>
      <c r="G403" s="2">
        <v>1</v>
      </c>
      <c r="H403" s="2">
        <v>9</v>
      </c>
      <c r="I403" s="45">
        <v>135</v>
      </c>
      <c r="J403" s="2" t="s">
        <v>766</v>
      </c>
      <c r="K403" s="88" t="s">
        <v>813</v>
      </c>
      <c r="L403" s="92">
        <v>10000</v>
      </c>
      <c r="M403" s="69">
        <v>15</v>
      </c>
      <c r="N403" s="132" t="s">
        <v>821</v>
      </c>
      <c r="O403" s="39" t="s">
        <v>49</v>
      </c>
      <c r="P403" s="210"/>
      <c r="Q403" s="19">
        <v>35</v>
      </c>
      <c r="R403" s="15">
        <f>Q403/I403</f>
        <v>0.25925925925925924</v>
      </c>
      <c r="S403" s="5">
        <v>22</v>
      </c>
      <c r="U403" s="109" t="s">
        <v>767</v>
      </c>
      <c r="V403" s="71" t="s">
        <v>362</v>
      </c>
      <c r="W403" s="194" t="s">
        <v>369</v>
      </c>
      <c r="Y403" s="175"/>
      <c r="Z403" s="175"/>
      <c r="AA403" s="175"/>
      <c r="AB403" s="175"/>
      <c r="AC403" s="175"/>
      <c r="AD403" s="175"/>
      <c r="AE403" s="175"/>
      <c r="AF403" s="175"/>
      <c r="AG403" s="175"/>
      <c r="AH403" s="175"/>
    </row>
    <row r="404" spans="1:34" s="73" customFormat="1">
      <c r="A404" s="96" t="s">
        <v>461</v>
      </c>
      <c r="B404" s="96" t="s">
        <v>462</v>
      </c>
      <c r="C404" s="41">
        <v>46178</v>
      </c>
      <c r="D404" s="42">
        <v>0.92361111111111116</v>
      </c>
      <c r="E404" s="31"/>
      <c r="F404" s="194" t="s">
        <v>456</v>
      </c>
      <c r="G404" s="2">
        <v>1</v>
      </c>
      <c r="H404" s="2"/>
      <c r="I404" s="126">
        <v>120</v>
      </c>
      <c r="J404" s="2" t="s">
        <v>766</v>
      </c>
      <c r="K404" s="109" t="s">
        <v>737</v>
      </c>
      <c r="L404" s="194">
        <v>20000</v>
      </c>
      <c r="M404" s="69">
        <v>15</v>
      </c>
      <c r="N404" s="39" t="s">
        <v>48</v>
      </c>
      <c r="O404" s="39" t="s">
        <v>49</v>
      </c>
      <c r="P404" s="135" t="s">
        <v>827</v>
      </c>
      <c r="Q404" s="19">
        <v>24</v>
      </c>
      <c r="R404" s="15">
        <f>Q404/I404</f>
        <v>0.2</v>
      </c>
      <c r="S404" s="5">
        <f>($AC404*$AD404)/(($Z404/$Y404)+($AA404/$Z404)+($AB404/$AA404))</f>
        <v>25.161290322580644</v>
      </c>
      <c r="T404" s="5"/>
      <c r="U404" s="109" t="s">
        <v>463</v>
      </c>
      <c r="V404" s="10" t="s">
        <v>735</v>
      </c>
      <c r="W404" s="10" t="s">
        <v>464</v>
      </c>
      <c r="X404" s="2"/>
      <c r="Y404" s="2">
        <v>2.5</v>
      </c>
      <c r="Z404" s="2">
        <v>7.5</v>
      </c>
      <c r="AA404" s="2">
        <v>30</v>
      </c>
      <c r="AB404" s="2">
        <v>100</v>
      </c>
      <c r="AC404" s="2">
        <v>13</v>
      </c>
      <c r="AD404" s="2">
        <v>20</v>
      </c>
      <c r="AE404" s="2">
        <f>AC404*AD404</f>
        <v>260</v>
      </c>
      <c r="AF404" s="2">
        <f>Z404/Y404</f>
        <v>3</v>
      </c>
      <c r="AG404" s="2">
        <f>AA404/Z404</f>
        <v>4</v>
      </c>
      <c r="AH404" s="2">
        <f>AB404/AA404</f>
        <v>3.3333333333333335</v>
      </c>
    </row>
    <row r="405" spans="1:34">
      <c r="A405" s="165" t="s">
        <v>1383</v>
      </c>
      <c r="B405" s="36" t="s">
        <v>63</v>
      </c>
      <c r="C405" s="41">
        <v>46178</v>
      </c>
      <c r="D405" s="144" t="s">
        <v>117</v>
      </c>
      <c r="E405" s="14">
        <v>18</v>
      </c>
      <c r="F405" s="194" t="s">
        <v>943</v>
      </c>
      <c r="G405" s="2">
        <v>5</v>
      </c>
      <c r="H405" s="2">
        <v>9</v>
      </c>
      <c r="I405" s="45">
        <v>1500</v>
      </c>
      <c r="J405" s="2" t="s">
        <v>761</v>
      </c>
      <c r="K405" s="109" t="s">
        <v>816</v>
      </c>
      <c r="L405" s="92">
        <v>50000</v>
      </c>
      <c r="M405" s="69">
        <v>60</v>
      </c>
      <c r="N405" s="39" t="s">
        <v>48</v>
      </c>
      <c r="O405" s="39" t="s">
        <v>49</v>
      </c>
      <c r="P405" s="210"/>
      <c r="Q405" s="19">
        <f>R405*I405</f>
        <v>172.5</v>
      </c>
      <c r="R405" s="15">
        <v>0.115</v>
      </c>
      <c r="S405" s="5">
        <f>($AC405*$AD405)/(($Z405/$Y405)+($AA405/$Z405)+($AB405/$AA405))</f>
        <v>161.993769470405</v>
      </c>
      <c r="U405" s="109" t="s">
        <v>767</v>
      </c>
      <c r="V405" s="205" t="s">
        <v>121</v>
      </c>
      <c r="W405" s="10"/>
      <c r="Y405" s="2">
        <v>2</v>
      </c>
      <c r="Z405" s="2">
        <v>5</v>
      </c>
      <c r="AA405" s="2">
        <v>13</v>
      </c>
      <c r="AB405" s="2">
        <v>30</v>
      </c>
      <c r="AC405" s="2">
        <v>20</v>
      </c>
      <c r="AD405" s="2">
        <v>60</v>
      </c>
      <c r="AE405" s="2">
        <f>AC405*AD405</f>
        <v>1200</v>
      </c>
      <c r="AF405" s="2">
        <f>Z405/Y405</f>
        <v>2.5</v>
      </c>
      <c r="AG405" s="2">
        <f>AA405/Z405</f>
        <v>2.6</v>
      </c>
      <c r="AH405" s="2">
        <f>AB405/AA405</f>
        <v>2.3076923076923075</v>
      </c>
    </row>
    <row r="406" spans="1:34">
      <c r="A406" s="165" t="s">
        <v>1383</v>
      </c>
      <c r="B406" s="36" t="s">
        <v>63</v>
      </c>
      <c r="C406" s="41">
        <v>46178</v>
      </c>
      <c r="D406" s="144" t="s">
        <v>115</v>
      </c>
      <c r="E406" s="14">
        <v>19</v>
      </c>
      <c r="F406" s="194" t="s">
        <v>1268</v>
      </c>
      <c r="G406" s="2">
        <v>4</v>
      </c>
      <c r="H406" s="2">
        <v>8</v>
      </c>
      <c r="I406" s="45">
        <v>25000</v>
      </c>
      <c r="J406" s="2" t="s">
        <v>760</v>
      </c>
      <c r="K406" s="109" t="s">
        <v>598</v>
      </c>
      <c r="L406" s="92">
        <v>150000</v>
      </c>
      <c r="M406" s="69">
        <v>60</v>
      </c>
      <c r="N406" s="39" t="s">
        <v>48</v>
      </c>
      <c r="O406" s="39" t="s">
        <v>49</v>
      </c>
      <c r="P406" s="210"/>
      <c r="Q406" s="19">
        <f>R406*I406</f>
        <v>1500</v>
      </c>
      <c r="R406" s="15">
        <v>0.06</v>
      </c>
      <c r="S406" s="5">
        <f>($AC406*$AD406)/(($Z406/$Y406)+($AA406/$Z406)+($AB406/$AA406))</f>
        <v>136.46655231560891</v>
      </c>
      <c r="U406" s="109" t="s">
        <v>767</v>
      </c>
      <c r="V406" s="2" t="s">
        <v>121</v>
      </c>
      <c r="W406" s="10"/>
      <c r="Y406" s="2">
        <v>13</v>
      </c>
      <c r="Z406" s="2">
        <v>30</v>
      </c>
      <c r="AA406" s="2">
        <v>75</v>
      </c>
      <c r="AB406" s="2">
        <v>200</v>
      </c>
      <c r="AC406" s="2">
        <v>17</v>
      </c>
      <c r="AD406" s="2">
        <v>60</v>
      </c>
      <c r="AE406" s="2">
        <f>AC406*AD406</f>
        <v>1020</v>
      </c>
      <c r="AF406" s="2">
        <f>Z406/Y406</f>
        <v>2.3076923076923075</v>
      </c>
      <c r="AG406" s="2">
        <f>AA406/Z406</f>
        <v>2.5</v>
      </c>
      <c r="AH406" s="2">
        <f>AB406/AA406</f>
        <v>2.6666666666666665</v>
      </c>
    </row>
    <row r="407" spans="1:34">
      <c r="A407" s="165" t="s">
        <v>1383</v>
      </c>
      <c r="B407" s="36" t="s">
        <v>63</v>
      </c>
      <c r="C407" s="41">
        <v>46178</v>
      </c>
      <c r="D407" s="144" t="s">
        <v>115</v>
      </c>
      <c r="E407" s="14">
        <v>22</v>
      </c>
      <c r="F407" s="194" t="s">
        <v>190</v>
      </c>
      <c r="G407" s="2">
        <v>3</v>
      </c>
      <c r="H407" s="2">
        <v>8</v>
      </c>
      <c r="I407" s="45">
        <v>1500</v>
      </c>
      <c r="J407" s="2" t="s">
        <v>763</v>
      </c>
      <c r="K407" s="109" t="s">
        <v>598</v>
      </c>
      <c r="L407" s="92">
        <v>25000</v>
      </c>
      <c r="M407" s="69" t="s">
        <v>97</v>
      </c>
      <c r="N407" s="39" t="s">
        <v>48</v>
      </c>
      <c r="O407" s="39" t="s">
        <v>373</v>
      </c>
      <c r="P407" s="213"/>
      <c r="Q407" s="38">
        <f>R407*I407</f>
        <v>172.5</v>
      </c>
      <c r="R407" s="15">
        <v>0.115</v>
      </c>
      <c r="S407" s="149" t="s">
        <v>110</v>
      </c>
      <c r="T407" s="149"/>
      <c r="U407" s="109" t="s">
        <v>767</v>
      </c>
      <c r="V407" s="2" t="s">
        <v>121</v>
      </c>
      <c r="W407" s="10"/>
      <c r="AE407" s="2" t="e">
        <f>AD407*#REF!</f>
        <v>#REF!</v>
      </c>
      <c r="AF407" s="2" t="e">
        <f>Z407/Y407</f>
        <v>#DIV/0!</v>
      </c>
      <c r="AG407" s="2" t="e">
        <f>AA407/Z407</f>
        <v>#DIV/0!</v>
      </c>
      <c r="AH407" s="2" t="e">
        <f>AC407/AA407</f>
        <v>#DIV/0!</v>
      </c>
    </row>
    <row r="408" spans="1:34">
      <c r="A408" s="165" t="s">
        <v>1383</v>
      </c>
      <c r="B408" s="36" t="s">
        <v>63</v>
      </c>
      <c r="C408" s="41">
        <v>46178</v>
      </c>
      <c r="D408" s="144" t="s">
        <v>116</v>
      </c>
      <c r="E408" s="8">
        <v>23</v>
      </c>
      <c r="F408" s="194" t="s">
        <v>162</v>
      </c>
      <c r="G408" s="2">
        <v>3</v>
      </c>
      <c r="H408" s="2">
        <v>9</v>
      </c>
      <c r="I408" s="45">
        <v>10000</v>
      </c>
      <c r="J408" s="2" t="s">
        <v>110</v>
      </c>
      <c r="K408" s="109" t="s">
        <v>816</v>
      </c>
      <c r="L408" s="92">
        <v>60000</v>
      </c>
      <c r="M408" s="69" t="s">
        <v>111</v>
      </c>
      <c r="N408" s="39" t="s">
        <v>48</v>
      </c>
      <c r="O408" s="39" t="s">
        <v>371</v>
      </c>
      <c r="P408" s="213"/>
      <c r="Q408" s="38">
        <f>R408*I408</f>
        <v>700.00000000000011</v>
      </c>
      <c r="R408" s="15">
        <v>7.0000000000000007E-2</v>
      </c>
      <c r="S408" s="149" t="s">
        <v>110</v>
      </c>
      <c r="T408" s="149"/>
      <c r="U408" s="109" t="s">
        <v>767</v>
      </c>
      <c r="V408" s="2" t="s">
        <v>121</v>
      </c>
      <c r="W408" s="10"/>
      <c r="AE408" s="2" t="e">
        <f>AD408*#REF!</f>
        <v>#REF!</v>
      </c>
      <c r="AF408" s="2" t="e">
        <f>Z408/Y408</f>
        <v>#DIV/0!</v>
      </c>
      <c r="AG408" s="2" t="e">
        <f>AA408/Z408</f>
        <v>#DIV/0!</v>
      </c>
      <c r="AH408" s="2" t="e">
        <f>AC408/AA408</f>
        <v>#DIV/0!</v>
      </c>
    </row>
    <row r="409" spans="1:34">
      <c r="A409" s="165" t="s">
        <v>1383</v>
      </c>
      <c r="B409" s="36" t="s">
        <v>63</v>
      </c>
      <c r="C409" s="41">
        <v>46178</v>
      </c>
      <c r="D409" s="144" t="s">
        <v>876</v>
      </c>
      <c r="E409" s="8">
        <v>20</v>
      </c>
      <c r="F409" t="s">
        <v>1309</v>
      </c>
      <c r="G409" s="2">
        <v>3</v>
      </c>
      <c r="H409" s="2">
        <v>7</v>
      </c>
      <c r="I409" s="45">
        <v>1500</v>
      </c>
      <c r="J409" s="2" t="s">
        <v>760</v>
      </c>
      <c r="K409" s="109" t="s">
        <v>598</v>
      </c>
      <c r="L409" s="92">
        <v>25000</v>
      </c>
      <c r="M409" s="69" t="s">
        <v>97</v>
      </c>
      <c r="N409" s="39" t="s">
        <v>48</v>
      </c>
      <c r="O409" s="39" t="s">
        <v>393</v>
      </c>
      <c r="P409" s="19"/>
      <c r="Q409" s="38">
        <f>R409*I409</f>
        <v>172.5</v>
      </c>
      <c r="R409" s="15">
        <v>0.115</v>
      </c>
      <c r="S409" s="149" t="s">
        <v>110</v>
      </c>
      <c r="T409" s="149"/>
      <c r="U409" s="109" t="s">
        <v>767</v>
      </c>
      <c r="V409" s="205" t="s">
        <v>121</v>
      </c>
      <c r="W409" s="10"/>
      <c r="AE409" s="2" t="e">
        <f>AD409*#REF!</f>
        <v>#REF!</v>
      </c>
      <c r="AF409" s="2" t="e">
        <f>Z409/Y409</f>
        <v>#DIV/0!</v>
      </c>
      <c r="AG409" s="2" t="e">
        <f>AA409/Z409</f>
        <v>#DIV/0!</v>
      </c>
      <c r="AH409" s="2" t="e">
        <f>AC409/AA409</f>
        <v>#DIV/0!</v>
      </c>
    </row>
    <row r="410" spans="1:34" s="70" customFormat="1">
      <c r="A410" s="96" t="s">
        <v>461</v>
      </c>
      <c r="B410" s="96" t="s">
        <v>462</v>
      </c>
      <c r="C410" s="41">
        <v>46179</v>
      </c>
      <c r="D410" s="42">
        <v>0.4236111111111111</v>
      </c>
      <c r="E410" s="193"/>
      <c r="F410" s="194" t="s">
        <v>457</v>
      </c>
      <c r="G410" s="2">
        <v>1</v>
      </c>
      <c r="H410" s="2"/>
      <c r="I410" s="126">
        <v>120</v>
      </c>
      <c r="J410" s="2" t="s">
        <v>766</v>
      </c>
      <c r="K410" s="109" t="s">
        <v>602</v>
      </c>
      <c r="L410" s="8">
        <v>20000</v>
      </c>
      <c r="M410" s="202">
        <v>20</v>
      </c>
      <c r="N410" s="39" t="s">
        <v>48</v>
      </c>
      <c r="O410" s="39" t="s">
        <v>49</v>
      </c>
      <c r="P410" s="135" t="s">
        <v>832</v>
      </c>
      <c r="Q410" s="19">
        <v>24</v>
      </c>
      <c r="R410" s="15">
        <f>Q410/I410</f>
        <v>0.2</v>
      </c>
      <c r="S410" s="5">
        <f>($AC410*$AD410)/(($Z410/$Y410)+($AA410/$Z410)+($AB410/$AA410))</f>
        <v>25.161290322580644</v>
      </c>
      <c r="T410" s="5"/>
      <c r="U410" s="109" t="s">
        <v>767</v>
      </c>
      <c r="V410" s="2" t="s">
        <v>735</v>
      </c>
      <c r="W410" s="2"/>
      <c r="X410" s="2"/>
      <c r="Y410" s="2">
        <v>2.5</v>
      </c>
      <c r="Z410" s="2">
        <v>7.5</v>
      </c>
      <c r="AA410" s="2">
        <v>30</v>
      </c>
      <c r="AB410" s="2">
        <v>100</v>
      </c>
      <c r="AC410" s="2">
        <v>13</v>
      </c>
      <c r="AD410" s="2">
        <v>20</v>
      </c>
      <c r="AE410" s="2">
        <f>AC410*AD410</f>
        <v>260</v>
      </c>
      <c r="AF410" s="2">
        <f>Z410/Y410</f>
        <v>3</v>
      </c>
      <c r="AG410" s="2">
        <f>AA410/Z410</f>
        <v>4</v>
      </c>
      <c r="AH410" s="2">
        <f>AB410/AA410</f>
        <v>3.3333333333333335</v>
      </c>
    </row>
    <row r="411" spans="1:34">
      <c r="A411" s="68" t="s">
        <v>357</v>
      </c>
      <c r="B411" s="68" t="s">
        <v>358</v>
      </c>
      <c r="C411" s="191">
        <v>46179</v>
      </c>
      <c r="D411" s="42">
        <v>0.4236111111111111</v>
      </c>
      <c r="E411" s="8">
        <v>37</v>
      </c>
      <c r="F411" s="197" t="s">
        <v>302</v>
      </c>
      <c r="G411" s="2">
        <v>2</v>
      </c>
      <c r="H411" s="2">
        <v>9</v>
      </c>
      <c r="I411" s="126">
        <v>1100</v>
      </c>
      <c r="J411" s="2" t="s">
        <v>766</v>
      </c>
      <c r="K411" s="137" t="s">
        <v>601</v>
      </c>
      <c r="L411" s="92">
        <v>40000</v>
      </c>
      <c r="M411" s="69">
        <v>40</v>
      </c>
      <c r="N411" s="39" t="s">
        <v>48</v>
      </c>
      <c r="O411" s="39" t="s">
        <v>49</v>
      </c>
      <c r="P411" s="135" t="s">
        <v>848</v>
      </c>
      <c r="Q411" s="19">
        <v>140</v>
      </c>
      <c r="R411" s="15">
        <f>Q411/I411</f>
        <v>0.12727272727272726</v>
      </c>
      <c r="S411" s="5">
        <f>($AC411*$AD411)/(($Z411/$Y411)+($AA411/$Z411)+($AB411/$AA411))</f>
        <v>76.947040498442377</v>
      </c>
      <c r="U411" s="109" t="s">
        <v>767</v>
      </c>
      <c r="V411" s="2" t="s">
        <v>671</v>
      </c>
      <c r="W411" s="10"/>
      <c r="Y411" s="2">
        <v>2</v>
      </c>
      <c r="Z411" s="2">
        <v>5</v>
      </c>
      <c r="AA411" s="2">
        <v>13</v>
      </c>
      <c r="AB411" s="2">
        <v>30</v>
      </c>
      <c r="AC411" s="2">
        <v>30</v>
      </c>
      <c r="AD411" s="2">
        <v>19</v>
      </c>
      <c r="AE411" s="2">
        <f>AC411*AD411</f>
        <v>570</v>
      </c>
      <c r="AF411" s="2">
        <f>Z411/Y411</f>
        <v>2.5</v>
      </c>
      <c r="AG411" s="2">
        <f>AA411/Z411</f>
        <v>2.6</v>
      </c>
      <c r="AH411" s="2">
        <f>AB411/AA411</f>
        <v>2.3076923076923075</v>
      </c>
    </row>
    <row r="412" spans="1:34" s="70" customFormat="1">
      <c r="A412" s="95" t="s">
        <v>447</v>
      </c>
      <c r="B412" s="95" t="s">
        <v>448</v>
      </c>
      <c r="C412" s="190">
        <v>46179</v>
      </c>
      <c r="D412" s="42">
        <v>0.45833333333333331</v>
      </c>
      <c r="E412" s="193"/>
      <c r="F412" s="194" t="s">
        <v>410</v>
      </c>
      <c r="G412" s="2">
        <v>1</v>
      </c>
      <c r="H412" s="2">
        <v>9</v>
      </c>
      <c r="I412" s="126">
        <v>600</v>
      </c>
      <c r="J412" s="2" t="s">
        <v>766</v>
      </c>
      <c r="K412" s="109" t="s">
        <v>602</v>
      </c>
      <c r="L412" s="194">
        <v>30000</v>
      </c>
      <c r="M412" s="194">
        <v>30</v>
      </c>
      <c r="N412" s="39" t="s">
        <v>48</v>
      </c>
      <c r="O412" s="39" t="s">
        <v>49</v>
      </c>
      <c r="P412" s="134" t="s">
        <v>839</v>
      </c>
      <c r="Q412" s="19">
        <v>90</v>
      </c>
      <c r="R412" s="15">
        <f>Q412/I412</f>
        <v>0.15</v>
      </c>
      <c r="S412" s="5">
        <f>($AC412*$AD412)/(($Z412/$Y412)+($AA412/$Z412)+($AB412/$AA412))</f>
        <v>72.897196261682254</v>
      </c>
      <c r="T412" s="5"/>
      <c r="U412" s="109" t="s">
        <v>767</v>
      </c>
      <c r="V412" s="2" t="s">
        <v>741</v>
      </c>
      <c r="W412" s="10"/>
      <c r="X412" s="2"/>
      <c r="Y412" s="2">
        <v>2</v>
      </c>
      <c r="Z412" s="2">
        <v>5</v>
      </c>
      <c r="AA412" s="2">
        <v>13</v>
      </c>
      <c r="AB412" s="2">
        <v>30</v>
      </c>
      <c r="AC412" s="2">
        <v>18</v>
      </c>
      <c r="AD412" s="2">
        <v>30</v>
      </c>
      <c r="AE412" s="2">
        <f>AC412*AD412</f>
        <v>540</v>
      </c>
      <c r="AF412" s="2">
        <f>Z412/Y412</f>
        <v>2.5</v>
      </c>
      <c r="AG412" s="2">
        <f>AA412/Z412</f>
        <v>2.6</v>
      </c>
      <c r="AH412" s="2">
        <f>AB412/AA412</f>
        <v>2.3076923076923075</v>
      </c>
    </row>
    <row r="413" spans="1:34">
      <c r="A413" s="103" t="s">
        <v>539</v>
      </c>
      <c r="B413" s="103" t="s">
        <v>540</v>
      </c>
      <c r="C413" s="191">
        <v>46179</v>
      </c>
      <c r="D413" s="42">
        <v>0.45833333333333331</v>
      </c>
      <c r="E413" s="8">
        <v>13</v>
      </c>
      <c r="F413" s="197" t="s">
        <v>547</v>
      </c>
      <c r="G413" s="2">
        <v>1</v>
      </c>
      <c r="H413" s="2">
        <v>9</v>
      </c>
      <c r="I413" s="126">
        <v>250</v>
      </c>
      <c r="J413" s="179" t="s">
        <v>766</v>
      </c>
      <c r="K413" s="179" t="s">
        <v>815</v>
      </c>
      <c r="L413" s="92">
        <v>50000</v>
      </c>
      <c r="M413" s="69">
        <v>30</v>
      </c>
      <c r="N413" s="39" t="s">
        <v>48</v>
      </c>
      <c r="O413" s="39" t="s">
        <v>49</v>
      </c>
      <c r="P413" s="134" t="s">
        <v>835</v>
      </c>
      <c r="Q413" s="19">
        <v>85</v>
      </c>
      <c r="R413" s="15">
        <f>Q413/I413</f>
        <v>0.34</v>
      </c>
      <c r="S413" s="5">
        <f>($AC413*$AD413)/(($Z413/$Y413)+($AA413/$Z413)+($AB413/$AA413))</f>
        <v>46.451612903225801</v>
      </c>
      <c r="U413" s="109" t="s">
        <v>767</v>
      </c>
      <c r="V413" s="71" t="s">
        <v>1395</v>
      </c>
      <c r="W413" s="194" t="s">
        <v>1390</v>
      </c>
      <c r="Y413" s="2">
        <v>2.5</v>
      </c>
      <c r="Z413" s="2">
        <v>7.5</v>
      </c>
      <c r="AA413" s="2">
        <v>25</v>
      </c>
      <c r="AB413" s="2">
        <v>100</v>
      </c>
      <c r="AC413" s="2">
        <v>16</v>
      </c>
      <c r="AD413" s="2">
        <v>30</v>
      </c>
      <c r="AE413" s="2">
        <f>AC413*AD413</f>
        <v>480</v>
      </c>
      <c r="AF413" s="2">
        <f>Z413/Y413</f>
        <v>3</v>
      </c>
      <c r="AG413" s="2">
        <f>AA413/Z413</f>
        <v>3.3333333333333335</v>
      </c>
      <c r="AH413" s="2">
        <f>AB413/AA413</f>
        <v>4</v>
      </c>
    </row>
    <row r="414" spans="1:34">
      <c r="A414" s="165" t="s">
        <v>1383</v>
      </c>
      <c r="B414" s="36" t="s">
        <v>63</v>
      </c>
      <c r="C414" s="41">
        <v>46179</v>
      </c>
      <c r="D414" s="144">
        <v>0.45833333333333331</v>
      </c>
      <c r="E414" s="14">
        <v>18</v>
      </c>
      <c r="F414" s="194" t="s">
        <v>1227</v>
      </c>
      <c r="G414" s="2">
        <v>5</v>
      </c>
      <c r="H414" s="2">
        <v>9</v>
      </c>
      <c r="I414" s="45">
        <v>1500</v>
      </c>
      <c r="J414" s="2" t="s">
        <v>761</v>
      </c>
      <c r="K414" s="109" t="s">
        <v>816</v>
      </c>
      <c r="L414" s="92">
        <v>50000</v>
      </c>
      <c r="M414" s="69">
        <v>60</v>
      </c>
      <c r="N414" s="39" t="s">
        <v>48</v>
      </c>
      <c r="O414" s="39" t="s">
        <v>49</v>
      </c>
      <c r="Q414" s="19">
        <f>R414*I414</f>
        <v>172.5</v>
      </c>
      <c r="R414" s="15">
        <v>0.115</v>
      </c>
      <c r="S414" s="5">
        <f>($AC414*$AD414)/(($Z414/$Y414)+($AA414/$Z414)+($AB414/$AA414))</f>
        <v>161.993769470405</v>
      </c>
      <c r="U414" s="109" t="s">
        <v>767</v>
      </c>
      <c r="V414" s="205" t="s">
        <v>121</v>
      </c>
      <c r="W414" s="10"/>
      <c r="Y414" s="2">
        <v>2</v>
      </c>
      <c r="Z414" s="2">
        <v>5</v>
      </c>
      <c r="AA414" s="2">
        <v>13</v>
      </c>
      <c r="AB414" s="2">
        <v>30</v>
      </c>
      <c r="AC414" s="2">
        <v>20</v>
      </c>
      <c r="AD414" s="2">
        <v>60</v>
      </c>
      <c r="AE414" s="2">
        <f>AC414*AD414</f>
        <v>1200</v>
      </c>
      <c r="AF414" s="2">
        <f>Z414/Y414</f>
        <v>2.5</v>
      </c>
      <c r="AG414" s="2">
        <f>AA414/Z414</f>
        <v>2.6</v>
      </c>
      <c r="AH414" s="2">
        <f>AB414/AA414</f>
        <v>2.3076923076923075</v>
      </c>
    </row>
    <row r="415" spans="1:34">
      <c r="A415" s="102" t="s">
        <v>475</v>
      </c>
      <c r="B415" s="102" t="s">
        <v>476</v>
      </c>
      <c r="C415" s="190">
        <v>46179</v>
      </c>
      <c r="D415" s="42">
        <v>0.45833333333333331</v>
      </c>
      <c r="E415" s="8">
        <v>5</v>
      </c>
      <c r="F415" s="157" t="s">
        <v>484</v>
      </c>
      <c r="G415" s="2">
        <v>1</v>
      </c>
      <c r="H415" s="2">
        <v>9</v>
      </c>
      <c r="I415" s="126">
        <v>400</v>
      </c>
      <c r="J415" s="2" t="s">
        <v>766</v>
      </c>
      <c r="K415" s="109" t="s">
        <v>601</v>
      </c>
      <c r="L415" s="201">
        <v>50000</v>
      </c>
      <c r="M415" s="203">
        <v>30</v>
      </c>
      <c r="N415" s="39" t="s">
        <v>48</v>
      </c>
      <c r="O415" s="39" t="s">
        <v>49</v>
      </c>
      <c r="P415" s="134" t="s">
        <v>836</v>
      </c>
      <c r="Q415" s="19">
        <v>70</v>
      </c>
      <c r="R415" s="15">
        <f>Q415/I415</f>
        <v>0.17499999999999999</v>
      </c>
      <c r="S415" s="5">
        <f>($AC415*$AD415)/(($Z415/$Y415)+($AA415/$Z415)+($AB415/$AA415))</f>
        <v>71.293161814488826</v>
      </c>
      <c r="U415" s="109" t="s">
        <v>855</v>
      </c>
      <c r="V415" s="2" t="s">
        <v>596</v>
      </c>
      <c r="W415" s="241" t="s">
        <v>600</v>
      </c>
      <c r="Y415" s="2">
        <v>2.5</v>
      </c>
      <c r="Z415" s="2">
        <v>6.5</v>
      </c>
      <c r="AA415" s="2">
        <v>15</v>
      </c>
      <c r="AB415" s="2">
        <v>40</v>
      </c>
      <c r="AC415" s="2">
        <v>30</v>
      </c>
      <c r="AD415" s="2">
        <v>18</v>
      </c>
      <c r="AE415" s="2">
        <f>AC415*AD415</f>
        <v>540</v>
      </c>
      <c r="AF415" s="2">
        <f>Z415/Y415</f>
        <v>2.6</v>
      </c>
      <c r="AG415" s="2">
        <f>AA415/Z415</f>
        <v>2.3076923076923075</v>
      </c>
      <c r="AH415" s="2">
        <f>AB415/AA415</f>
        <v>2.6666666666666665</v>
      </c>
    </row>
    <row r="416" spans="1:34">
      <c r="A416" s="52" t="s">
        <v>229</v>
      </c>
      <c r="B416" s="52" t="s">
        <v>230</v>
      </c>
      <c r="C416" s="190">
        <v>46179</v>
      </c>
      <c r="D416" s="42">
        <v>0.45833333333333331</v>
      </c>
      <c r="E416" s="193"/>
      <c r="F416" s="194" t="s">
        <v>240</v>
      </c>
      <c r="G416" s="2">
        <v>1</v>
      </c>
      <c r="I416" s="126">
        <v>400</v>
      </c>
      <c r="J416" s="2" t="s">
        <v>766</v>
      </c>
      <c r="K416" s="88" t="s">
        <v>788</v>
      </c>
      <c r="L416" s="91">
        <v>40000</v>
      </c>
      <c r="M416" s="195" t="s">
        <v>22</v>
      </c>
      <c r="N416" s="39" t="s">
        <v>48</v>
      </c>
      <c r="O416" s="39" t="s">
        <v>49</v>
      </c>
      <c r="P416" s="134" t="s">
        <v>836</v>
      </c>
      <c r="Q416" s="19">
        <v>60</v>
      </c>
      <c r="R416" s="15">
        <f>IF(Q416&gt;0,Q416/I416,"")</f>
        <v>0.15</v>
      </c>
      <c r="S416" s="5">
        <f>($AC416*$AD416)/(($Z416/$Y416)+($AA416/$Z416)+($AB416/$AA416))</f>
        <v>76.947040498442377</v>
      </c>
      <c r="U416" s="109" t="s">
        <v>767</v>
      </c>
      <c r="V416" s="205" t="s">
        <v>719</v>
      </c>
      <c r="W416" s="10"/>
      <c r="Y416" s="2">
        <v>2</v>
      </c>
      <c r="Z416" s="2">
        <v>5</v>
      </c>
      <c r="AA416" s="2">
        <v>13</v>
      </c>
      <c r="AB416" s="2">
        <v>30</v>
      </c>
      <c r="AC416" s="2">
        <v>19</v>
      </c>
      <c r="AD416" s="2">
        <v>30</v>
      </c>
      <c r="AE416" s="2">
        <f>AC416*AD416</f>
        <v>570</v>
      </c>
      <c r="AF416" s="2">
        <f>Z416/Y416</f>
        <v>2.5</v>
      </c>
      <c r="AG416" s="2">
        <f>AA416/Z416</f>
        <v>2.6</v>
      </c>
      <c r="AH416" s="2">
        <f>AB416/AA416</f>
        <v>2.3076923076923075</v>
      </c>
    </row>
    <row r="417" spans="1:34">
      <c r="A417" s="103" t="s">
        <v>539</v>
      </c>
      <c r="B417" s="103" t="s">
        <v>540</v>
      </c>
      <c r="C417" s="191">
        <v>46179</v>
      </c>
      <c r="D417" s="42">
        <v>0.5</v>
      </c>
      <c r="E417" s="8">
        <v>14</v>
      </c>
      <c r="F417" s="197" t="s">
        <v>548</v>
      </c>
      <c r="G417" s="2">
        <v>1</v>
      </c>
      <c r="H417" s="2">
        <v>8</v>
      </c>
      <c r="I417" s="126">
        <v>400</v>
      </c>
      <c r="J417" s="179" t="s">
        <v>766</v>
      </c>
      <c r="K417" s="179" t="s">
        <v>602</v>
      </c>
      <c r="L417" s="92">
        <v>30000</v>
      </c>
      <c r="M417" s="69">
        <v>30</v>
      </c>
      <c r="N417" s="39" t="s">
        <v>48</v>
      </c>
      <c r="O417" s="39" t="s">
        <v>57</v>
      </c>
      <c r="P417" s="63">
        <v>20000</v>
      </c>
      <c r="Q417" s="2">
        <v>65</v>
      </c>
      <c r="R417" s="15">
        <f>Q417/I417</f>
        <v>0.16250000000000001</v>
      </c>
      <c r="S417" s="142"/>
      <c r="U417" s="109" t="s">
        <v>767</v>
      </c>
      <c r="V417" s="71" t="s">
        <v>1395</v>
      </c>
      <c r="W417" s="10"/>
      <c r="AE417" s="2">
        <f>AC417*AD417</f>
        <v>0</v>
      </c>
      <c r="AF417" s="2" t="e">
        <f>Z417/Y417</f>
        <v>#DIV/0!</v>
      </c>
      <c r="AG417" s="2" t="e">
        <f>AA417/Z417</f>
        <v>#DIV/0!</v>
      </c>
      <c r="AH417" s="2" t="e">
        <f>AB417/AA417</f>
        <v>#DIV/0!</v>
      </c>
    </row>
    <row r="418" spans="1:34">
      <c r="A418" s="52" t="s">
        <v>229</v>
      </c>
      <c r="B418" s="52" t="s">
        <v>230</v>
      </c>
      <c r="C418" s="190">
        <v>46179</v>
      </c>
      <c r="D418" s="42">
        <v>0.5</v>
      </c>
      <c r="F418" s="194" t="s">
        <v>261</v>
      </c>
      <c r="G418" s="2">
        <v>1</v>
      </c>
      <c r="I418" s="45">
        <v>600</v>
      </c>
      <c r="J418" s="2" t="s">
        <v>766</v>
      </c>
      <c r="K418" s="88" t="s">
        <v>788</v>
      </c>
      <c r="L418" s="91">
        <v>40000</v>
      </c>
      <c r="M418" s="195" t="s">
        <v>22</v>
      </c>
      <c r="N418" s="39" t="s">
        <v>48</v>
      </c>
      <c r="O418" s="39" t="s">
        <v>222</v>
      </c>
      <c r="P418" s="19">
        <v>50000</v>
      </c>
      <c r="Q418" s="2">
        <v>85</v>
      </c>
      <c r="R418" s="15">
        <f>IF(Q418&gt;0,Q418/I418,"")</f>
        <v>0.14166666666666666</v>
      </c>
      <c r="S418" s="149" t="s">
        <v>110</v>
      </c>
      <c r="T418" s="149"/>
      <c r="U418" s="109" t="s">
        <v>767</v>
      </c>
      <c r="V418" s="2" t="s">
        <v>719</v>
      </c>
      <c r="W418" s="10"/>
      <c r="AE418" s="2">
        <f>AC418*AD418</f>
        <v>0</v>
      </c>
      <c r="AF418" s="2" t="e">
        <f>Z418/Y418</f>
        <v>#DIV/0!</v>
      </c>
      <c r="AG418" s="2" t="e">
        <f>AA418/Z418</f>
        <v>#DIV/0!</v>
      </c>
      <c r="AH418" s="2" t="e">
        <f>AB418/AA418</f>
        <v>#DIV/0!</v>
      </c>
    </row>
    <row r="419" spans="1:34">
      <c r="A419" s="52" t="s">
        <v>220</v>
      </c>
      <c r="B419" s="52" t="s">
        <v>221</v>
      </c>
      <c r="C419" s="191">
        <v>46179</v>
      </c>
      <c r="D419" s="42">
        <v>0.5</v>
      </c>
      <c r="E419" s="193"/>
      <c r="F419" s="194" t="s">
        <v>1053</v>
      </c>
      <c r="G419" s="2">
        <v>1</v>
      </c>
      <c r="H419" s="2">
        <v>9</v>
      </c>
      <c r="I419" s="126">
        <v>1100</v>
      </c>
      <c r="J419" s="2" t="s">
        <v>766</v>
      </c>
      <c r="K419" s="88" t="s">
        <v>780</v>
      </c>
      <c r="L419" s="91">
        <v>30000</v>
      </c>
      <c r="M419" s="203">
        <v>30</v>
      </c>
      <c r="N419" s="39" t="s">
        <v>48</v>
      </c>
      <c r="O419" s="39" t="s">
        <v>49</v>
      </c>
      <c r="P419" s="135" t="s">
        <v>840</v>
      </c>
      <c r="Q419" s="19">
        <v>135</v>
      </c>
      <c r="R419" s="15">
        <f>Q419/I419</f>
        <v>0.12272727272727273</v>
      </c>
      <c r="S419" s="5">
        <f>($AC419*$AD419)/(($Z419/$Y419)+($AA419/$Z419)+($AB419/$AA419))</f>
        <v>62.448979591836739</v>
      </c>
      <c r="U419" s="109" t="s">
        <v>767</v>
      </c>
      <c r="V419" s="2" t="s">
        <v>738</v>
      </c>
      <c r="W419" s="10"/>
      <c r="Y419" s="2">
        <v>2</v>
      </c>
      <c r="Z419" s="2">
        <v>5</v>
      </c>
      <c r="AA419" s="2">
        <v>15</v>
      </c>
      <c r="AB419" s="2">
        <v>40</v>
      </c>
      <c r="AC419" s="2">
        <v>17</v>
      </c>
      <c r="AD419" s="2">
        <v>30</v>
      </c>
      <c r="AE419" s="2">
        <f>AC419*AD419</f>
        <v>510</v>
      </c>
      <c r="AF419" s="2">
        <f>Z419/Y419</f>
        <v>2.5</v>
      </c>
      <c r="AG419" s="2">
        <f>AA419/Z419</f>
        <v>3</v>
      </c>
      <c r="AH419" s="2">
        <f>AB419/AA419</f>
        <v>2.6666666666666665</v>
      </c>
    </row>
    <row r="420" spans="1:34" s="73" customFormat="1">
      <c r="A420" s="165" t="s">
        <v>1383</v>
      </c>
      <c r="B420" s="36" t="s">
        <v>63</v>
      </c>
      <c r="C420" s="41">
        <v>46179</v>
      </c>
      <c r="D420" s="144">
        <v>0.54166666666666663</v>
      </c>
      <c r="E420" s="8">
        <v>23</v>
      </c>
      <c r="F420" s="194" t="s">
        <v>1254</v>
      </c>
      <c r="G420" s="2">
        <v>3</v>
      </c>
      <c r="H420" s="2">
        <v>9</v>
      </c>
      <c r="I420" s="45">
        <v>10000</v>
      </c>
      <c r="J420" s="2" t="s">
        <v>110</v>
      </c>
      <c r="K420" s="109" t="s">
        <v>816</v>
      </c>
      <c r="L420" s="92">
        <v>60000</v>
      </c>
      <c r="M420" s="69" t="s">
        <v>111</v>
      </c>
      <c r="N420" s="39" t="s">
        <v>48</v>
      </c>
      <c r="O420" s="39" t="s">
        <v>371</v>
      </c>
      <c r="P420" s="213"/>
      <c r="Q420" s="38">
        <f>R420*I420</f>
        <v>700.00000000000011</v>
      </c>
      <c r="R420" s="15">
        <v>7.0000000000000007E-2</v>
      </c>
      <c r="S420" s="149" t="s">
        <v>110</v>
      </c>
      <c r="T420" s="149"/>
      <c r="U420" s="109" t="s">
        <v>767</v>
      </c>
      <c r="V420" s="205" t="s">
        <v>121</v>
      </c>
      <c r="W420" s="10"/>
      <c r="X420" s="2"/>
      <c r="Y420" s="2"/>
      <c r="Z420" s="2"/>
      <c r="AA420" s="2"/>
      <c r="AB420" s="2"/>
      <c r="AC420" s="2"/>
      <c r="AD420" s="2"/>
      <c r="AE420" s="2" t="e">
        <f>AD420*#REF!</f>
        <v>#REF!</v>
      </c>
      <c r="AF420" s="2" t="e">
        <f>Z420/Y420</f>
        <v>#DIV/0!</v>
      </c>
      <c r="AG420" s="2" t="e">
        <f>AA420/Z420</f>
        <v>#DIV/0!</v>
      </c>
      <c r="AH420" s="2" t="e">
        <f>AC420/AA420</f>
        <v>#DIV/0!</v>
      </c>
    </row>
    <row r="421" spans="1:34">
      <c r="A421" s="165" t="s">
        <v>1383</v>
      </c>
      <c r="B421" s="39" t="s">
        <v>63</v>
      </c>
      <c r="C421" s="41">
        <v>46179</v>
      </c>
      <c r="D421" s="144">
        <v>0.54166666666666663</v>
      </c>
      <c r="E421" s="8"/>
      <c r="F421" s="194" t="s">
        <v>881</v>
      </c>
      <c r="G421" s="2">
        <v>1</v>
      </c>
      <c r="H421" s="2">
        <v>9</v>
      </c>
      <c r="I421" s="45">
        <v>250</v>
      </c>
      <c r="J421" s="2" t="s">
        <v>766</v>
      </c>
      <c r="K421" s="88" t="s">
        <v>787</v>
      </c>
      <c r="L421" s="92">
        <v>25000</v>
      </c>
      <c r="M421" s="10">
        <v>30</v>
      </c>
      <c r="N421" s="39" t="s">
        <v>817</v>
      </c>
      <c r="O421" s="39" t="s">
        <v>49</v>
      </c>
      <c r="P421" s="210"/>
      <c r="Q421" s="19">
        <v>50</v>
      </c>
      <c r="R421" s="15">
        <f>Q421/I421</f>
        <v>0.2</v>
      </c>
      <c r="S421" s="5">
        <v>44</v>
      </c>
      <c r="U421" s="109" t="s">
        <v>767</v>
      </c>
      <c r="V421" s="21" t="s">
        <v>360</v>
      </c>
      <c r="W421" s="10"/>
      <c r="Y421" s="175"/>
      <c r="Z421" s="175"/>
      <c r="AA421" s="175"/>
      <c r="AB421" s="175"/>
      <c r="AC421" s="175"/>
      <c r="AD421" s="175"/>
      <c r="AE421" s="175"/>
      <c r="AF421" s="175"/>
      <c r="AG421" s="175"/>
      <c r="AH421" s="175"/>
    </row>
    <row r="422" spans="1:34">
      <c r="A422" s="68" t="s">
        <v>357</v>
      </c>
      <c r="B422" s="68" t="s">
        <v>358</v>
      </c>
      <c r="C422" s="191">
        <v>46179</v>
      </c>
      <c r="D422" s="42">
        <v>0.54166666666666663</v>
      </c>
      <c r="E422" s="8">
        <v>36</v>
      </c>
      <c r="F422" s="197" t="s">
        <v>1366</v>
      </c>
      <c r="G422" s="2">
        <v>2</v>
      </c>
      <c r="H422" s="2">
        <v>9</v>
      </c>
      <c r="I422" s="126">
        <v>800</v>
      </c>
      <c r="J422" s="2" t="s">
        <v>766</v>
      </c>
      <c r="K422" s="137" t="s">
        <v>603</v>
      </c>
      <c r="L422" s="92">
        <v>40000</v>
      </c>
      <c r="M422" s="69">
        <v>40</v>
      </c>
      <c r="N422" s="39" t="s">
        <v>48</v>
      </c>
      <c r="O422" s="39" t="s">
        <v>49</v>
      </c>
      <c r="P422" s="135" t="s">
        <v>842</v>
      </c>
      <c r="Q422" s="19">
        <v>110</v>
      </c>
      <c r="R422" s="15">
        <f>Q422/I422</f>
        <v>0.13750000000000001</v>
      </c>
      <c r="S422" s="5">
        <f>($AC422*$AD422)/(($Z422/$Y422)+($AA422/$Z422)+($AB422/$AA422))</f>
        <v>102.59605399792316</v>
      </c>
      <c r="U422" s="109" t="s">
        <v>767</v>
      </c>
      <c r="V422" s="2" t="s">
        <v>670</v>
      </c>
      <c r="W422" s="10"/>
      <c r="Y422" s="2">
        <v>2</v>
      </c>
      <c r="Z422" s="2">
        <v>5</v>
      </c>
      <c r="AA422" s="2">
        <v>13</v>
      </c>
      <c r="AB422" s="2">
        <v>30</v>
      </c>
      <c r="AC422" s="2">
        <v>40</v>
      </c>
      <c r="AD422" s="2">
        <v>19</v>
      </c>
      <c r="AE422" s="2">
        <f>AC422*AD422</f>
        <v>760</v>
      </c>
      <c r="AF422" s="2">
        <f>Z422/Y422</f>
        <v>2.5</v>
      </c>
      <c r="AG422" s="2">
        <f>AA422/Z422</f>
        <v>2.6</v>
      </c>
      <c r="AH422" s="2">
        <f>AB422/AA422</f>
        <v>2.3076923076923075</v>
      </c>
    </row>
    <row r="423" spans="1:34">
      <c r="A423" s="96" t="s">
        <v>461</v>
      </c>
      <c r="B423" s="96" t="s">
        <v>462</v>
      </c>
      <c r="C423" s="41">
        <v>46179</v>
      </c>
      <c r="D423" s="42">
        <v>0.59027777777777779</v>
      </c>
      <c r="E423" s="193"/>
      <c r="F423" s="194" t="s">
        <v>276</v>
      </c>
      <c r="G423" s="2">
        <v>1</v>
      </c>
      <c r="I423" s="126">
        <v>200</v>
      </c>
      <c r="J423" s="2" t="s">
        <v>766</v>
      </c>
      <c r="K423" s="109" t="s">
        <v>602</v>
      </c>
      <c r="L423" s="194">
        <v>20000</v>
      </c>
      <c r="M423" s="69">
        <v>20</v>
      </c>
      <c r="N423" s="39" t="s">
        <v>48</v>
      </c>
      <c r="O423" s="39" t="s">
        <v>451</v>
      </c>
      <c r="P423" s="63">
        <v>15000</v>
      </c>
      <c r="Q423" s="2">
        <v>40</v>
      </c>
      <c r="R423" s="15">
        <f>Q423/I423</f>
        <v>0.2</v>
      </c>
      <c r="S423" s="149" t="s">
        <v>110</v>
      </c>
      <c r="T423" s="149"/>
      <c r="U423" s="109" t="s">
        <v>767</v>
      </c>
      <c r="V423" s="2" t="s">
        <v>735</v>
      </c>
      <c r="W423" s="10"/>
      <c r="AE423" s="2">
        <f>AC423*AD423</f>
        <v>0</v>
      </c>
      <c r="AF423" s="2" t="e">
        <f>Z423/Y423</f>
        <v>#DIV/0!</v>
      </c>
      <c r="AG423" s="2" t="e">
        <f>AA423/Z423</f>
        <v>#DIV/0!</v>
      </c>
      <c r="AH423" s="2" t="e">
        <f>AB423/AA423</f>
        <v>#DIV/0!</v>
      </c>
    </row>
    <row r="424" spans="1:34">
      <c r="A424" s="165" t="s">
        <v>1383</v>
      </c>
      <c r="B424" s="39" t="s">
        <v>63</v>
      </c>
      <c r="C424" s="41">
        <v>46179</v>
      </c>
      <c r="D424" s="144">
        <v>0.625</v>
      </c>
      <c r="F424" s="194" t="s">
        <v>912</v>
      </c>
      <c r="G424" s="2">
        <v>1</v>
      </c>
      <c r="H424" s="2">
        <v>9</v>
      </c>
      <c r="I424" s="45">
        <v>240</v>
      </c>
      <c r="J424" s="2" t="s">
        <v>766</v>
      </c>
      <c r="K424" s="88" t="s">
        <v>784</v>
      </c>
      <c r="L424" s="92">
        <v>10000</v>
      </c>
      <c r="M424" s="69">
        <v>20</v>
      </c>
      <c r="N424" s="132" t="s">
        <v>821</v>
      </c>
      <c r="O424" s="39" t="s">
        <v>49</v>
      </c>
      <c r="P424" s="210"/>
      <c r="Q424" s="19">
        <v>40</v>
      </c>
      <c r="R424" s="15">
        <v>0.16666666666666666</v>
      </c>
      <c r="S424" s="5">
        <v>29</v>
      </c>
      <c r="U424" s="109" t="s">
        <v>767</v>
      </c>
      <c r="V424" s="21" t="s">
        <v>362</v>
      </c>
      <c r="W424" s="194" t="s">
        <v>367</v>
      </c>
      <c r="Y424" s="175"/>
      <c r="Z424" s="175"/>
      <c r="AA424" s="175"/>
      <c r="AB424" s="175"/>
      <c r="AC424" s="175"/>
      <c r="AD424" s="175"/>
      <c r="AE424" s="175"/>
      <c r="AF424" s="175"/>
      <c r="AG424" s="175"/>
      <c r="AH424" s="175"/>
    </row>
    <row r="425" spans="1:34" s="73" customFormat="1">
      <c r="A425" s="165" t="s">
        <v>1383</v>
      </c>
      <c r="B425" s="39" t="s">
        <v>63</v>
      </c>
      <c r="C425" s="41">
        <v>46179</v>
      </c>
      <c r="D425" s="144">
        <v>0.66666666666666663</v>
      </c>
      <c r="E425" s="8"/>
      <c r="F425" s="194" t="s">
        <v>1024</v>
      </c>
      <c r="G425" s="2">
        <v>1</v>
      </c>
      <c r="H425" s="2">
        <v>9</v>
      </c>
      <c r="I425" s="45">
        <v>400</v>
      </c>
      <c r="J425" s="2" t="s">
        <v>766</v>
      </c>
      <c r="K425" s="88" t="s">
        <v>794</v>
      </c>
      <c r="L425" s="92">
        <v>30000</v>
      </c>
      <c r="M425" s="10">
        <v>20</v>
      </c>
      <c r="N425" s="39" t="s">
        <v>817</v>
      </c>
      <c r="O425" s="39" t="s">
        <v>49</v>
      </c>
      <c r="P425" s="210"/>
      <c r="Q425" s="19">
        <v>70</v>
      </c>
      <c r="R425" s="15">
        <f>Q425/I425</f>
        <v>0.17499999999999999</v>
      </c>
      <c r="S425" s="5">
        <v>37</v>
      </c>
      <c r="T425" s="5"/>
      <c r="U425" s="109" t="s">
        <v>129</v>
      </c>
      <c r="V425" s="71" t="s">
        <v>360</v>
      </c>
      <c r="W425" s="10"/>
      <c r="X425" s="2"/>
      <c r="Y425" s="175"/>
      <c r="Z425" s="175"/>
      <c r="AA425" s="175"/>
      <c r="AB425" s="175"/>
      <c r="AC425" s="175"/>
      <c r="AD425" s="175"/>
      <c r="AE425" s="175"/>
      <c r="AF425" s="175"/>
      <c r="AG425" s="175"/>
      <c r="AH425" s="175"/>
    </row>
    <row r="426" spans="1:34">
      <c r="A426" s="52" t="s">
        <v>229</v>
      </c>
      <c r="B426" s="52" t="s">
        <v>230</v>
      </c>
      <c r="C426" s="190">
        <v>46179</v>
      </c>
      <c r="D426" s="42">
        <v>0.66666666666666663</v>
      </c>
      <c r="E426" s="193"/>
      <c r="F426" s="194" t="s">
        <v>239</v>
      </c>
      <c r="G426" s="2">
        <v>1</v>
      </c>
      <c r="I426" s="126">
        <v>240</v>
      </c>
      <c r="J426" s="2" t="s">
        <v>766</v>
      </c>
      <c r="K426" s="88" t="s">
        <v>795</v>
      </c>
      <c r="L426" s="91">
        <v>30000</v>
      </c>
      <c r="M426" s="194">
        <v>20</v>
      </c>
      <c r="N426" s="39" t="s">
        <v>48</v>
      </c>
      <c r="O426" s="39" t="s">
        <v>870</v>
      </c>
      <c r="P426" s="19">
        <v>10000</v>
      </c>
      <c r="Q426" s="2">
        <v>40</v>
      </c>
      <c r="R426" s="15">
        <f>IF(Q426&gt;0,Q426/I426,"")</f>
        <v>0.16666666666666666</v>
      </c>
      <c r="S426" s="149" t="s">
        <v>110</v>
      </c>
      <c r="T426" s="149"/>
      <c r="U426" s="109" t="s">
        <v>767</v>
      </c>
      <c r="V426" s="10" t="s">
        <v>719</v>
      </c>
      <c r="W426" s="10"/>
      <c r="AE426" s="2">
        <f>AC426*AD426</f>
        <v>0</v>
      </c>
      <c r="AF426" s="2" t="e">
        <f>Z426/Y426</f>
        <v>#DIV/0!</v>
      </c>
      <c r="AG426" s="2" t="e">
        <f>AA426/Z426</f>
        <v>#DIV/0!</v>
      </c>
      <c r="AH426" s="2" t="e">
        <f>AB426/AA426</f>
        <v>#DIV/0!</v>
      </c>
    </row>
    <row r="427" spans="1:34">
      <c r="A427" s="103" t="s">
        <v>539</v>
      </c>
      <c r="B427" s="103" t="s">
        <v>540</v>
      </c>
      <c r="C427" s="191">
        <v>46179</v>
      </c>
      <c r="D427" s="42">
        <v>0.70833333333333337</v>
      </c>
      <c r="E427" s="8">
        <v>15</v>
      </c>
      <c r="F427" s="197" t="s">
        <v>542</v>
      </c>
      <c r="G427" s="2">
        <v>1</v>
      </c>
      <c r="H427" s="2">
        <v>9</v>
      </c>
      <c r="I427" s="151">
        <v>170</v>
      </c>
      <c r="J427" s="179" t="s">
        <v>766</v>
      </c>
      <c r="K427" s="179" t="s">
        <v>598</v>
      </c>
      <c r="L427" s="160">
        <v>30000</v>
      </c>
      <c r="M427" s="69">
        <v>20</v>
      </c>
      <c r="N427" s="39" t="s">
        <v>48</v>
      </c>
      <c r="O427" s="39" t="s">
        <v>49</v>
      </c>
      <c r="P427" s="135" t="s">
        <v>830</v>
      </c>
      <c r="Q427" s="19">
        <v>49</v>
      </c>
      <c r="R427" s="59">
        <f>Q427/I427</f>
        <v>0.28823529411764703</v>
      </c>
      <c r="S427" s="5">
        <f>($AC427*$AD427)/(($Z427/$Y427)+($AA427/$Z427)+($AB427/$AA427))</f>
        <v>26.046511627906977</v>
      </c>
      <c r="U427" s="109" t="s">
        <v>767</v>
      </c>
      <c r="V427" s="21" t="s">
        <v>1395</v>
      </c>
      <c r="W427" s="182" t="s">
        <v>1389</v>
      </c>
      <c r="Y427" s="2">
        <v>4</v>
      </c>
      <c r="Z427" s="2">
        <v>8</v>
      </c>
      <c r="AA427" s="2">
        <v>30</v>
      </c>
      <c r="AB427" s="2">
        <v>150</v>
      </c>
      <c r="AC427" s="2">
        <v>14</v>
      </c>
      <c r="AD427" s="2">
        <v>20</v>
      </c>
      <c r="AE427" s="2">
        <f>AC427*AD427</f>
        <v>280</v>
      </c>
      <c r="AF427" s="2">
        <f>Z427/Y427</f>
        <v>2</v>
      </c>
      <c r="AG427" s="2">
        <f>AA427/Z427</f>
        <v>3.75</v>
      </c>
      <c r="AH427" s="2">
        <f>AB427/AA427</f>
        <v>5</v>
      </c>
    </row>
    <row r="428" spans="1:34">
      <c r="A428" s="102" t="s">
        <v>475</v>
      </c>
      <c r="B428" s="102" t="s">
        <v>476</v>
      </c>
      <c r="C428" s="190">
        <v>46179</v>
      </c>
      <c r="D428" s="42">
        <v>0.75</v>
      </c>
      <c r="E428" s="8" t="s">
        <v>485</v>
      </c>
      <c r="F428" s="194" t="s">
        <v>486</v>
      </c>
      <c r="G428" s="2">
        <v>2</v>
      </c>
      <c r="H428" s="2">
        <v>9</v>
      </c>
      <c r="I428" s="126">
        <v>500</v>
      </c>
      <c r="J428" s="2" t="s">
        <v>766</v>
      </c>
      <c r="K428" s="109" t="s">
        <v>601</v>
      </c>
      <c r="L428" s="201">
        <v>30000</v>
      </c>
      <c r="M428" s="203" t="s">
        <v>22</v>
      </c>
      <c r="N428" s="39" t="s">
        <v>48</v>
      </c>
      <c r="O428" s="39" t="s">
        <v>49</v>
      </c>
      <c r="P428" s="135" t="s">
        <v>841</v>
      </c>
      <c r="Q428" s="19">
        <v>80</v>
      </c>
      <c r="R428" s="15">
        <f>Q428/I428</f>
        <v>0.16</v>
      </c>
      <c r="S428" s="5">
        <f>($AC428*$AD428)/(($Z428/$Y428)+($AA428/$Z428)+($AB428/$AA428))</f>
        <v>72.897196261682254</v>
      </c>
      <c r="U428" s="109" t="s">
        <v>855</v>
      </c>
      <c r="V428" s="2" t="s">
        <v>597</v>
      </c>
      <c r="W428" s="241" t="s">
        <v>600</v>
      </c>
      <c r="Y428" s="2">
        <v>2</v>
      </c>
      <c r="Z428" s="2">
        <v>5</v>
      </c>
      <c r="AA428" s="2">
        <v>13</v>
      </c>
      <c r="AB428" s="2">
        <v>30</v>
      </c>
      <c r="AC428" s="2">
        <v>30</v>
      </c>
      <c r="AD428" s="2">
        <v>18</v>
      </c>
      <c r="AE428" s="2">
        <f>AC428*AD428</f>
        <v>540</v>
      </c>
      <c r="AF428" s="2">
        <f>Z428/Y428</f>
        <v>2.5</v>
      </c>
      <c r="AG428" s="2">
        <f>AA428/Z428</f>
        <v>2.6</v>
      </c>
      <c r="AH428" s="2">
        <f>AB428/AA428</f>
        <v>2.3076923076923075</v>
      </c>
    </row>
    <row r="429" spans="1:34">
      <c r="A429" s="52" t="s">
        <v>229</v>
      </c>
      <c r="B429" s="52" t="s">
        <v>230</v>
      </c>
      <c r="C429" s="190">
        <v>46179</v>
      </c>
      <c r="D429" s="42">
        <v>0.75</v>
      </c>
      <c r="E429" s="193"/>
      <c r="F429" s="194" t="s">
        <v>244</v>
      </c>
      <c r="G429" s="2">
        <v>1</v>
      </c>
      <c r="I429" s="126">
        <v>200</v>
      </c>
      <c r="J429" s="2" t="s">
        <v>766</v>
      </c>
      <c r="K429" s="88" t="s">
        <v>804</v>
      </c>
      <c r="L429" s="91">
        <v>30000</v>
      </c>
      <c r="M429" s="194">
        <v>20</v>
      </c>
      <c r="N429" s="39" t="s">
        <v>48</v>
      </c>
      <c r="O429" s="39" t="s">
        <v>49</v>
      </c>
      <c r="P429" s="135" t="s">
        <v>832</v>
      </c>
      <c r="Q429" s="19">
        <v>40</v>
      </c>
      <c r="R429" s="15">
        <f>IF(Q429&gt;0,Q429/I429,"")</f>
        <v>0.2</v>
      </c>
      <c r="S429" s="5">
        <f>($AC429*$AD429)/(($Z429/$Y429)+($AA429/$Z429)+($AB429/$AA429))</f>
        <v>35.555555555555557</v>
      </c>
      <c r="U429" s="109" t="s">
        <v>767</v>
      </c>
      <c r="V429" s="205" t="s">
        <v>719</v>
      </c>
      <c r="W429" s="10"/>
      <c r="X429" s="70"/>
      <c r="Y429" s="2">
        <v>2</v>
      </c>
      <c r="Z429" s="2">
        <v>5</v>
      </c>
      <c r="AA429" s="2">
        <v>20</v>
      </c>
      <c r="AB429" s="2">
        <v>50</v>
      </c>
      <c r="AC429" s="2">
        <v>20</v>
      </c>
      <c r="AD429" s="2">
        <v>16</v>
      </c>
      <c r="AE429" s="2">
        <f>AC429*AD429</f>
        <v>320</v>
      </c>
      <c r="AF429" s="2">
        <f>Z429/Y429</f>
        <v>2.5</v>
      </c>
      <c r="AG429" s="2">
        <f>AA429/Z429</f>
        <v>4</v>
      </c>
      <c r="AH429" s="2">
        <f>AB429/AA429</f>
        <v>2.5</v>
      </c>
    </row>
    <row r="430" spans="1:34" s="70" customFormat="1">
      <c r="A430" s="52" t="s">
        <v>220</v>
      </c>
      <c r="B430" s="52" t="s">
        <v>221</v>
      </c>
      <c r="C430" s="191">
        <v>46179</v>
      </c>
      <c r="D430" s="42">
        <v>0.75</v>
      </c>
      <c r="E430" s="193"/>
      <c r="F430" s="194" t="s">
        <v>1073</v>
      </c>
      <c r="G430" s="2">
        <v>1</v>
      </c>
      <c r="H430" s="2">
        <v>9</v>
      </c>
      <c r="I430" s="126">
        <v>1100</v>
      </c>
      <c r="J430" s="2" t="s">
        <v>766</v>
      </c>
      <c r="K430" s="88" t="s">
        <v>799</v>
      </c>
      <c r="L430" s="91">
        <v>30000</v>
      </c>
      <c r="M430" s="203">
        <v>20</v>
      </c>
      <c r="N430" s="39" t="s">
        <v>48</v>
      </c>
      <c r="O430" s="39" t="s">
        <v>49</v>
      </c>
      <c r="P430" s="212" t="s">
        <v>838</v>
      </c>
      <c r="Q430" s="19">
        <v>125</v>
      </c>
      <c r="R430" s="15">
        <f>Q430/I430</f>
        <v>0.11363636363636363</v>
      </c>
      <c r="S430" s="5">
        <f>($AC430*$AD430)/(($Z430/$Y430)+($AA430/$Z430)+($AB430/$AA430))</f>
        <v>62.448979591836739</v>
      </c>
      <c r="T430" s="5"/>
      <c r="U430" s="109" t="s">
        <v>129</v>
      </c>
      <c r="V430" s="10" t="s">
        <v>738</v>
      </c>
      <c r="W430" s="10"/>
      <c r="Y430" s="2">
        <v>2</v>
      </c>
      <c r="Z430" s="2">
        <v>5</v>
      </c>
      <c r="AA430" s="2">
        <v>15</v>
      </c>
      <c r="AB430" s="2">
        <v>40</v>
      </c>
      <c r="AC430" s="2">
        <v>17</v>
      </c>
      <c r="AD430" s="2">
        <v>30</v>
      </c>
      <c r="AE430" s="2">
        <f>AC430*AD430</f>
        <v>510</v>
      </c>
      <c r="AF430" s="2">
        <f>Z430/Y430</f>
        <v>2.5</v>
      </c>
      <c r="AG430" s="2">
        <f>AA430/Z430</f>
        <v>3</v>
      </c>
      <c r="AH430" s="2">
        <f>AB430/AA430</f>
        <v>2.6666666666666665</v>
      </c>
    </row>
    <row r="431" spans="1:34">
      <c r="A431" s="96" t="s">
        <v>461</v>
      </c>
      <c r="B431" s="96" t="s">
        <v>462</v>
      </c>
      <c r="C431" s="41">
        <v>46179</v>
      </c>
      <c r="D431" s="42">
        <v>0.75694444444444442</v>
      </c>
      <c r="F431" s="194" t="s">
        <v>460</v>
      </c>
      <c r="G431" s="2">
        <v>1</v>
      </c>
      <c r="I431" s="126">
        <v>200</v>
      </c>
      <c r="J431" s="2" t="s">
        <v>766</v>
      </c>
      <c r="K431" s="109" t="s">
        <v>602</v>
      </c>
      <c r="L431" s="194">
        <v>30000</v>
      </c>
      <c r="M431" s="69">
        <v>20</v>
      </c>
      <c r="N431" s="39" t="s">
        <v>48</v>
      </c>
      <c r="O431" s="39" t="s">
        <v>49</v>
      </c>
      <c r="P431" s="212" t="s">
        <v>833</v>
      </c>
      <c r="Q431" s="19">
        <v>40</v>
      </c>
      <c r="R431" s="15">
        <f>Q431/I431</f>
        <v>0.2</v>
      </c>
      <c r="S431" s="5">
        <f>($AC431*$AD431)/(($Z431/$Y431)+($AA431/$Z431)+($AB431/$AA431))</f>
        <v>41.632653061224495</v>
      </c>
      <c r="U431" s="109" t="s">
        <v>219</v>
      </c>
      <c r="V431" s="205" t="s">
        <v>735</v>
      </c>
      <c r="W431" s="222" t="s">
        <v>466</v>
      </c>
      <c r="Y431" s="2">
        <v>2</v>
      </c>
      <c r="Z431" s="2">
        <v>5</v>
      </c>
      <c r="AA431" s="2">
        <v>15</v>
      </c>
      <c r="AB431" s="2">
        <v>40</v>
      </c>
      <c r="AC431" s="2">
        <v>17</v>
      </c>
      <c r="AD431" s="2">
        <v>20</v>
      </c>
      <c r="AE431" s="2">
        <f>AC431*AD431</f>
        <v>340</v>
      </c>
      <c r="AF431" s="2">
        <f>Z431/Y431</f>
        <v>2.5</v>
      </c>
      <c r="AG431" s="2">
        <f>AA431/Z431</f>
        <v>3</v>
      </c>
      <c r="AH431" s="2">
        <f>AB431/AA431</f>
        <v>2.6666666666666665</v>
      </c>
    </row>
    <row r="432" spans="1:34">
      <c r="A432" s="68" t="s">
        <v>357</v>
      </c>
      <c r="B432" s="68" t="s">
        <v>358</v>
      </c>
      <c r="C432" s="191">
        <v>46179</v>
      </c>
      <c r="D432" s="42">
        <v>0.75694444444444442</v>
      </c>
      <c r="E432" s="8">
        <v>38</v>
      </c>
      <c r="F432" s="63" t="s">
        <v>290</v>
      </c>
      <c r="G432" s="2">
        <v>1</v>
      </c>
      <c r="H432" s="2">
        <v>9</v>
      </c>
      <c r="I432" s="126">
        <v>600</v>
      </c>
      <c r="J432" s="2" t="s">
        <v>766</v>
      </c>
      <c r="K432" s="137" t="s">
        <v>602</v>
      </c>
      <c r="L432" s="92">
        <v>25000</v>
      </c>
      <c r="M432" s="69">
        <v>30</v>
      </c>
      <c r="N432" s="39" t="s">
        <v>48</v>
      </c>
      <c r="O432" s="39" t="s">
        <v>49</v>
      </c>
      <c r="P432" s="212" t="s">
        <v>836</v>
      </c>
      <c r="Q432" s="19">
        <v>80</v>
      </c>
      <c r="R432" s="15">
        <f>Q432/I432</f>
        <v>0.13333333333333333</v>
      </c>
      <c r="S432" s="5">
        <f>($AC432*$AD432)/(($Z432/$Y432)+($AA432/$Z432)+($AB432/$AA432))</f>
        <v>55.03292568203198</v>
      </c>
      <c r="U432" s="109" t="s">
        <v>219</v>
      </c>
      <c r="V432" s="205" t="s">
        <v>662</v>
      </c>
      <c r="W432" s="86" t="s">
        <v>389</v>
      </c>
      <c r="Y432" s="2">
        <v>2.5</v>
      </c>
      <c r="Z432" s="2">
        <v>6.5</v>
      </c>
      <c r="AA432" s="2">
        <v>20</v>
      </c>
      <c r="AB432" s="2">
        <v>50</v>
      </c>
      <c r="AC432" s="2">
        <v>30</v>
      </c>
      <c r="AD432" s="2">
        <v>15</v>
      </c>
      <c r="AE432" s="2">
        <f>AC432*AD432</f>
        <v>450</v>
      </c>
      <c r="AF432" s="2">
        <f>Z432/Y432</f>
        <v>2.6</v>
      </c>
      <c r="AG432" s="2">
        <f>AA432/Z432</f>
        <v>3.0769230769230771</v>
      </c>
      <c r="AH432" s="2">
        <f>AB432/AA432</f>
        <v>2.5</v>
      </c>
    </row>
    <row r="433" spans="1:34">
      <c r="A433" s="95" t="s">
        <v>447</v>
      </c>
      <c r="B433" s="95" t="s">
        <v>448</v>
      </c>
      <c r="C433" s="190">
        <v>46179</v>
      </c>
      <c r="D433" s="42">
        <v>0.79166666666666663</v>
      </c>
      <c r="E433" s="193"/>
      <c r="F433" s="8" t="s">
        <v>403</v>
      </c>
      <c r="G433" s="2">
        <v>1</v>
      </c>
      <c r="H433" s="2">
        <v>9</v>
      </c>
      <c r="I433" s="126">
        <v>300</v>
      </c>
      <c r="J433" s="2" t="s">
        <v>766</v>
      </c>
      <c r="K433" s="109" t="s">
        <v>602</v>
      </c>
      <c r="L433" s="194">
        <v>25000</v>
      </c>
      <c r="M433" s="194">
        <v>25</v>
      </c>
      <c r="N433" s="39" t="s">
        <v>48</v>
      </c>
      <c r="O433" s="39" t="s">
        <v>49</v>
      </c>
      <c r="P433" s="212" t="s">
        <v>834</v>
      </c>
      <c r="Q433" s="19">
        <v>50</v>
      </c>
      <c r="R433" s="15">
        <f>Q433/I433</f>
        <v>0.16666666666666666</v>
      </c>
      <c r="S433" s="5">
        <f>($AC433*$AD433)/(($Z433/$Y433)+($AA433/$Z433)+($AB433/$AA433))</f>
        <v>37.5</v>
      </c>
      <c r="U433" s="109" t="s">
        <v>767</v>
      </c>
      <c r="V433" s="2" t="s">
        <v>741</v>
      </c>
      <c r="W433" s="10"/>
      <c r="Y433" s="2">
        <v>2.5</v>
      </c>
      <c r="Z433" s="2">
        <v>7.5</v>
      </c>
      <c r="AA433" s="2">
        <v>25</v>
      </c>
      <c r="AB433" s="2">
        <v>75</v>
      </c>
      <c r="AC433" s="2">
        <v>14</v>
      </c>
      <c r="AD433" s="2">
        <v>25</v>
      </c>
      <c r="AE433" s="2">
        <f>AC433*AD433</f>
        <v>350</v>
      </c>
      <c r="AF433" s="2">
        <f>Z433/Y433</f>
        <v>3</v>
      </c>
      <c r="AG433" s="2">
        <f>AA433/Z433</f>
        <v>3.3333333333333335</v>
      </c>
      <c r="AH433" s="2">
        <f>AB433/AA433</f>
        <v>3</v>
      </c>
    </row>
    <row r="434" spans="1:34">
      <c r="A434" s="165" t="s">
        <v>1383</v>
      </c>
      <c r="B434" s="39" t="s">
        <v>63</v>
      </c>
      <c r="C434" s="41">
        <v>46179</v>
      </c>
      <c r="D434" s="144">
        <v>0.79166666666666663</v>
      </c>
      <c r="F434" s="8" t="s">
        <v>889</v>
      </c>
      <c r="G434" s="2">
        <v>1</v>
      </c>
      <c r="I434" s="45">
        <v>1100</v>
      </c>
      <c r="J434" s="2" t="s">
        <v>766</v>
      </c>
      <c r="K434" s="88" t="s">
        <v>807</v>
      </c>
      <c r="L434" s="92">
        <v>15000</v>
      </c>
      <c r="M434" s="82">
        <v>30</v>
      </c>
      <c r="N434" s="132" t="s">
        <v>821</v>
      </c>
      <c r="O434" s="39" t="s">
        <v>393</v>
      </c>
      <c r="P434" s="213"/>
      <c r="Q434" s="2">
        <f>88+37</f>
        <v>125</v>
      </c>
      <c r="R434" s="15">
        <f>Q434/I434</f>
        <v>0.11363636363636363</v>
      </c>
      <c r="S434" s="149" t="s">
        <v>110</v>
      </c>
      <c r="T434" s="149"/>
      <c r="U434" s="109" t="s">
        <v>767</v>
      </c>
      <c r="V434" s="21" t="s">
        <v>362</v>
      </c>
      <c r="W434" s="194" t="s">
        <v>370</v>
      </c>
      <c r="AE434" s="2" t="e">
        <f>AD434*#REF!</f>
        <v>#REF!</v>
      </c>
      <c r="AF434" s="2" t="e">
        <f>Z434/Y434</f>
        <v>#DIV/0!</v>
      </c>
      <c r="AG434" s="2" t="e">
        <f>AA434/Z434</f>
        <v>#DIV/0!</v>
      </c>
      <c r="AH434" s="2" t="e">
        <f>AC434/AA434</f>
        <v>#DIV/0!</v>
      </c>
    </row>
    <row r="435" spans="1:34">
      <c r="A435" s="165" t="s">
        <v>1383</v>
      </c>
      <c r="B435" s="39" t="s">
        <v>63</v>
      </c>
      <c r="C435" s="41">
        <v>46179</v>
      </c>
      <c r="D435" s="144">
        <v>0.83333333333333337</v>
      </c>
      <c r="E435" s="8"/>
      <c r="F435" s="8" t="s">
        <v>1023</v>
      </c>
      <c r="G435" s="2">
        <v>1</v>
      </c>
      <c r="H435" s="2">
        <v>9</v>
      </c>
      <c r="I435" s="45">
        <v>200</v>
      </c>
      <c r="J435" s="2" t="s">
        <v>766</v>
      </c>
      <c r="K435" s="88" t="s">
        <v>806</v>
      </c>
      <c r="L435" s="92">
        <v>20000</v>
      </c>
      <c r="M435" s="10">
        <v>20</v>
      </c>
      <c r="N435" s="39" t="s">
        <v>817</v>
      </c>
      <c r="O435" s="39" t="s">
        <v>49</v>
      </c>
      <c r="P435" s="210"/>
      <c r="Q435" s="19">
        <v>45</v>
      </c>
      <c r="R435" s="15">
        <f>Q435/I435</f>
        <v>0.22500000000000001</v>
      </c>
      <c r="S435" s="5">
        <v>23</v>
      </c>
      <c r="U435" s="109" t="s">
        <v>129</v>
      </c>
      <c r="V435" s="71" t="s">
        <v>360</v>
      </c>
      <c r="W435" s="10"/>
      <c r="Y435" s="175"/>
      <c r="Z435" s="175"/>
      <c r="AA435" s="175"/>
      <c r="AB435" s="175"/>
      <c r="AC435" s="175"/>
      <c r="AD435" s="175"/>
      <c r="AE435" s="175"/>
      <c r="AF435" s="175"/>
      <c r="AG435" s="175"/>
      <c r="AH435" s="175"/>
    </row>
    <row r="436" spans="1:34">
      <c r="A436" s="103" t="s">
        <v>539</v>
      </c>
      <c r="B436" s="103" t="s">
        <v>540</v>
      </c>
      <c r="C436" s="191">
        <v>46179</v>
      </c>
      <c r="D436" s="42">
        <v>0.875</v>
      </c>
      <c r="E436" s="8">
        <v>16</v>
      </c>
      <c r="F436" s="63" t="s">
        <v>544</v>
      </c>
      <c r="G436" s="2">
        <v>1</v>
      </c>
      <c r="H436" s="2">
        <v>9</v>
      </c>
      <c r="I436" s="126">
        <v>150</v>
      </c>
      <c r="J436" s="179" t="s">
        <v>766</v>
      </c>
      <c r="K436" s="179" t="s">
        <v>602</v>
      </c>
      <c r="L436" s="92">
        <v>30000</v>
      </c>
      <c r="M436" s="69">
        <v>15</v>
      </c>
      <c r="N436" s="39" t="s">
        <v>48</v>
      </c>
      <c r="O436" s="39" t="s">
        <v>49</v>
      </c>
      <c r="P436" s="135" t="s">
        <v>828</v>
      </c>
      <c r="Q436" s="19">
        <v>46</v>
      </c>
      <c r="R436" s="15">
        <f>Q436/I436</f>
        <v>0.30666666666666664</v>
      </c>
      <c r="S436" s="5">
        <f>($AC436*$AD436)/(($Z436/$Y436)+($AA436/$Z436)+($AB436/$AA436))</f>
        <v>19.534883720930232</v>
      </c>
      <c r="U436" s="109" t="s">
        <v>129</v>
      </c>
      <c r="V436" s="71" t="s">
        <v>1395</v>
      </c>
      <c r="W436" s="182" t="s">
        <v>1389</v>
      </c>
      <c r="Y436" s="2">
        <v>4</v>
      </c>
      <c r="Z436" s="2">
        <v>8</v>
      </c>
      <c r="AA436" s="2">
        <v>30</v>
      </c>
      <c r="AB436" s="2">
        <v>150</v>
      </c>
      <c r="AC436" s="2">
        <v>14</v>
      </c>
      <c r="AD436" s="2">
        <v>15</v>
      </c>
      <c r="AE436" s="2">
        <f>AC436*AD436</f>
        <v>210</v>
      </c>
      <c r="AF436" s="2">
        <f>Z436/Y436</f>
        <v>2</v>
      </c>
      <c r="AG436" s="2">
        <f>AA436/Z436</f>
        <v>3.75</v>
      </c>
      <c r="AH436" s="2">
        <f>AB436/AA436</f>
        <v>5</v>
      </c>
    </row>
    <row r="437" spans="1:34">
      <c r="A437" s="102" t="s">
        <v>475</v>
      </c>
      <c r="B437" s="102" t="s">
        <v>476</v>
      </c>
      <c r="C437" s="41">
        <v>46179</v>
      </c>
      <c r="D437" s="42">
        <v>0.88194444444444442</v>
      </c>
      <c r="E437" s="193"/>
      <c r="F437" s="8" t="s">
        <v>483</v>
      </c>
      <c r="G437" s="2">
        <v>1</v>
      </c>
      <c r="H437" s="2">
        <v>9</v>
      </c>
      <c r="I437" s="126">
        <v>160</v>
      </c>
      <c r="J437" s="2" t="s">
        <v>766</v>
      </c>
      <c r="K437" s="109" t="s">
        <v>603</v>
      </c>
      <c r="L437" s="201">
        <v>20000</v>
      </c>
      <c r="M437" s="203">
        <v>20</v>
      </c>
      <c r="N437" s="39" t="s">
        <v>48</v>
      </c>
      <c r="O437" s="39" t="s">
        <v>49</v>
      </c>
      <c r="P437" s="135" t="s">
        <v>828</v>
      </c>
      <c r="Q437" s="19">
        <v>30</v>
      </c>
      <c r="R437" s="15">
        <f>Q437/I437</f>
        <v>0.1875</v>
      </c>
      <c r="S437" s="5">
        <f>($AC437*$AD437)/(($Z437/$Y437)+($AA437/$Z437)+($AB437/$AA437))</f>
        <v>20</v>
      </c>
      <c r="U437" s="109" t="s">
        <v>767</v>
      </c>
      <c r="V437" s="71" t="s">
        <v>595</v>
      </c>
      <c r="W437" s="107" t="s">
        <v>604</v>
      </c>
      <c r="Y437" s="2">
        <v>2</v>
      </c>
      <c r="Z437" s="2">
        <v>5</v>
      </c>
      <c r="AA437" s="2">
        <v>40</v>
      </c>
      <c r="AB437" s="2">
        <v>100</v>
      </c>
      <c r="AC437" s="2">
        <v>20</v>
      </c>
      <c r="AD437" s="2">
        <v>13</v>
      </c>
      <c r="AE437" s="2">
        <f>AC437*AD437</f>
        <v>260</v>
      </c>
      <c r="AF437" s="2">
        <f>Z437/Y437</f>
        <v>2.5</v>
      </c>
      <c r="AG437" s="2">
        <f>AA437/Z437</f>
        <v>8</v>
      </c>
      <c r="AH437" s="2">
        <f>AB437/AA437</f>
        <v>2.5</v>
      </c>
    </row>
    <row r="438" spans="1:34">
      <c r="A438" s="165" t="s">
        <v>1383</v>
      </c>
      <c r="B438" s="39" t="s">
        <v>63</v>
      </c>
      <c r="C438" s="41">
        <v>46179</v>
      </c>
      <c r="D438" s="144">
        <v>0.91666666666666663</v>
      </c>
      <c r="F438" s="8" t="s">
        <v>909</v>
      </c>
      <c r="G438" s="2">
        <v>1</v>
      </c>
      <c r="H438" s="2">
        <v>9</v>
      </c>
      <c r="I438" s="45">
        <v>135</v>
      </c>
      <c r="J438" s="2" t="s">
        <v>766</v>
      </c>
      <c r="K438" s="88" t="s">
        <v>813</v>
      </c>
      <c r="L438" s="92">
        <v>10000</v>
      </c>
      <c r="M438" s="69">
        <v>15</v>
      </c>
      <c r="N438" s="132" t="s">
        <v>821</v>
      </c>
      <c r="O438" s="39" t="s">
        <v>49</v>
      </c>
      <c r="P438" s="210"/>
      <c r="Q438" s="19">
        <v>35</v>
      </c>
      <c r="R438" s="15">
        <f>Q438/I438</f>
        <v>0.25925925925925924</v>
      </c>
      <c r="S438" s="5">
        <v>22</v>
      </c>
      <c r="U438" s="109" t="s">
        <v>767</v>
      </c>
      <c r="V438" s="71" t="s">
        <v>362</v>
      </c>
      <c r="W438" s="194" t="s">
        <v>369</v>
      </c>
      <c r="Y438" s="175"/>
      <c r="Z438" s="175"/>
      <c r="AA438" s="175"/>
      <c r="AB438" s="175"/>
      <c r="AC438" s="175"/>
      <c r="AD438" s="175"/>
      <c r="AE438" s="175"/>
      <c r="AF438" s="175"/>
      <c r="AG438" s="175"/>
      <c r="AH438" s="175"/>
    </row>
    <row r="439" spans="1:34">
      <c r="A439" s="96" t="s">
        <v>461</v>
      </c>
      <c r="B439" s="96" t="s">
        <v>462</v>
      </c>
      <c r="C439" s="41">
        <v>46179</v>
      </c>
      <c r="D439" s="42">
        <v>0.92361111111111116</v>
      </c>
      <c r="F439" s="8" t="s">
        <v>459</v>
      </c>
      <c r="G439" s="2">
        <v>1</v>
      </c>
      <c r="I439" s="126">
        <v>120</v>
      </c>
      <c r="J439" s="2" t="s">
        <v>766</v>
      </c>
      <c r="K439" s="109" t="s">
        <v>602</v>
      </c>
      <c r="L439" s="194">
        <v>20000</v>
      </c>
      <c r="M439" s="69">
        <v>20</v>
      </c>
      <c r="N439" s="39" t="s">
        <v>48</v>
      </c>
      <c r="O439" s="39" t="s">
        <v>465</v>
      </c>
      <c r="P439" s="63">
        <v>4000</v>
      </c>
      <c r="Q439" s="2">
        <v>24</v>
      </c>
      <c r="R439" s="15">
        <f>Q439/I439</f>
        <v>0.2</v>
      </c>
      <c r="S439" s="149" t="s">
        <v>110</v>
      </c>
      <c r="T439" s="149"/>
      <c r="U439" s="109" t="s">
        <v>767</v>
      </c>
      <c r="V439" s="205" t="s">
        <v>735</v>
      </c>
      <c r="W439" s="10"/>
      <c r="AE439" s="2">
        <f>AC439*AD439</f>
        <v>0</v>
      </c>
      <c r="AF439" s="2" t="e">
        <f>Z439/Y439</f>
        <v>#DIV/0!</v>
      </c>
      <c r="AG439" s="2" t="e">
        <f>AA439/Z439</f>
        <v>#DIV/0!</v>
      </c>
      <c r="AH439" s="2" t="e">
        <f>AB439/AA439</f>
        <v>#DIV/0!</v>
      </c>
    </row>
    <row r="440" spans="1:34">
      <c r="A440" s="165" t="s">
        <v>1383</v>
      </c>
      <c r="B440" s="36" t="s">
        <v>63</v>
      </c>
      <c r="C440" s="41">
        <v>46179</v>
      </c>
      <c r="D440" s="144" t="s">
        <v>117</v>
      </c>
      <c r="E440" s="14">
        <v>18</v>
      </c>
      <c r="F440" s="8" t="s">
        <v>944</v>
      </c>
      <c r="G440" s="2">
        <v>5</v>
      </c>
      <c r="H440" s="2">
        <v>9</v>
      </c>
      <c r="I440" s="45">
        <v>1500</v>
      </c>
      <c r="J440" s="2" t="s">
        <v>761</v>
      </c>
      <c r="K440" s="109" t="s">
        <v>816</v>
      </c>
      <c r="L440" s="92">
        <v>50000</v>
      </c>
      <c r="M440" s="69">
        <v>60</v>
      </c>
      <c r="N440" s="39" t="s">
        <v>48</v>
      </c>
      <c r="O440" s="39" t="s">
        <v>49</v>
      </c>
      <c r="P440" s="210"/>
      <c r="Q440" s="19">
        <f>R440*I440</f>
        <v>172.5</v>
      </c>
      <c r="R440" s="15">
        <v>0.115</v>
      </c>
      <c r="S440" s="5">
        <f>($AC440*$AD440)/(($Z440/$Y440)+($AA440/$Z440)+($AB440/$AA440))</f>
        <v>161.993769470405</v>
      </c>
      <c r="U440" s="109" t="s">
        <v>767</v>
      </c>
      <c r="V440" s="2" t="s">
        <v>121</v>
      </c>
      <c r="W440" s="10"/>
      <c r="Y440" s="2">
        <v>2</v>
      </c>
      <c r="Z440" s="2">
        <v>5</v>
      </c>
      <c r="AA440" s="2">
        <v>13</v>
      </c>
      <c r="AB440" s="2">
        <v>30</v>
      </c>
      <c r="AC440" s="2">
        <v>20</v>
      </c>
      <c r="AD440" s="2">
        <v>60</v>
      </c>
      <c r="AE440" s="2">
        <f>AC440*AD440</f>
        <v>1200</v>
      </c>
      <c r="AF440" s="2">
        <f>Z440/Y440</f>
        <v>2.5</v>
      </c>
      <c r="AG440" s="2">
        <f>AA440/Z440</f>
        <v>2.6</v>
      </c>
      <c r="AH440" s="2">
        <f>AB440/AA440</f>
        <v>2.3076923076923075</v>
      </c>
    </row>
    <row r="441" spans="1:34" s="73" customFormat="1">
      <c r="A441" s="165" t="s">
        <v>1383</v>
      </c>
      <c r="B441" s="36" t="s">
        <v>63</v>
      </c>
      <c r="C441" s="41">
        <v>46179</v>
      </c>
      <c r="D441" s="144" t="s">
        <v>115</v>
      </c>
      <c r="E441" s="14">
        <v>19</v>
      </c>
      <c r="F441" s="8" t="s">
        <v>1319</v>
      </c>
      <c r="G441" s="2">
        <v>4</v>
      </c>
      <c r="H441" s="2">
        <v>8</v>
      </c>
      <c r="I441" s="45">
        <v>25000</v>
      </c>
      <c r="J441" s="2" t="s">
        <v>760</v>
      </c>
      <c r="K441" s="109" t="s">
        <v>598</v>
      </c>
      <c r="L441" s="92">
        <v>150000</v>
      </c>
      <c r="M441" s="69">
        <v>60</v>
      </c>
      <c r="N441" s="39" t="s">
        <v>48</v>
      </c>
      <c r="O441" s="39" t="s">
        <v>49</v>
      </c>
      <c r="P441" s="210"/>
      <c r="Q441" s="19">
        <f>R441*I441</f>
        <v>1500</v>
      </c>
      <c r="R441" s="15">
        <v>0.06</v>
      </c>
      <c r="S441" s="5">
        <f>($AC441*$AD441)/(($Z441/$Y441)+($AA441/$Z441)+($AB441/$AA441))</f>
        <v>136.46655231560891</v>
      </c>
      <c r="T441" s="5"/>
      <c r="U441" s="109" t="s">
        <v>767</v>
      </c>
      <c r="V441" s="2" t="s">
        <v>121</v>
      </c>
      <c r="W441" s="10"/>
      <c r="X441" s="2"/>
      <c r="Y441" s="2">
        <v>13</v>
      </c>
      <c r="Z441" s="2">
        <v>30</v>
      </c>
      <c r="AA441" s="2">
        <v>75</v>
      </c>
      <c r="AB441" s="2">
        <v>200</v>
      </c>
      <c r="AC441" s="2">
        <v>17</v>
      </c>
      <c r="AD441" s="2">
        <v>60</v>
      </c>
      <c r="AE441" s="2">
        <f>AC441*AD441</f>
        <v>1020</v>
      </c>
      <c r="AF441" s="2">
        <f>Z441/Y441</f>
        <v>2.3076923076923075</v>
      </c>
      <c r="AG441" s="2">
        <f>AA441/Z441</f>
        <v>2.5</v>
      </c>
      <c r="AH441" s="2">
        <f>AB441/AA441</f>
        <v>2.6666666666666665</v>
      </c>
    </row>
    <row r="442" spans="1:34">
      <c r="A442" s="165" t="s">
        <v>1383</v>
      </c>
      <c r="B442" s="36" t="s">
        <v>63</v>
      </c>
      <c r="C442" s="41">
        <v>46179</v>
      </c>
      <c r="D442" s="144" t="s">
        <v>115</v>
      </c>
      <c r="E442" s="8">
        <v>24</v>
      </c>
      <c r="F442" s="194" t="s">
        <v>948</v>
      </c>
      <c r="G442" s="2">
        <v>3</v>
      </c>
      <c r="H442" s="2">
        <v>6</v>
      </c>
      <c r="I442" s="45">
        <v>25000</v>
      </c>
      <c r="J442" s="2" t="s">
        <v>760</v>
      </c>
      <c r="K442" s="109" t="s">
        <v>598</v>
      </c>
      <c r="L442" s="92">
        <v>150000</v>
      </c>
      <c r="M442" s="69">
        <v>60</v>
      </c>
      <c r="N442" s="39" t="s">
        <v>48</v>
      </c>
      <c r="O442" s="39" t="s">
        <v>49</v>
      </c>
      <c r="P442" s="210"/>
      <c r="Q442" s="19">
        <f>R442*I442</f>
        <v>1500</v>
      </c>
      <c r="R442" s="15">
        <v>0.06</v>
      </c>
      <c r="S442" s="5">
        <f>($AC442*$AD442)/(($Z442/$Y442)+($AA442/$Z442)+($AB442/$AA442))</f>
        <v>136.46655231560891</v>
      </c>
      <c r="U442" s="109" t="s">
        <v>375</v>
      </c>
      <c r="V442" s="71" t="s">
        <v>121</v>
      </c>
      <c r="W442" s="10"/>
      <c r="Y442" s="2">
        <v>13</v>
      </c>
      <c r="Z442" s="2">
        <v>30</v>
      </c>
      <c r="AA442" s="2">
        <v>75</v>
      </c>
      <c r="AB442" s="2">
        <v>200</v>
      </c>
      <c r="AC442" s="2">
        <v>17</v>
      </c>
      <c r="AD442" s="2">
        <v>60</v>
      </c>
      <c r="AE442" s="2">
        <f>AC442*AD442</f>
        <v>1020</v>
      </c>
      <c r="AF442" s="2">
        <f>Z442/Y442</f>
        <v>2.3076923076923075</v>
      </c>
      <c r="AG442" s="2">
        <f>AA442/Z442</f>
        <v>2.5</v>
      </c>
      <c r="AH442" s="2">
        <f>AB442/AA442</f>
        <v>2.6666666666666665</v>
      </c>
    </row>
    <row r="443" spans="1:34" ht="6.6" customHeight="1">
      <c r="A443" s="165" t="s">
        <v>1383</v>
      </c>
      <c r="B443" s="36" t="s">
        <v>63</v>
      </c>
      <c r="C443" s="41">
        <v>46179</v>
      </c>
      <c r="D443" s="144" t="s">
        <v>116</v>
      </c>
      <c r="E443" s="14">
        <v>22</v>
      </c>
      <c r="F443" s="8" t="s">
        <v>191</v>
      </c>
      <c r="G443" s="2">
        <v>3</v>
      </c>
      <c r="H443" s="2">
        <v>8</v>
      </c>
      <c r="I443" s="45">
        <v>1500</v>
      </c>
      <c r="J443" s="2" t="s">
        <v>763</v>
      </c>
      <c r="K443" s="109" t="s">
        <v>598</v>
      </c>
      <c r="L443" s="92">
        <v>25000</v>
      </c>
      <c r="M443" s="69" t="s">
        <v>97</v>
      </c>
      <c r="N443" s="39" t="s">
        <v>48</v>
      </c>
      <c r="O443" s="39" t="s">
        <v>373</v>
      </c>
      <c r="P443" s="213"/>
      <c r="Q443" s="38">
        <f>R443*I443</f>
        <v>172.5</v>
      </c>
      <c r="R443" s="15">
        <v>0.115</v>
      </c>
      <c r="S443" s="149" t="s">
        <v>110</v>
      </c>
      <c r="T443" s="149"/>
      <c r="U443" s="109" t="s">
        <v>767</v>
      </c>
      <c r="V443" s="2" t="s">
        <v>121</v>
      </c>
      <c r="W443" s="10"/>
      <c r="AE443" s="2" t="e">
        <f>AD443*#REF!</f>
        <v>#REF!</v>
      </c>
      <c r="AF443" s="2" t="e">
        <f>Z443/Y443</f>
        <v>#DIV/0!</v>
      </c>
      <c r="AG443" s="2" t="e">
        <f>AA443/Z443</f>
        <v>#DIV/0!</v>
      </c>
      <c r="AH443" s="2" t="e">
        <f>AC443/AA443</f>
        <v>#DIV/0!</v>
      </c>
    </row>
    <row r="444" spans="1:34">
      <c r="A444" s="165" t="s">
        <v>1383</v>
      </c>
      <c r="B444" s="36" t="s">
        <v>63</v>
      </c>
      <c r="C444" s="41">
        <v>46179</v>
      </c>
      <c r="D444" s="144" t="s">
        <v>876</v>
      </c>
      <c r="E444" s="8">
        <v>21</v>
      </c>
      <c r="F444" s="8" t="s">
        <v>1106</v>
      </c>
      <c r="G444" s="2">
        <v>3</v>
      </c>
      <c r="H444" s="2">
        <v>8</v>
      </c>
      <c r="I444" s="45">
        <v>1500</v>
      </c>
      <c r="J444" s="2" t="s">
        <v>762</v>
      </c>
      <c r="K444" s="109" t="s">
        <v>598</v>
      </c>
      <c r="L444" s="92">
        <v>25000</v>
      </c>
      <c r="M444" s="69" t="s">
        <v>97</v>
      </c>
      <c r="N444" s="39" t="s">
        <v>48</v>
      </c>
      <c r="O444" s="39" t="s">
        <v>359</v>
      </c>
      <c r="P444" s="213"/>
      <c r="Q444" s="38">
        <f>R444*I444</f>
        <v>172.5</v>
      </c>
      <c r="R444" s="15">
        <v>0.115</v>
      </c>
      <c r="S444" s="149" t="s">
        <v>110</v>
      </c>
      <c r="T444" s="149"/>
      <c r="U444" s="109" t="s">
        <v>767</v>
      </c>
      <c r="V444" s="205" t="s">
        <v>121</v>
      </c>
      <c r="W444" s="10"/>
      <c r="X444" s="70"/>
      <c r="AE444" s="2" t="e">
        <f>AD444*#REF!</f>
        <v>#REF!</v>
      </c>
      <c r="AF444" s="2" t="e">
        <f>Z444/Y444</f>
        <v>#DIV/0!</v>
      </c>
      <c r="AG444" s="2" t="e">
        <f>AA444/Z444</f>
        <v>#DIV/0!</v>
      </c>
      <c r="AH444" s="2" t="e">
        <f>AC444/AA444</f>
        <v>#DIV/0!</v>
      </c>
    </row>
    <row r="445" spans="1:34" ht="16.5" customHeight="1">
      <c r="A445" s="96" t="s">
        <v>461</v>
      </c>
      <c r="B445" s="96" t="s">
        <v>462</v>
      </c>
      <c r="C445" s="41">
        <v>46180</v>
      </c>
      <c r="D445" s="42">
        <v>0.4236111111111111</v>
      </c>
      <c r="E445" s="193"/>
      <c r="F445" s="194" t="s">
        <v>457</v>
      </c>
      <c r="G445" s="2">
        <v>1</v>
      </c>
      <c r="I445" s="126">
        <v>120</v>
      </c>
      <c r="J445" s="2" t="s">
        <v>766</v>
      </c>
      <c r="K445" s="109" t="s">
        <v>602</v>
      </c>
      <c r="L445" s="194">
        <v>20000</v>
      </c>
      <c r="M445" s="69">
        <v>20</v>
      </c>
      <c r="N445" s="39" t="s">
        <v>48</v>
      </c>
      <c r="O445" s="39" t="s">
        <v>49</v>
      </c>
      <c r="P445" s="135" t="s">
        <v>832</v>
      </c>
      <c r="Q445" s="19">
        <v>24</v>
      </c>
      <c r="R445" s="15">
        <f>Q445/I445</f>
        <v>0.2</v>
      </c>
      <c r="S445" s="5">
        <f>($AC445*$AD445)/(($Z445/$Y445)+($AA445/$Z445)+($AB445/$AA445))</f>
        <v>25.161290322580644</v>
      </c>
      <c r="U445" s="109" t="s">
        <v>767</v>
      </c>
      <c r="V445" s="2" t="s">
        <v>735</v>
      </c>
      <c r="W445" s="10"/>
      <c r="Y445" s="2">
        <v>2.5</v>
      </c>
      <c r="Z445" s="2">
        <v>7.5</v>
      </c>
      <c r="AA445" s="2">
        <v>30</v>
      </c>
      <c r="AB445" s="2">
        <v>100</v>
      </c>
      <c r="AC445" s="2">
        <v>13</v>
      </c>
      <c r="AD445" s="2">
        <v>20</v>
      </c>
      <c r="AE445" s="2">
        <f>AC445*AD445</f>
        <v>260</v>
      </c>
      <c r="AF445" s="2">
        <f>Z445/Y445</f>
        <v>3</v>
      </c>
      <c r="AG445" s="2">
        <f>AA445/Z445</f>
        <v>4</v>
      </c>
      <c r="AH445" s="2">
        <f>AB445/AA445</f>
        <v>3.3333333333333335</v>
      </c>
    </row>
    <row r="446" spans="1:34">
      <c r="A446" s="68" t="s">
        <v>357</v>
      </c>
      <c r="B446" s="68" t="s">
        <v>358</v>
      </c>
      <c r="C446" s="191">
        <v>46180</v>
      </c>
      <c r="D446" s="42">
        <v>0.4236111111111111</v>
      </c>
      <c r="E446" s="8">
        <v>37</v>
      </c>
      <c r="F446" s="63" t="s">
        <v>303</v>
      </c>
      <c r="G446" s="2">
        <v>2</v>
      </c>
      <c r="H446" s="2">
        <v>9</v>
      </c>
      <c r="I446" s="126">
        <v>1100</v>
      </c>
      <c r="J446" s="2" t="s">
        <v>766</v>
      </c>
      <c r="K446" s="137" t="s">
        <v>601</v>
      </c>
      <c r="L446" s="92">
        <v>40000</v>
      </c>
      <c r="M446" s="69">
        <v>40</v>
      </c>
      <c r="N446" s="39" t="s">
        <v>48</v>
      </c>
      <c r="O446" s="39" t="s">
        <v>49</v>
      </c>
      <c r="P446" s="135" t="s">
        <v>848</v>
      </c>
      <c r="Q446" s="19">
        <v>140</v>
      </c>
      <c r="R446" s="15">
        <f>Q446/I446</f>
        <v>0.12727272727272726</v>
      </c>
      <c r="S446" s="5">
        <f>($AC446*$AD446)/(($Z446/$Y446)+($AA446/$Z446)+($AB446/$AA446))</f>
        <v>76.947040498442377</v>
      </c>
      <c r="U446" s="109" t="s">
        <v>767</v>
      </c>
      <c r="V446" s="2" t="s">
        <v>671</v>
      </c>
      <c r="W446" s="10"/>
      <c r="Y446" s="2">
        <v>2</v>
      </c>
      <c r="Z446" s="2">
        <v>5</v>
      </c>
      <c r="AA446" s="2">
        <v>13</v>
      </c>
      <c r="AB446" s="2">
        <v>30</v>
      </c>
      <c r="AC446" s="2">
        <v>30</v>
      </c>
      <c r="AD446" s="2">
        <v>19</v>
      </c>
      <c r="AE446" s="2">
        <f>AC446*AD446</f>
        <v>570</v>
      </c>
      <c r="AF446" s="2">
        <f>Z446/Y446</f>
        <v>2.5</v>
      </c>
      <c r="AG446" s="2">
        <f>AA446/Z446</f>
        <v>2.6</v>
      </c>
      <c r="AH446" s="2">
        <f>AB446/AA446</f>
        <v>2.3076923076923075</v>
      </c>
    </row>
    <row r="447" spans="1:34">
      <c r="A447" s="95" t="s">
        <v>447</v>
      </c>
      <c r="B447" s="95" t="s">
        <v>448</v>
      </c>
      <c r="C447" s="190">
        <v>46180</v>
      </c>
      <c r="D447" s="42">
        <v>0.45833333333333331</v>
      </c>
      <c r="E447" s="193"/>
      <c r="F447" s="8" t="s">
        <v>413</v>
      </c>
      <c r="G447" s="2">
        <v>1</v>
      </c>
      <c r="H447" s="2">
        <v>8</v>
      </c>
      <c r="I447" s="126">
        <v>600</v>
      </c>
      <c r="J447" s="2" t="s">
        <v>766</v>
      </c>
      <c r="K447" s="109" t="s">
        <v>602</v>
      </c>
      <c r="L447" s="194">
        <v>30000</v>
      </c>
      <c r="M447" s="194">
        <v>30</v>
      </c>
      <c r="N447" s="39" t="s">
        <v>48</v>
      </c>
      <c r="O447" s="39" t="s">
        <v>372</v>
      </c>
      <c r="P447" s="63">
        <v>30000</v>
      </c>
      <c r="Q447" s="2">
        <v>90</v>
      </c>
      <c r="R447" s="15">
        <f>Q447/I447</f>
        <v>0.15</v>
      </c>
      <c r="S447" s="176" t="s">
        <v>110</v>
      </c>
      <c r="T447" s="176"/>
      <c r="U447" s="109" t="s">
        <v>767</v>
      </c>
      <c r="V447" s="2" t="s">
        <v>741</v>
      </c>
      <c r="W447" s="10"/>
      <c r="AE447" s="2">
        <f>AC447*AD447</f>
        <v>0</v>
      </c>
      <c r="AF447" s="2" t="e">
        <f>Z447/Y447</f>
        <v>#DIV/0!</v>
      </c>
      <c r="AG447" s="2" t="e">
        <f>AA447/Z447</f>
        <v>#DIV/0!</v>
      </c>
      <c r="AH447" s="2" t="e">
        <f>AB447/AA447</f>
        <v>#DIV/0!</v>
      </c>
    </row>
    <row r="448" spans="1:34">
      <c r="A448" s="103" t="s">
        <v>539</v>
      </c>
      <c r="B448" s="103" t="s">
        <v>540</v>
      </c>
      <c r="C448" s="191">
        <v>46180</v>
      </c>
      <c r="D448" s="42">
        <v>0.45833333333333331</v>
      </c>
      <c r="E448" s="8">
        <v>17</v>
      </c>
      <c r="F448" s="63" t="s">
        <v>542</v>
      </c>
      <c r="G448" s="2">
        <v>1</v>
      </c>
      <c r="H448" s="2">
        <v>9</v>
      </c>
      <c r="I448" s="126">
        <v>200</v>
      </c>
      <c r="J448" s="179" t="s">
        <v>766</v>
      </c>
      <c r="K448" s="179" t="s">
        <v>815</v>
      </c>
      <c r="L448" s="92">
        <v>30000</v>
      </c>
      <c r="M448" s="69">
        <v>30</v>
      </c>
      <c r="N448" s="39" t="s">
        <v>48</v>
      </c>
      <c r="O448" s="39" t="s">
        <v>49</v>
      </c>
      <c r="P448" s="134" t="s">
        <v>833</v>
      </c>
      <c r="Q448" s="19">
        <v>44</v>
      </c>
      <c r="R448" s="15">
        <f>Q448/I448</f>
        <v>0.22</v>
      </c>
      <c r="S448" s="5">
        <f>($AC448*$AD448)/(($Z448/$Y448)+($AA448/$Z448)+($AB448/$AA448))</f>
        <v>53.333333333333336</v>
      </c>
      <c r="U448" s="109" t="s">
        <v>767</v>
      </c>
      <c r="V448" s="71" t="s">
        <v>1395</v>
      </c>
      <c r="W448" s="10"/>
      <c r="Y448" s="2">
        <v>2</v>
      </c>
      <c r="Z448" s="2">
        <v>5</v>
      </c>
      <c r="AA448" s="2">
        <v>20</v>
      </c>
      <c r="AB448" s="2">
        <v>50</v>
      </c>
      <c r="AC448" s="2">
        <v>16</v>
      </c>
      <c r="AD448" s="2">
        <v>30</v>
      </c>
      <c r="AE448" s="2">
        <f>AC448*AD448</f>
        <v>480</v>
      </c>
      <c r="AF448" s="2">
        <f>Z448/Y448</f>
        <v>2.5</v>
      </c>
      <c r="AG448" s="2">
        <f>AA448/Z448</f>
        <v>4</v>
      </c>
      <c r="AH448" s="2">
        <f>AB448/AA448</f>
        <v>2.5</v>
      </c>
    </row>
    <row r="449" spans="1:34">
      <c r="A449" s="165" t="s">
        <v>1383</v>
      </c>
      <c r="B449" s="36" t="s">
        <v>63</v>
      </c>
      <c r="C449" s="41">
        <v>46180</v>
      </c>
      <c r="D449" s="144">
        <v>0.45833333333333331</v>
      </c>
      <c r="E449" s="14">
        <v>18</v>
      </c>
      <c r="F449" s="8" t="s">
        <v>1228</v>
      </c>
      <c r="G449" s="2">
        <v>5</v>
      </c>
      <c r="H449" s="2">
        <v>9</v>
      </c>
      <c r="I449" s="45">
        <v>1500</v>
      </c>
      <c r="J449" s="2" t="s">
        <v>761</v>
      </c>
      <c r="K449" s="109" t="s">
        <v>816</v>
      </c>
      <c r="L449" s="92">
        <v>50000</v>
      </c>
      <c r="M449" s="69">
        <v>60</v>
      </c>
      <c r="N449" s="39" t="s">
        <v>48</v>
      </c>
      <c r="O449" s="39" t="s">
        <v>49</v>
      </c>
      <c r="Q449" s="19">
        <f>R449*I449</f>
        <v>172.5</v>
      </c>
      <c r="R449" s="15">
        <v>0.115</v>
      </c>
      <c r="S449" s="5">
        <f>($AC449*$AD449)/(($Z449/$Y449)+($AA449/$Z449)+($AB449/$AA449))</f>
        <v>161.993769470405</v>
      </c>
      <c r="U449" s="109" t="s">
        <v>767</v>
      </c>
      <c r="V449" s="205" t="s">
        <v>121</v>
      </c>
      <c r="W449" s="10"/>
      <c r="Y449" s="2">
        <v>2</v>
      </c>
      <c r="Z449" s="2">
        <v>5</v>
      </c>
      <c r="AA449" s="2">
        <v>13</v>
      </c>
      <c r="AB449" s="2">
        <v>30</v>
      </c>
      <c r="AC449" s="2">
        <v>20</v>
      </c>
      <c r="AD449" s="2">
        <v>60</v>
      </c>
      <c r="AE449" s="2">
        <f>AC449*AD449</f>
        <v>1200</v>
      </c>
      <c r="AF449" s="2">
        <f>Z449/Y449</f>
        <v>2.5</v>
      </c>
      <c r="AG449" s="2">
        <f>AA449/Z449</f>
        <v>2.6</v>
      </c>
      <c r="AH449" s="2">
        <f>AB449/AA449</f>
        <v>2.3076923076923075</v>
      </c>
    </row>
    <row r="450" spans="1:34">
      <c r="A450" s="102" t="s">
        <v>475</v>
      </c>
      <c r="B450" s="102" t="s">
        <v>476</v>
      </c>
      <c r="C450" s="190">
        <v>46180</v>
      </c>
      <c r="D450" s="42">
        <v>0.45833333333333331</v>
      </c>
      <c r="E450" s="8" t="s">
        <v>487</v>
      </c>
      <c r="F450" s="8" t="s">
        <v>486</v>
      </c>
      <c r="G450" s="2">
        <v>2</v>
      </c>
      <c r="H450" s="2">
        <v>9</v>
      </c>
      <c r="I450" s="126">
        <v>500</v>
      </c>
      <c r="J450" s="2" t="s">
        <v>766</v>
      </c>
      <c r="K450" s="109" t="s">
        <v>601</v>
      </c>
      <c r="L450" s="201">
        <v>30000</v>
      </c>
      <c r="M450" s="203" t="s">
        <v>22</v>
      </c>
      <c r="N450" s="39" t="s">
        <v>48</v>
      </c>
      <c r="O450" s="39" t="s">
        <v>49</v>
      </c>
      <c r="P450" s="135" t="s">
        <v>841</v>
      </c>
      <c r="Q450" s="19">
        <v>80</v>
      </c>
      <c r="R450" s="15">
        <f>Q450/I450</f>
        <v>0.16</v>
      </c>
      <c r="S450" s="5">
        <f>($AC450*$AD450)/(($Z450/$Y450)+($AA450/$Z450)+($AB450/$AA450))</f>
        <v>72.897196261682254</v>
      </c>
      <c r="U450" s="109" t="s">
        <v>855</v>
      </c>
      <c r="V450" s="2" t="s">
        <v>597</v>
      </c>
      <c r="W450" s="241" t="s">
        <v>600</v>
      </c>
      <c r="Y450" s="2">
        <v>2</v>
      </c>
      <c r="Z450" s="2">
        <v>5</v>
      </c>
      <c r="AA450" s="2">
        <v>13</v>
      </c>
      <c r="AB450" s="2">
        <v>30</v>
      </c>
      <c r="AC450" s="2">
        <v>30</v>
      </c>
      <c r="AD450" s="2">
        <v>18</v>
      </c>
      <c r="AE450" s="2">
        <f>AC450*AD450</f>
        <v>540</v>
      </c>
      <c r="AF450" s="2">
        <f>Z450/Y450</f>
        <v>2.5</v>
      </c>
      <c r="AG450" s="2">
        <f>AA450/Z450</f>
        <v>2.6</v>
      </c>
      <c r="AH450" s="2">
        <f>AB450/AA450</f>
        <v>2.3076923076923075</v>
      </c>
    </row>
    <row r="451" spans="1:34">
      <c r="A451" s="52" t="s">
        <v>229</v>
      </c>
      <c r="B451" s="52" t="s">
        <v>230</v>
      </c>
      <c r="C451" s="190">
        <v>46180</v>
      </c>
      <c r="D451" s="42">
        <v>0.45833333333333331</v>
      </c>
      <c r="E451" s="193"/>
      <c r="F451" s="8" t="s">
        <v>245</v>
      </c>
      <c r="G451" s="2">
        <v>1</v>
      </c>
      <c r="I451" s="126">
        <v>300</v>
      </c>
      <c r="J451" s="2" t="s">
        <v>766</v>
      </c>
      <c r="K451" s="88" t="s">
        <v>788</v>
      </c>
      <c r="L451" s="91">
        <v>25000</v>
      </c>
      <c r="M451" s="194">
        <v>30</v>
      </c>
      <c r="N451" s="39" t="s">
        <v>48</v>
      </c>
      <c r="O451" s="39" t="s">
        <v>49</v>
      </c>
      <c r="P451" s="134" t="s">
        <v>838</v>
      </c>
      <c r="Q451" s="19">
        <v>60</v>
      </c>
      <c r="R451" s="15">
        <f>IF(Q451&gt;0,Q451/I451,"")</f>
        <v>0.2</v>
      </c>
      <c r="S451" s="5">
        <f>($AC451*$AD451)/(($Z451/$Y451)+($AA451/$Z451)+($AB451/$AA451))</f>
        <v>80.996884735202499</v>
      </c>
      <c r="U451" s="109" t="s">
        <v>767</v>
      </c>
      <c r="V451" s="205" t="s">
        <v>719</v>
      </c>
      <c r="W451" s="10"/>
      <c r="Y451" s="2">
        <v>2</v>
      </c>
      <c r="Z451" s="2">
        <v>5</v>
      </c>
      <c r="AA451" s="2">
        <v>13</v>
      </c>
      <c r="AB451" s="2">
        <v>30</v>
      </c>
      <c r="AC451" s="2">
        <v>30</v>
      </c>
      <c r="AD451" s="2">
        <v>20</v>
      </c>
      <c r="AE451" s="2">
        <f>AC451*AD451</f>
        <v>600</v>
      </c>
      <c r="AF451" s="2">
        <f>Z451/Y451</f>
        <v>2.5</v>
      </c>
      <c r="AG451" s="2">
        <f>AA451/Z451</f>
        <v>2.6</v>
      </c>
      <c r="AH451" s="2">
        <f>AB451/AA451</f>
        <v>2.3076923076923075</v>
      </c>
    </row>
    <row r="452" spans="1:34">
      <c r="A452" s="103" t="s">
        <v>539</v>
      </c>
      <c r="B452" s="103" t="s">
        <v>540</v>
      </c>
      <c r="C452" s="191">
        <v>46180</v>
      </c>
      <c r="D452" s="42">
        <v>0.5</v>
      </c>
      <c r="E452" s="8">
        <v>18</v>
      </c>
      <c r="F452" s="63" t="s">
        <v>549</v>
      </c>
      <c r="G452" s="2">
        <v>1</v>
      </c>
      <c r="H452" s="2">
        <v>7</v>
      </c>
      <c r="I452" s="126">
        <v>500</v>
      </c>
      <c r="J452" s="179" t="s">
        <v>766</v>
      </c>
      <c r="K452" s="179" t="s">
        <v>602</v>
      </c>
      <c r="L452" s="92">
        <v>35000</v>
      </c>
      <c r="M452" s="181" t="s">
        <v>22</v>
      </c>
      <c r="N452" s="39" t="s">
        <v>48</v>
      </c>
      <c r="O452" s="39" t="s">
        <v>122</v>
      </c>
      <c r="P452" s="63">
        <v>30000</v>
      </c>
      <c r="Q452" s="2">
        <v>70</v>
      </c>
      <c r="R452" s="15">
        <f>Q452/I452</f>
        <v>0.14000000000000001</v>
      </c>
      <c r="S452" s="142"/>
      <c r="U452" s="109" t="s">
        <v>767</v>
      </c>
      <c r="V452" s="71" t="s">
        <v>1395</v>
      </c>
      <c r="W452" s="10"/>
      <c r="AE452" s="2">
        <f>AC452*AD452</f>
        <v>0</v>
      </c>
      <c r="AF452" s="2" t="e">
        <f>Z452/Y452</f>
        <v>#DIV/0!</v>
      </c>
      <c r="AG452" s="2" t="e">
        <f>AA452/Z452</f>
        <v>#DIV/0!</v>
      </c>
      <c r="AH452" s="2" t="e">
        <f>AB452/AA452</f>
        <v>#DIV/0!</v>
      </c>
    </row>
    <row r="453" spans="1:34">
      <c r="A453" s="52" t="s">
        <v>220</v>
      </c>
      <c r="B453" s="52" t="s">
        <v>221</v>
      </c>
      <c r="C453" s="191">
        <v>46180</v>
      </c>
      <c r="D453" s="42">
        <v>0.5</v>
      </c>
      <c r="E453" s="193"/>
      <c r="F453" s="8" t="s">
        <v>57</v>
      </c>
      <c r="G453" s="2">
        <v>1</v>
      </c>
      <c r="H453" s="2">
        <v>8</v>
      </c>
      <c r="I453" s="126">
        <v>1100</v>
      </c>
      <c r="J453" s="2" t="s">
        <v>766</v>
      </c>
      <c r="K453" s="88" t="s">
        <v>780</v>
      </c>
      <c r="L453" s="91">
        <v>30000</v>
      </c>
      <c r="M453" s="203">
        <v>30</v>
      </c>
      <c r="N453" s="39" t="s">
        <v>48</v>
      </c>
      <c r="O453" s="39" t="s">
        <v>57</v>
      </c>
      <c r="P453" s="63">
        <v>200000</v>
      </c>
      <c r="Q453" s="2">
        <v>125</v>
      </c>
      <c r="R453" s="15">
        <f>Q453/I453</f>
        <v>0.11363636363636363</v>
      </c>
      <c r="S453" s="149" t="s">
        <v>110</v>
      </c>
      <c r="T453" s="149"/>
      <c r="U453" s="109" t="s">
        <v>767</v>
      </c>
      <c r="V453" s="2" t="s">
        <v>738</v>
      </c>
      <c r="W453" s="10"/>
      <c r="Y453" s="70"/>
      <c r="Z453" s="70"/>
      <c r="AA453" s="70"/>
      <c r="AB453" s="70"/>
      <c r="AC453" s="70"/>
      <c r="AD453" s="70"/>
      <c r="AE453" s="2">
        <f>AC453*AD453</f>
        <v>0</v>
      </c>
      <c r="AF453" s="2" t="e">
        <f>Z453/Y453</f>
        <v>#DIV/0!</v>
      </c>
      <c r="AG453" s="2" t="e">
        <f>AA453/Z453</f>
        <v>#DIV/0!</v>
      </c>
      <c r="AH453" s="2" t="e">
        <f>AB453/AA453</f>
        <v>#DIV/0!</v>
      </c>
    </row>
    <row r="454" spans="1:34">
      <c r="A454" s="68" t="s">
        <v>357</v>
      </c>
      <c r="B454" s="68" t="s">
        <v>358</v>
      </c>
      <c r="C454" s="51">
        <v>46180</v>
      </c>
      <c r="D454" s="42">
        <v>0.50694444444444442</v>
      </c>
      <c r="E454" s="8">
        <v>39</v>
      </c>
      <c r="F454" s="63" t="s">
        <v>304</v>
      </c>
      <c r="G454" s="2">
        <v>1</v>
      </c>
      <c r="H454" s="2">
        <v>8</v>
      </c>
      <c r="I454" s="126">
        <v>800</v>
      </c>
      <c r="J454" s="2" t="s">
        <v>766</v>
      </c>
      <c r="K454" s="137" t="s">
        <v>815</v>
      </c>
      <c r="L454" s="92">
        <v>30000</v>
      </c>
      <c r="M454" s="69">
        <v>30</v>
      </c>
      <c r="N454" s="39" t="s">
        <v>48</v>
      </c>
      <c r="O454" s="39" t="s">
        <v>57</v>
      </c>
      <c r="P454" s="234">
        <v>75000</v>
      </c>
      <c r="Q454" s="2">
        <v>100</v>
      </c>
      <c r="R454" s="15">
        <f>Q454/I454</f>
        <v>0.125</v>
      </c>
      <c r="S454" s="149" t="s">
        <v>110</v>
      </c>
      <c r="T454" s="149"/>
      <c r="U454" s="109" t="s">
        <v>219</v>
      </c>
      <c r="V454" s="2" t="s">
        <v>673</v>
      </c>
      <c r="W454" s="110" t="s">
        <v>655</v>
      </c>
      <c r="AE454" s="2">
        <f>AC454*AD454</f>
        <v>0</v>
      </c>
      <c r="AF454" s="2" t="e">
        <f>Z454/Y454</f>
        <v>#DIV/0!</v>
      </c>
      <c r="AG454" s="2" t="e">
        <f>AA454/Z454</f>
        <v>#DIV/0!</v>
      </c>
      <c r="AH454" s="2" t="e">
        <f>AB454/AA454</f>
        <v>#DIV/0!</v>
      </c>
    </row>
    <row r="455" spans="1:34">
      <c r="A455" s="95" t="s">
        <v>447</v>
      </c>
      <c r="B455" s="95" t="s">
        <v>448</v>
      </c>
      <c r="C455" s="190">
        <v>46180</v>
      </c>
      <c r="D455" s="42">
        <v>0.54166666666666663</v>
      </c>
      <c r="E455" s="193"/>
      <c r="F455" s="8" t="s">
        <v>405</v>
      </c>
      <c r="G455" s="2">
        <v>1</v>
      </c>
      <c r="H455" s="2">
        <v>9</v>
      </c>
      <c r="I455" s="126">
        <v>800</v>
      </c>
      <c r="J455" s="2" t="s">
        <v>766</v>
      </c>
      <c r="K455" s="109" t="s">
        <v>602</v>
      </c>
      <c r="L455" s="194">
        <v>30000</v>
      </c>
      <c r="M455" s="194">
        <v>30</v>
      </c>
      <c r="N455" s="39" t="s">
        <v>48</v>
      </c>
      <c r="O455" s="39" t="s">
        <v>49</v>
      </c>
      <c r="P455" s="135" t="s">
        <v>840</v>
      </c>
      <c r="Q455" s="19">
        <v>100</v>
      </c>
      <c r="R455" s="15">
        <f>Q455/I455</f>
        <v>0.125</v>
      </c>
      <c r="S455" s="5">
        <f>($AC455*$AD455)/(($Z455/$Y455)+($AA455/$Z455)+($AB455/$AA455))</f>
        <v>72.897196261682254</v>
      </c>
      <c r="U455" s="109" t="s">
        <v>767</v>
      </c>
      <c r="V455" s="205" t="s">
        <v>741</v>
      </c>
      <c r="W455" s="10"/>
      <c r="Y455" s="2">
        <v>2</v>
      </c>
      <c r="Z455" s="2">
        <v>5</v>
      </c>
      <c r="AA455" s="2">
        <v>13</v>
      </c>
      <c r="AB455" s="2">
        <v>30</v>
      </c>
      <c r="AC455" s="2">
        <v>18</v>
      </c>
      <c r="AD455" s="2">
        <v>30</v>
      </c>
      <c r="AE455" s="2">
        <f>AC455*AD455</f>
        <v>540</v>
      </c>
      <c r="AF455" s="2">
        <f>Z455/Y455</f>
        <v>2.5</v>
      </c>
      <c r="AG455" s="2">
        <f>AA455/Z455</f>
        <v>2.6</v>
      </c>
      <c r="AH455" s="2">
        <f>AB455/AA455</f>
        <v>2.3076923076923075</v>
      </c>
    </row>
    <row r="456" spans="1:34">
      <c r="A456" s="165" t="s">
        <v>1383</v>
      </c>
      <c r="B456" s="36" t="s">
        <v>63</v>
      </c>
      <c r="C456" s="41">
        <v>46180</v>
      </c>
      <c r="D456" s="144">
        <v>0.54166666666666663</v>
      </c>
      <c r="E456" s="14">
        <v>22</v>
      </c>
      <c r="F456" s="8" t="s">
        <v>1119</v>
      </c>
      <c r="G456" s="2">
        <v>3</v>
      </c>
      <c r="H456" s="2">
        <v>8</v>
      </c>
      <c r="I456" s="45">
        <v>1500</v>
      </c>
      <c r="J456" s="2" t="s">
        <v>763</v>
      </c>
      <c r="K456" s="109" t="s">
        <v>598</v>
      </c>
      <c r="L456" s="92">
        <v>25000</v>
      </c>
      <c r="M456" s="69" t="s">
        <v>97</v>
      </c>
      <c r="N456" s="39" t="s">
        <v>48</v>
      </c>
      <c r="O456" s="39" t="s">
        <v>373</v>
      </c>
      <c r="P456" s="19"/>
      <c r="Q456" s="38">
        <f>R456*I456</f>
        <v>172.5</v>
      </c>
      <c r="R456" s="15">
        <v>0.115</v>
      </c>
      <c r="S456" s="149" t="s">
        <v>110</v>
      </c>
      <c r="T456" s="149"/>
      <c r="U456" s="109" t="s">
        <v>767</v>
      </c>
      <c r="V456" s="2" t="s">
        <v>121</v>
      </c>
      <c r="W456" s="10"/>
      <c r="AE456" s="2" t="e">
        <f>AD456*#REF!</f>
        <v>#REF!</v>
      </c>
      <c r="AF456" s="2" t="e">
        <f>Z456/Y456</f>
        <v>#DIV/0!</v>
      </c>
      <c r="AG456" s="2" t="e">
        <f>AA456/Z456</f>
        <v>#DIV/0!</v>
      </c>
      <c r="AH456" s="2" t="e">
        <f>AC456/AA456</f>
        <v>#DIV/0!</v>
      </c>
    </row>
    <row r="457" spans="1:34">
      <c r="A457" s="165" t="s">
        <v>1383</v>
      </c>
      <c r="B457" s="72" t="s">
        <v>63</v>
      </c>
      <c r="C457" s="77">
        <v>46180</v>
      </c>
      <c r="D457" s="144">
        <v>0.54166666666666663</v>
      </c>
      <c r="E457" s="138"/>
      <c r="F457" s="8" t="s">
        <v>881</v>
      </c>
      <c r="G457" s="73">
        <v>1</v>
      </c>
      <c r="H457" s="73">
        <v>9</v>
      </c>
      <c r="I457" s="78">
        <v>250</v>
      </c>
      <c r="J457" s="2" t="s">
        <v>766</v>
      </c>
      <c r="K457" s="88" t="s">
        <v>787</v>
      </c>
      <c r="L457" s="154">
        <v>25000</v>
      </c>
      <c r="M457" s="79">
        <v>30</v>
      </c>
      <c r="N457" s="39" t="s">
        <v>817</v>
      </c>
      <c r="O457" s="39" t="s">
        <v>49</v>
      </c>
      <c r="P457" s="235"/>
      <c r="Q457" s="74">
        <v>50</v>
      </c>
      <c r="R457" s="75">
        <f>Q457/I457</f>
        <v>0.2</v>
      </c>
      <c r="S457" s="121">
        <v>44</v>
      </c>
      <c r="T457" s="121"/>
      <c r="U457" s="109" t="s">
        <v>767</v>
      </c>
      <c r="V457" s="80" t="s">
        <v>360</v>
      </c>
      <c r="W457" s="79"/>
      <c r="Y457" s="175"/>
      <c r="Z457" s="175"/>
      <c r="AA457" s="175"/>
      <c r="AB457" s="175"/>
      <c r="AC457" s="175"/>
      <c r="AD457" s="175"/>
      <c r="AE457" s="175"/>
      <c r="AF457" s="175"/>
      <c r="AG457" s="175"/>
      <c r="AH457" s="175"/>
    </row>
    <row r="458" spans="1:34">
      <c r="A458" s="52" t="s">
        <v>220</v>
      </c>
      <c r="B458" s="52" t="s">
        <v>221</v>
      </c>
      <c r="C458" s="191">
        <v>46180</v>
      </c>
      <c r="D458" s="42">
        <v>0.58333333333333337</v>
      </c>
      <c r="E458" s="193"/>
      <c r="F458" s="8" t="s">
        <v>1090</v>
      </c>
      <c r="G458" s="2">
        <v>1</v>
      </c>
      <c r="H458" s="2">
        <v>9</v>
      </c>
      <c r="I458" s="126">
        <v>600</v>
      </c>
      <c r="J458" s="2" t="s">
        <v>766</v>
      </c>
      <c r="K458" s="88" t="s">
        <v>783</v>
      </c>
      <c r="L458" s="91">
        <v>20000</v>
      </c>
      <c r="M458" s="194">
        <v>20</v>
      </c>
      <c r="N458" s="39" t="s">
        <v>61</v>
      </c>
      <c r="O458" s="39" t="s">
        <v>49</v>
      </c>
      <c r="P458" s="131"/>
      <c r="Q458" s="19">
        <v>85</v>
      </c>
      <c r="R458" s="15">
        <f>Q458/I458</f>
        <v>0.14166666666666666</v>
      </c>
      <c r="S458" s="5">
        <f>($AC458*$AD458)/(($Z458/$Y458)+($AA458/$Z458)+($AB458/$AA458))</f>
        <v>31.111111111111111</v>
      </c>
      <c r="U458" s="109" t="s">
        <v>54</v>
      </c>
      <c r="V458" s="2" t="s">
        <v>738</v>
      </c>
      <c r="W458" s="10"/>
      <c r="Y458" s="2">
        <v>2</v>
      </c>
      <c r="Z458" s="2">
        <v>5</v>
      </c>
      <c r="AA458" s="2">
        <v>20</v>
      </c>
      <c r="AB458" s="2">
        <v>50</v>
      </c>
      <c r="AC458" s="2">
        <v>14</v>
      </c>
      <c r="AD458" s="2">
        <v>20</v>
      </c>
      <c r="AE458" s="2">
        <f>AC458*AD458</f>
        <v>280</v>
      </c>
      <c r="AF458" s="2">
        <f>Z458/Y458</f>
        <v>2.5</v>
      </c>
      <c r="AG458" s="2">
        <f>AA458/Z458</f>
        <v>4</v>
      </c>
      <c r="AH458" s="2">
        <f>AB458/AA458</f>
        <v>2.5</v>
      </c>
    </row>
    <row r="459" spans="1:34" ht="13.2" customHeight="1">
      <c r="A459" s="96" t="s">
        <v>461</v>
      </c>
      <c r="B459" s="96" t="s">
        <v>462</v>
      </c>
      <c r="C459" s="41">
        <v>46180</v>
      </c>
      <c r="D459" s="42">
        <v>0.59027777777777779</v>
      </c>
      <c r="F459" s="8" t="s">
        <v>456</v>
      </c>
      <c r="G459" s="2">
        <v>1</v>
      </c>
      <c r="I459" s="126">
        <v>120</v>
      </c>
      <c r="J459" s="2" t="s">
        <v>766</v>
      </c>
      <c r="K459" s="109" t="s">
        <v>737</v>
      </c>
      <c r="L459" s="194">
        <v>20000</v>
      </c>
      <c r="M459" s="69">
        <v>15</v>
      </c>
      <c r="N459" s="39" t="s">
        <v>48</v>
      </c>
      <c r="O459" s="39" t="s">
        <v>49</v>
      </c>
      <c r="P459" s="135" t="s">
        <v>829</v>
      </c>
      <c r="Q459" s="19">
        <v>24</v>
      </c>
      <c r="R459" s="15">
        <f>Q459/I459</f>
        <v>0.2</v>
      </c>
      <c r="S459" s="5">
        <f>($AC459*$AD459)/(($Z459/$Y459)+($AA459/$Z459)+($AB459/$AA459))</f>
        <v>25.161290322580644</v>
      </c>
      <c r="U459" s="109" t="s">
        <v>463</v>
      </c>
      <c r="V459" s="205" t="s">
        <v>735</v>
      </c>
      <c r="W459" s="10" t="s">
        <v>464</v>
      </c>
      <c r="Y459" s="2">
        <v>2.5</v>
      </c>
      <c r="Z459" s="2">
        <v>7.5</v>
      </c>
      <c r="AA459" s="2">
        <v>30</v>
      </c>
      <c r="AB459" s="2">
        <v>100</v>
      </c>
      <c r="AC459" s="2">
        <v>13</v>
      </c>
      <c r="AD459" s="2">
        <v>20</v>
      </c>
      <c r="AE459" s="2">
        <f>AC459*AD459</f>
        <v>260</v>
      </c>
      <c r="AF459" s="2">
        <f>Z459/Y459</f>
        <v>3</v>
      </c>
      <c r="AG459" s="2">
        <f>AA459/Z459</f>
        <v>4</v>
      </c>
      <c r="AH459" s="2">
        <f>AB459/AA459</f>
        <v>3.3333333333333335</v>
      </c>
    </row>
    <row r="460" spans="1:34">
      <c r="A460" s="165" t="s">
        <v>1383</v>
      </c>
      <c r="B460" s="39" t="s">
        <v>63</v>
      </c>
      <c r="C460" s="41">
        <v>46180</v>
      </c>
      <c r="D460" s="144">
        <v>0.625</v>
      </c>
      <c r="F460" s="8" t="s">
        <v>912</v>
      </c>
      <c r="G460" s="2">
        <v>1</v>
      </c>
      <c r="H460" s="2">
        <v>9</v>
      </c>
      <c r="I460" s="45">
        <v>240</v>
      </c>
      <c r="J460" s="2" t="s">
        <v>766</v>
      </c>
      <c r="K460" s="88" t="s">
        <v>784</v>
      </c>
      <c r="L460" s="92">
        <v>10000</v>
      </c>
      <c r="M460" s="69">
        <v>20</v>
      </c>
      <c r="N460" s="132" t="s">
        <v>821</v>
      </c>
      <c r="O460" s="39" t="s">
        <v>49</v>
      </c>
      <c r="P460" s="210"/>
      <c r="Q460" s="19">
        <v>40</v>
      </c>
      <c r="R460" s="15">
        <v>0.16666666666666666</v>
      </c>
      <c r="S460" s="5">
        <v>29</v>
      </c>
      <c r="U460" s="109" t="s">
        <v>767</v>
      </c>
      <c r="V460" s="71" t="s">
        <v>362</v>
      </c>
      <c r="W460" s="194" t="s">
        <v>367</v>
      </c>
      <c r="Y460" s="175"/>
      <c r="Z460" s="175"/>
      <c r="AA460" s="175"/>
      <c r="AB460" s="175"/>
      <c r="AC460" s="175"/>
      <c r="AD460" s="175"/>
      <c r="AE460" s="175"/>
      <c r="AF460" s="175"/>
      <c r="AG460" s="175"/>
      <c r="AH460" s="175"/>
    </row>
    <row r="461" spans="1:34">
      <c r="A461" s="165" t="s">
        <v>1383</v>
      </c>
      <c r="B461" s="39" t="s">
        <v>63</v>
      </c>
      <c r="C461" s="47">
        <v>46180</v>
      </c>
      <c r="D461" s="144">
        <v>0.625</v>
      </c>
      <c r="F461" s="8" t="s">
        <v>921</v>
      </c>
      <c r="G461" s="2">
        <v>1</v>
      </c>
      <c r="H461" s="2">
        <v>8</v>
      </c>
      <c r="I461" s="126">
        <v>625</v>
      </c>
      <c r="J461" s="2" t="s">
        <v>766</v>
      </c>
      <c r="K461" s="88" t="s">
        <v>782</v>
      </c>
      <c r="L461" s="91">
        <v>10000</v>
      </c>
      <c r="M461">
        <v>15</v>
      </c>
      <c r="N461" s="132" t="s">
        <v>821</v>
      </c>
      <c r="O461" s="39" t="s">
        <v>49</v>
      </c>
      <c r="P461" s="210"/>
      <c r="Q461" s="19">
        <f>67+28</f>
        <v>95</v>
      </c>
      <c r="R461" s="15">
        <f>Q461/I461</f>
        <v>0.152</v>
      </c>
      <c r="S461" s="5">
        <v>22</v>
      </c>
      <c r="U461" s="109" t="s">
        <v>767</v>
      </c>
      <c r="V461" s="71" t="s">
        <v>362</v>
      </c>
      <c r="W461" s="194" t="s">
        <v>148</v>
      </c>
      <c r="Y461" s="175"/>
      <c r="Z461" s="175"/>
      <c r="AA461" s="175"/>
      <c r="AB461" s="175"/>
      <c r="AC461" s="175"/>
      <c r="AD461" s="175"/>
      <c r="AE461" s="175"/>
      <c r="AF461" s="175"/>
      <c r="AG461" s="175"/>
      <c r="AH461" s="175"/>
    </row>
    <row r="462" spans="1:34">
      <c r="A462" s="165" t="s">
        <v>1383</v>
      </c>
      <c r="B462" s="72" t="s">
        <v>63</v>
      </c>
      <c r="C462" s="77">
        <v>46180</v>
      </c>
      <c r="D462" s="144">
        <v>0.66666666666666663</v>
      </c>
      <c r="E462" s="138"/>
      <c r="F462" s="8" t="s">
        <v>1024</v>
      </c>
      <c r="G462" s="73">
        <v>1</v>
      </c>
      <c r="H462" s="73">
        <v>9</v>
      </c>
      <c r="I462" s="78">
        <v>400</v>
      </c>
      <c r="J462" s="2" t="s">
        <v>766</v>
      </c>
      <c r="K462" s="88" t="s">
        <v>794</v>
      </c>
      <c r="L462" s="154">
        <v>30000</v>
      </c>
      <c r="M462" s="79">
        <v>20</v>
      </c>
      <c r="N462" s="39" t="s">
        <v>817</v>
      </c>
      <c r="O462" s="39" t="s">
        <v>49</v>
      </c>
      <c r="P462" s="235"/>
      <c r="Q462" s="74">
        <v>70</v>
      </c>
      <c r="R462" s="75">
        <f>Q462/I462</f>
        <v>0.17499999999999999</v>
      </c>
      <c r="S462" s="121">
        <v>37</v>
      </c>
      <c r="T462" s="121"/>
      <c r="U462" s="109" t="s">
        <v>129</v>
      </c>
      <c r="V462" s="80" t="s">
        <v>360</v>
      </c>
      <c r="W462" s="79"/>
      <c r="Y462" s="175"/>
      <c r="Z462" s="175"/>
      <c r="AA462" s="175"/>
      <c r="AB462" s="175"/>
      <c r="AC462" s="175"/>
      <c r="AD462" s="175"/>
      <c r="AE462" s="175"/>
      <c r="AF462" s="175"/>
      <c r="AG462" s="175"/>
      <c r="AH462" s="175"/>
    </row>
    <row r="463" spans="1:34">
      <c r="A463" s="103" t="s">
        <v>539</v>
      </c>
      <c r="B463" s="103" t="s">
        <v>540</v>
      </c>
      <c r="C463" s="191">
        <v>46180</v>
      </c>
      <c r="D463" s="42">
        <v>0.70833333333333337</v>
      </c>
      <c r="E463" s="8">
        <v>19</v>
      </c>
      <c r="F463" s="63" t="s">
        <v>542</v>
      </c>
      <c r="G463" s="2">
        <v>1</v>
      </c>
      <c r="H463" s="2">
        <v>9</v>
      </c>
      <c r="I463" s="151">
        <v>170</v>
      </c>
      <c r="J463" s="179" t="s">
        <v>766</v>
      </c>
      <c r="K463" s="179" t="s">
        <v>598</v>
      </c>
      <c r="L463" s="160">
        <v>30000</v>
      </c>
      <c r="M463" s="69">
        <v>20</v>
      </c>
      <c r="N463" s="39" t="s">
        <v>48</v>
      </c>
      <c r="O463" s="39" t="s">
        <v>49</v>
      </c>
      <c r="P463" s="135" t="s">
        <v>830</v>
      </c>
      <c r="Q463" s="19">
        <v>49</v>
      </c>
      <c r="R463" s="59">
        <f>Q463/I463</f>
        <v>0.28823529411764703</v>
      </c>
      <c r="S463" s="5">
        <f>($AC463*$AD463)/(($Z463/$Y463)+($AA463/$Z463)+($AB463/$AA463))</f>
        <v>26.046511627906977</v>
      </c>
      <c r="U463" s="109" t="s">
        <v>767</v>
      </c>
      <c r="V463" s="71" t="s">
        <v>1395</v>
      </c>
      <c r="W463" s="182" t="s">
        <v>1389</v>
      </c>
      <c r="Y463" s="2">
        <v>4</v>
      </c>
      <c r="Z463" s="2">
        <v>8</v>
      </c>
      <c r="AA463" s="2">
        <v>30</v>
      </c>
      <c r="AB463" s="2">
        <v>150</v>
      </c>
      <c r="AC463" s="2">
        <v>14</v>
      </c>
      <c r="AD463" s="2">
        <v>20</v>
      </c>
      <c r="AE463" s="2">
        <f>AC463*AD463</f>
        <v>280</v>
      </c>
      <c r="AF463" s="2">
        <f>Z463/Y463</f>
        <v>2</v>
      </c>
      <c r="AG463" s="2">
        <f>AA463/Z463</f>
        <v>3.75</v>
      </c>
      <c r="AH463" s="2">
        <f>AB463/AA463</f>
        <v>5</v>
      </c>
    </row>
    <row r="464" spans="1:34">
      <c r="A464" s="102" t="s">
        <v>475</v>
      </c>
      <c r="B464" s="102" t="s">
        <v>476</v>
      </c>
      <c r="C464" s="190">
        <v>46180</v>
      </c>
      <c r="D464" s="42">
        <v>0.75</v>
      </c>
      <c r="E464" s="8" t="s">
        <v>488</v>
      </c>
      <c r="F464" s="8" t="s">
        <v>486</v>
      </c>
      <c r="G464" s="2">
        <v>2</v>
      </c>
      <c r="H464" s="2">
        <v>9</v>
      </c>
      <c r="I464" s="126">
        <v>500</v>
      </c>
      <c r="J464" s="2" t="s">
        <v>766</v>
      </c>
      <c r="K464" s="109" t="s">
        <v>601</v>
      </c>
      <c r="L464" s="201">
        <v>30000</v>
      </c>
      <c r="M464" s="203" t="s">
        <v>22</v>
      </c>
      <c r="N464" s="39" t="s">
        <v>48</v>
      </c>
      <c r="O464" s="39" t="s">
        <v>49</v>
      </c>
      <c r="P464" s="135" t="s">
        <v>841</v>
      </c>
      <c r="Q464" s="19">
        <v>80</v>
      </c>
      <c r="R464" s="15">
        <f>Q464/I464</f>
        <v>0.16</v>
      </c>
      <c r="S464" s="5">
        <f>($AC464*$AD464)/(($Z464/$Y464)+($AA464/$Z464)+($AB464/$AA464))</f>
        <v>72.897196261682254</v>
      </c>
      <c r="U464" s="109" t="s">
        <v>855</v>
      </c>
      <c r="V464" s="10" t="s">
        <v>597</v>
      </c>
      <c r="W464" s="241" t="s">
        <v>600</v>
      </c>
      <c r="Y464" s="2">
        <v>2</v>
      </c>
      <c r="Z464" s="2">
        <v>5</v>
      </c>
      <c r="AA464" s="2">
        <v>13</v>
      </c>
      <c r="AB464" s="2">
        <v>30</v>
      </c>
      <c r="AC464" s="2">
        <v>30</v>
      </c>
      <c r="AD464" s="2">
        <v>18</v>
      </c>
      <c r="AE464" s="2">
        <f>AC464*AD464</f>
        <v>540</v>
      </c>
      <c r="AF464" s="2">
        <f>Z464/Y464</f>
        <v>2.5</v>
      </c>
      <c r="AG464" s="2">
        <f>AA464/Z464</f>
        <v>2.6</v>
      </c>
      <c r="AH464" s="2">
        <f>AB464/AA464</f>
        <v>2.3076923076923075</v>
      </c>
    </row>
    <row r="465" spans="1:34">
      <c r="A465" s="52" t="s">
        <v>229</v>
      </c>
      <c r="B465" s="52" t="s">
        <v>230</v>
      </c>
      <c r="C465" s="190">
        <v>46180</v>
      </c>
      <c r="D465" s="42">
        <v>0.75</v>
      </c>
      <c r="E465" s="193"/>
      <c r="F465" s="8" t="s">
        <v>264</v>
      </c>
      <c r="G465" s="2">
        <v>1</v>
      </c>
      <c r="I465" s="126">
        <v>240</v>
      </c>
      <c r="J465" s="2" t="s">
        <v>766</v>
      </c>
      <c r="K465" s="88" t="s">
        <v>804</v>
      </c>
      <c r="L465" s="91">
        <v>30000</v>
      </c>
      <c r="M465" s="194">
        <v>20</v>
      </c>
      <c r="N465" s="39" t="s">
        <v>48</v>
      </c>
      <c r="O465" s="39" t="s">
        <v>373</v>
      </c>
      <c r="P465" s="19">
        <v>10000</v>
      </c>
      <c r="Q465" s="2">
        <v>40</v>
      </c>
      <c r="R465" s="15">
        <f>IF(Q465&gt;0,Q465/I465,"")</f>
        <v>0.16666666666666666</v>
      </c>
      <c r="S465" s="149" t="s">
        <v>110</v>
      </c>
      <c r="T465" s="149"/>
      <c r="U465" s="109" t="s">
        <v>767</v>
      </c>
      <c r="V465" s="205" t="s">
        <v>719</v>
      </c>
      <c r="W465" s="10"/>
      <c r="X465" s="70"/>
      <c r="AE465" s="2">
        <f>AC465*AD465</f>
        <v>0</v>
      </c>
      <c r="AF465" s="2" t="e">
        <f>Z465/Y465</f>
        <v>#DIV/0!</v>
      </c>
      <c r="AG465" s="2" t="e">
        <f>AA465/Z465</f>
        <v>#DIV/0!</v>
      </c>
      <c r="AH465" s="2" t="e">
        <f>AB465/AA465</f>
        <v>#DIV/0!</v>
      </c>
    </row>
    <row r="466" spans="1:34">
      <c r="A466" s="52" t="s">
        <v>220</v>
      </c>
      <c r="B466" s="52" t="s">
        <v>221</v>
      </c>
      <c r="C466" s="191">
        <v>46180</v>
      </c>
      <c r="D466" s="42">
        <v>0.75</v>
      </c>
      <c r="F466" s="8" t="s">
        <v>1063</v>
      </c>
      <c r="G466" s="2">
        <v>1</v>
      </c>
      <c r="H466" s="2">
        <v>8</v>
      </c>
      <c r="I466" s="126">
        <v>1100</v>
      </c>
      <c r="J466" s="2" t="s">
        <v>766</v>
      </c>
      <c r="K466" s="88" t="s">
        <v>799</v>
      </c>
      <c r="L466" s="91">
        <v>30000</v>
      </c>
      <c r="M466" s="203">
        <v>20</v>
      </c>
      <c r="N466" s="39" t="s">
        <v>48</v>
      </c>
      <c r="O466" s="39" t="s">
        <v>57</v>
      </c>
      <c r="P466" s="63">
        <v>100000</v>
      </c>
      <c r="Q466" s="2">
        <v>125</v>
      </c>
      <c r="R466" s="15">
        <f>Q466/I466</f>
        <v>0.11363636363636363</v>
      </c>
      <c r="S466" s="149" t="s">
        <v>110</v>
      </c>
      <c r="T466" s="149"/>
      <c r="U466" s="109" t="s">
        <v>129</v>
      </c>
      <c r="V466" s="205" t="s">
        <v>738</v>
      </c>
      <c r="W466" s="10"/>
      <c r="Y466" s="70"/>
      <c r="Z466" s="70"/>
      <c r="AA466" s="70"/>
      <c r="AB466" s="70"/>
      <c r="AC466" s="70"/>
      <c r="AD466" s="70"/>
      <c r="AE466" s="2">
        <f>AC466*AD466</f>
        <v>0</v>
      </c>
      <c r="AF466" s="2" t="e">
        <f>Z466/Y466</f>
        <v>#DIV/0!</v>
      </c>
      <c r="AG466" s="2" t="e">
        <f>AA466/Z466</f>
        <v>#DIV/0!</v>
      </c>
      <c r="AH466" s="2" t="e">
        <f>AB466/AA466</f>
        <v>#DIV/0!</v>
      </c>
    </row>
    <row r="467" spans="1:34">
      <c r="A467" s="96" t="s">
        <v>461</v>
      </c>
      <c r="B467" s="96" t="s">
        <v>462</v>
      </c>
      <c r="C467" s="41">
        <v>46180</v>
      </c>
      <c r="D467" s="42">
        <v>0.75694444444444442</v>
      </c>
      <c r="F467" s="8" t="s">
        <v>459</v>
      </c>
      <c r="G467" s="2">
        <v>1</v>
      </c>
      <c r="I467" s="126">
        <v>120</v>
      </c>
      <c r="J467" s="2" t="s">
        <v>766</v>
      </c>
      <c r="K467" s="109" t="s">
        <v>602</v>
      </c>
      <c r="L467" s="194">
        <v>20000</v>
      </c>
      <c r="M467" s="69">
        <v>20</v>
      </c>
      <c r="N467" s="39" t="s">
        <v>48</v>
      </c>
      <c r="O467" s="39" t="s">
        <v>465</v>
      </c>
      <c r="P467" s="63">
        <v>10000</v>
      </c>
      <c r="Q467" s="2">
        <v>24</v>
      </c>
      <c r="R467" s="15">
        <f>Q467/I467</f>
        <v>0.2</v>
      </c>
      <c r="S467" s="149" t="s">
        <v>110</v>
      </c>
      <c r="T467" s="149"/>
      <c r="U467" s="109" t="s">
        <v>767</v>
      </c>
      <c r="V467" s="205" t="s">
        <v>735</v>
      </c>
      <c r="W467" s="10"/>
      <c r="AE467" s="2">
        <f>AC467*AD467</f>
        <v>0</v>
      </c>
      <c r="AF467" s="2" t="e">
        <f>Z467/Y467</f>
        <v>#DIV/0!</v>
      </c>
      <c r="AG467" s="2" t="e">
        <f>AA467/Z467</f>
        <v>#DIV/0!</v>
      </c>
      <c r="AH467" s="2" t="e">
        <f>AB467/AA467</f>
        <v>#DIV/0!</v>
      </c>
    </row>
    <row r="468" spans="1:34" s="73" customFormat="1">
      <c r="A468" s="95" t="s">
        <v>447</v>
      </c>
      <c r="B468" s="95" t="s">
        <v>448</v>
      </c>
      <c r="C468" s="190">
        <v>46180</v>
      </c>
      <c r="D468" s="42">
        <v>0.79166666666666663</v>
      </c>
      <c r="E468" s="193"/>
      <c r="F468" s="8" t="s">
        <v>403</v>
      </c>
      <c r="G468" s="2">
        <v>1</v>
      </c>
      <c r="H468" s="2">
        <v>9</v>
      </c>
      <c r="I468" s="126">
        <v>300</v>
      </c>
      <c r="J468" s="2" t="s">
        <v>766</v>
      </c>
      <c r="K468" s="109" t="s">
        <v>602</v>
      </c>
      <c r="L468" s="194">
        <v>25000</v>
      </c>
      <c r="M468" s="194">
        <v>25</v>
      </c>
      <c r="N468" s="39" t="s">
        <v>48</v>
      </c>
      <c r="O468" s="39" t="s">
        <v>49</v>
      </c>
      <c r="P468" s="212" t="s">
        <v>834</v>
      </c>
      <c r="Q468" s="19">
        <v>50</v>
      </c>
      <c r="R468" s="15">
        <f>Q468/I468</f>
        <v>0.16666666666666666</v>
      </c>
      <c r="S468" s="5">
        <f>($AC468*$AD468)/(($Z468/$Y468)+($AA468/$Z468)+($AB468/$AA468))</f>
        <v>37.5</v>
      </c>
      <c r="T468" s="5"/>
      <c r="U468" s="109" t="s">
        <v>767</v>
      </c>
      <c r="V468" s="10" t="s">
        <v>741</v>
      </c>
      <c r="W468" s="10"/>
      <c r="X468" s="2"/>
      <c r="Y468" s="2">
        <v>2.5</v>
      </c>
      <c r="Z468" s="2">
        <v>7.5</v>
      </c>
      <c r="AA468" s="2">
        <v>25</v>
      </c>
      <c r="AB468" s="2">
        <v>75</v>
      </c>
      <c r="AC468" s="2">
        <v>14</v>
      </c>
      <c r="AD468" s="2">
        <v>25</v>
      </c>
      <c r="AE468" s="2">
        <f>AC468*AD468</f>
        <v>350</v>
      </c>
      <c r="AF468" s="2">
        <f>Z468/Y468</f>
        <v>3</v>
      </c>
      <c r="AG468" s="2">
        <f>AA468/Z468</f>
        <v>3.3333333333333335</v>
      </c>
      <c r="AH468" s="2">
        <f>AB468/AA468</f>
        <v>3</v>
      </c>
    </row>
    <row r="469" spans="1:34">
      <c r="A469" s="103" t="s">
        <v>539</v>
      </c>
      <c r="B469" s="103" t="s">
        <v>540</v>
      </c>
      <c r="C469" s="191">
        <v>46180</v>
      </c>
      <c r="D469" s="42">
        <v>0.79166666666666663</v>
      </c>
      <c r="E469" s="8">
        <v>20</v>
      </c>
      <c r="F469" s="63" t="s">
        <v>550</v>
      </c>
      <c r="G469" s="2">
        <v>1</v>
      </c>
      <c r="H469" s="2">
        <v>9</v>
      </c>
      <c r="I469" s="126">
        <v>170</v>
      </c>
      <c r="J469" s="179" t="s">
        <v>766</v>
      </c>
      <c r="K469" s="179" t="s">
        <v>815</v>
      </c>
      <c r="L469" s="92">
        <v>40000</v>
      </c>
      <c r="M469" s="69">
        <v>15</v>
      </c>
      <c r="N469" s="39" t="s">
        <v>48</v>
      </c>
      <c r="O469" s="39" t="s">
        <v>49</v>
      </c>
      <c r="P469" s="212" t="s">
        <v>831</v>
      </c>
      <c r="Q469" s="19">
        <v>50</v>
      </c>
      <c r="R469" s="15">
        <f>Q469/I469</f>
        <v>0.29411764705882354</v>
      </c>
      <c r="S469" s="5">
        <f>($AC469*$AD469)/(($Z469/$Y469)+($AA469/$Z469)+($AB469/$AA469))</f>
        <v>20.930232558139537</v>
      </c>
      <c r="U469" s="179" t="s">
        <v>129</v>
      </c>
      <c r="V469" s="71" t="s">
        <v>1395</v>
      </c>
      <c r="W469" s="182" t="s">
        <v>1391</v>
      </c>
      <c r="Y469" s="2">
        <v>4</v>
      </c>
      <c r="Z469" s="2">
        <v>8</v>
      </c>
      <c r="AA469" s="2">
        <v>30</v>
      </c>
      <c r="AB469" s="2">
        <v>150</v>
      </c>
      <c r="AC469" s="2">
        <v>15</v>
      </c>
      <c r="AD469" s="2">
        <v>15</v>
      </c>
      <c r="AE469" s="2">
        <f>AC469*AD469</f>
        <v>225</v>
      </c>
      <c r="AF469" s="2">
        <f>Z469/Y469</f>
        <v>2</v>
      </c>
      <c r="AG469" s="2">
        <f>AA469/Z469</f>
        <v>3.75</v>
      </c>
      <c r="AH469" s="2">
        <f>AB469/AA469</f>
        <v>5</v>
      </c>
    </row>
    <row r="470" spans="1:34">
      <c r="A470" s="165" t="s">
        <v>1383</v>
      </c>
      <c r="B470" s="39" t="s">
        <v>63</v>
      </c>
      <c r="C470" s="41">
        <v>46180</v>
      </c>
      <c r="D470" s="144">
        <v>0.79166666666666663</v>
      </c>
      <c r="F470" s="8" t="s">
        <v>917</v>
      </c>
      <c r="G470" s="2">
        <v>1</v>
      </c>
      <c r="H470" s="2">
        <v>9</v>
      </c>
      <c r="I470" s="81">
        <v>585</v>
      </c>
      <c r="J470" s="2" t="s">
        <v>766</v>
      </c>
      <c r="K470" s="88" t="s">
        <v>800</v>
      </c>
      <c r="L470" s="92">
        <v>10000</v>
      </c>
      <c r="M470" s="69">
        <v>20</v>
      </c>
      <c r="N470" s="132" t="s">
        <v>821</v>
      </c>
      <c r="O470" s="39" t="s">
        <v>49</v>
      </c>
      <c r="P470" s="210"/>
      <c r="Q470" s="19">
        <v>89</v>
      </c>
      <c r="R470" s="59">
        <f>Q470/I470</f>
        <v>0.15213675213675212</v>
      </c>
      <c r="S470" s="5">
        <v>29</v>
      </c>
      <c r="U470" s="109" t="s">
        <v>767</v>
      </c>
      <c r="V470" s="83" t="s">
        <v>362</v>
      </c>
      <c r="W470" s="194" t="s">
        <v>368</v>
      </c>
      <c r="Y470" s="175"/>
      <c r="Z470" s="175"/>
      <c r="AA470" s="175"/>
      <c r="AB470" s="175"/>
      <c r="AC470" s="175"/>
      <c r="AD470" s="175"/>
      <c r="AE470" s="175"/>
      <c r="AF470" s="175"/>
      <c r="AG470" s="175"/>
      <c r="AH470" s="175"/>
    </row>
    <row r="471" spans="1:34">
      <c r="A471" s="165" t="s">
        <v>1383</v>
      </c>
      <c r="B471" s="72" t="s">
        <v>63</v>
      </c>
      <c r="C471" s="77">
        <v>46180</v>
      </c>
      <c r="D471" s="144">
        <v>0.83333333333333337</v>
      </c>
      <c r="E471" s="138"/>
      <c r="F471" s="8" t="s">
        <v>1023</v>
      </c>
      <c r="G471" s="73">
        <v>1</v>
      </c>
      <c r="H471" s="73">
        <v>9</v>
      </c>
      <c r="I471" s="78">
        <v>200</v>
      </c>
      <c r="J471" s="2" t="s">
        <v>766</v>
      </c>
      <c r="K471" s="88" t="s">
        <v>806</v>
      </c>
      <c r="L471" s="154">
        <v>20000</v>
      </c>
      <c r="M471" s="79">
        <v>20</v>
      </c>
      <c r="N471" s="39" t="s">
        <v>817</v>
      </c>
      <c r="O471" s="39" t="s">
        <v>49</v>
      </c>
      <c r="P471" s="235"/>
      <c r="Q471" s="74">
        <v>45</v>
      </c>
      <c r="R471" s="75">
        <f>Q471/I471</f>
        <v>0.22500000000000001</v>
      </c>
      <c r="S471" s="121">
        <v>23</v>
      </c>
      <c r="T471" s="121"/>
      <c r="U471" s="109" t="s">
        <v>129</v>
      </c>
      <c r="V471" s="80" t="s">
        <v>360</v>
      </c>
      <c r="W471" s="79"/>
      <c r="Y471" s="175"/>
      <c r="Z471" s="175"/>
      <c r="AA471" s="175"/>
      <c r="AB471" s="175"/>
      <c r="AC471" s="175"/>
      <c r="AD471" s="175"/>
      <c r="AE471" s="175"/>
      <c r="AF471" s="175"/>
      <c r="AG471" s="175"/>
      <c r="AH471" s="175"/>
    </row>
    <row r="472" spans="1:34">
      <c r="A472" s="103" t="s">
        <v>539</v>
      </c>
      <c r="B472" s="103" t="s">
        <v>540</v>
      </c>
      <c r="C472" s="191">
        <v>46180</v>
      </c>
      <c r="D472" s="42">
        <v>0.89583333333333337</v>
      </c>
      <c r="E472" s="8">
        <v>21</v>
      </c>
      <c r="F472" s="63" t="s">
        <v>563</v>
      </c>
      <c r="G472" s="2">
        <v>1</v>
      </c>
      <c r="H472" s="2">
        <v>9</v>
      </c>
      <c r="I472" s="126">
        <v>140</v>
      </c>
      <c r="J472" s="179" t="s">
        <v>766</v>
      </c>
      <c r="K472" s="179" t="s">
        <v>603</v>
      </c>
      <c r="L472" s="92">
        <v>25000</v>
      </c>
      <c r="M472" s="69">
        <v>12</v>
      </c>
      <c r="N472" s="39" t="s">
        <v>48</v>
      </c>
      <c r="O472" s="39" t="s">
        <v>49</v>
      </c>
      <c r="P472" s="135" t="s">
        <v>826</v>
      </c>
      <c r="Q472" s="19">
        <v>38</v>
      </c>
      <c r="R472" s="15">
        <f>Q472/I472</f>
        <v>0.27142857142857141</v>
      </c>
      <c r="S472" s="5">
        <f>($AC472*$AD472)/(($Z472/$Y472)+($AA472/$Z472)+($AB472/$AA472))</f>
        <v>10.153846153846153</v>
      </c>
      <c r="U472" s="109" t="s">
        <v>585</v>
      </c>
      <c r="V472" s="71" t="s">
        <v>1395</v>
      </c>
      <c r="W472" s="182" t="s">
        <v>1396</v>
      </c>
      <c r="Y472" s="2">
        <v>5</v>
      </c>
      <c r="Z472" s="2">
        <v>20</v>
      </c>
      <c r="AA472" s="2">
        <v>100</v>
      </c>
      <c r="AB472" s="2">
        <v>400</v>
      </c>
      <c r="AC472" s="2">
        <v>11</v>
      </c>
      <c r="AD472" s="2">
        <v>12</v>
      </c>
      <c r="AE472" s="2">
        <f>AC472*AD472</f>
        <v>132</v>
      </c>
      <c r="AF472" s="2">
        <f>Z472/Y472</f>
        <v>4</v>
      </c>
      <c r="AG472" s="2">
        <f>AA472/Z472</f>
        <v>5</v>
      </c>
      <c r="AH472" s="2">
        <f>AB472/AA472</f>
        <v>4</v>
      </c>
    </row>
    <row r="473" spans="1:34">
      <c r="A473" s="165" t="s">
        <v>1383</v>
      </c>
      <c r="B473" s="39" t="s">
        <v>63</v>
      </c>
      <c r="C473" s="192">
        <v>46180</v>
      </c>
      <c r="D473" s="144">
        <v>0.91666666666666663</v>
      </c>
      <c r="F473" s="8" t="s">
        <v>909</v>
      </c>
      <c r="G473" s="2">
        <v>1</v>
      </c>
      <c r="H473" s="2">
        <v>9</v>
      </c>
      <c r="I473" s="45">
        <v>135</v>
      </c>
      <c r="J473" s="2" t="s">
        <v>766</v>
      </c>
      <c r="K473" s="88" t="s">
        <v>813</v>
      </c>
      <c r="L473" s="92">
        <v>10000</v>
      </c>
      <c r="M473" s="69">
        <v>15</v>
      </c>
      <c r="N473" s="132" t="s">
        <v>821</v>
      </c>
      <c r="O473" s="39" t="s">
        <v>49</v>
      </c>
      <c r="P473" s="210"/>
      <c r="Q473" s="19">
        <v>35</v>
      </c>
      <c r="R473" s="15">
        <f>Q473/I473</f>
        <v>0.25925925925925924</v>
      </c>
      <c r="S473" s="5">
        <v>22</v>
      </c>
      <c r="U473" s="109" t="s">
        <v>767</v>
      </c>
      <c r="V473" s="71" t="s">
        <v>362</v>
      </c>
      <c r="W473" s="194" t="s">
        <v>369</v>
      </c>
      <c r="Y473" s="175"/>
      <c r="Z473" s="175"/>
      <c r="AA473" s="175"/>
      <c r="AB473" s="175"/>
      <c r="AC473" s="175"/>
      <c r="AD473" s="175"/>
      <c r="AE473" s="175"/>
      <c r="AF473" s="175"/>
      <c r="AG473" s="175"/>
      <c r="AH473" s="175"/>
    </row>
    <row r="474" spans="1:34">
      <c r="A474" s="96" t="s">
        <v>461</v>
      </c>
      <c r="B474" s="96" t="s">
        <v>462</v>
      </c>
      <c r="C474" s="192">
        <v>46180</v>
      </c>
      <c r="D474" s="42">
        <v>0.92361111111111116</v>
      </c>
      <c r="F474" s="8" t="s">
        <v>456</v>
      </c>
      <c r="G474" s="2">
        <v>1</v>
      </c>
      <c r="I474" s="126">
        <v>120</v>
      </c>
      <c r="J474" s="2" t="s">
        <v>766</v>
      </c>
      <c r="K474" s="109" t="s">
        <v>737</v>
      </c>
      <c r="L474" s="194">
        <v>20000</v>
      </c>
      <c r="M474" s="69">
        <v>15</v>
      </c>
      <c r="N474" s="39" t="s">
        <v>48</v>
      </c>
      <c r="O474" s="39" t="s">
        <v>49</v>
      </c>
      <c r="P474" s="135" t="s">
        <v>827</v>
      </c>
      <c r="Q474" s="19">
        <v>24</v>
      </c>
      <c r="R474" s="15">
        <f>Q474/I474</f>
        <v>0.2</v>
      </c>
      <c r="S474" s="5">
        <f>($AC474*$AD474)/(($Z474/$Y474)+($AA474/$Z474)+($AB474/$AA474))</f>
        <v>25.161290322580644</v>
      </c>
      <c r="U474" s="109" t="s">
        <v>463</v>
      </c>
      <c r="V474" s="2" t="s">
        <v>735</v>
      </c>
      <c r="W474" s="10" t="s">
        <v>464</v>
      </c>
      <c r="Y474" s="2">
        <v>2.5</v>
      </c>
      <c r="Z474" s="2">
        <v>7.5</v>
      </c>
      <c r="AA474" s="2">
        <v>30</v>
      </c>
      <c r="AB474" s="2">
        <v>100</v>
      </c>
      <c r="AC474" s="2">
        <v>13</v>
      </c>
      <c r="AD474" s="2">
        <v>20</v>
      </c>
      <c r="AE474" s="2">
        <f>AC474*AD474</f>
        <v>260</v>
      </c>
      <c r="AF474" s="2">
        <f>Z474/Y474</f>
        <v>3</v>
      </c>
      <c r="AG474" s="2">
        <f>AA474/Z474</f>
        <v>4</v>
      </c>
      <c r="AH474" s="2">
        <f>AB474/AA474</f>
        <v>3.3333333333333335</v>
      </c>
    </row>
    <row r="475" spans="1:34">
      <c r="A475" s="165" t="s">
        <v>1383</v>
      </c>
      <c r="B475" s="36" t="s">
        <v>63</v>
      </c>
      <c r="C475" s="192">
        <v>46180</v>
      </c>
      <c r="D475" s="144" t="s">
        <v>117</v>
      </c>
      <c r="E475" s="8">
        <v>25</v>
      </c>
      <c r="F475" s="8" t="s">
        <v>949</v>
      </c>
      <c r="G475" s="2">
        <v>2</v>
      </c>
      <c r="H475" s="2">
        <v>9</v>
      </c>
      <c r="I475" s="45">
        <v>500</v>
      </c>
      <c r="J475" s="2" t="s">
        <v>110</v>
      </c>
      <c r="K475" s="109" t="s">
        <v>815</v>
      </c>
      <c r="L475" s="92">
        <v>25000</v>
      </c>
      <c r="M475" s="69">
        <v>30</v>
      </c>
      <c r="N475" s="39" t="s">
        <v>48</v>
      </c>
      <c r="O475" s="39" t="s">
        <v>49</v>
      </c>
      <c r="P475" s="210"/>
      <c r="Q475" s="19">
        <f>R475*I475</f>
        <v>85</v>
      </c>
      <c r="R475" s="15">
        <v>0.17</v>
      </c>
      <c r="S475" s="5">
        <f>($AC475*$AD475)/(($Z475/$Y475)+($AA475/$Z475)+($AB475/$AA475))</f>
        <v>70.434782608695656</v>
      </c>
      <c r="U475" s="109" t="s">
        <v>853</v>
      </c>
      <c r="V475" s="2" t="s">
        <v>121</v>
      </c>
      <c r="W475" s="10"/>
      <c r="Y475" s="2">
        <v>1.5</v>
      </c>
      <c r="Z475" s="2">
        <v>4</v>
      </c>
      <c r="AA475" s="2">
        <v>10</v>
      </c>
      <c r="AB475" s="2">
        <v>25</v>
      </c>
      <c r="AC475" s="2">
        <v>18</v>
      </c>
      <c r="AD475" s="2">
        <v>30</v>
      </c>
      <c r="AE475" s="2">
        <f>AC475*AD475</f>
        <v>540</v>
      </c>
      <c r="AF475" s="2">
        <f>Z475/Y475</f>
        <v>2.6666666666666665</v>
      </c>
      <c r="AG475" s="2">
        <f>AA475/Z475</f>
        <v>2.5</v>
      </c>
      <c r="AH475" s="2">
        <f>AB475/AA475</f>
        <v>2.5</v>
      </c>
    </row>
    <row r="476" spans="1:34">
      <c r="A476" s="165" t="s">
        <v>1383</v>
      </c>
      <c r="B476" s="36" t="s">
        <v>63</v>
      </c>
      <c r="C476" s="192">
        <v>46180</v>
      </c>
      <c r="D476" s="144" t="s">
        <v>115</v>
      </c>
      <c r="E476" s="8">
        <v>24</v>
      </c>
      <c r="F476" s="8" t="s">
        <v>1170</v>
      </c>
      <c r="G476" s="2">
        <v>3</v>
      </c>
      <c r="H476" s="2">
        <v>6</v>
      </c>
      <c r="I476" s="45">
        <v>25000</v>
      </c>
      <c r="J476" s="2" t="s">
        <v>760</v>
      </c>
      <c r="K476" s="109" t="s">
        <v>598</v>
      </c>
      <c r="L476" s="92">
        <v>150000</v>
      </c>
      <c r="M476" s="69">
        <v>60</v>
      </c>
      <c r="N476" s="39" t="s">
        <v>48</v>
      </c>
      <c r="O476" s="39" t="s">
        <v>49</v>
      </c>
      <c r="P476" s="210"/>
      <c r="Q476" s="19">
        <f>R476*I476</f>
        <v>1500</v>
      </c>
      <c r="R476" s="15">
        <v>0.06</v>
      </c>
      <c r="S476" s="5">
        <f>($AC476*$AD476)/(($Z476/$Y476)+($AA476/$Z476)+($AB476/$AA476))</f>
        <v>136.46655231560891</v>
      </c>
      <c r="U476" s="109" t="s">
        <v>375</v>
      </c>
      <c r="V476" s="10" t="s">
        <v>121</v>
      </c>
      <c r="W476" s="10"/>
      <c r="Y476" s="2">
        <v>13</v>
      </c>
      <c r="Z476" s="2">
        <v>30</v>
      </c>
      <c r="AA476" s="2">
        <v>75</v>
      </c>
      <c r="AB476" s="2">
        <v>200</v>
      </c>
      <c r="AC476" s="2">
        <v>17</v>
      </c>
      <c r="AD476" s="2">
        <v>60</v>
      </c>
      <c r="AE476" s="2">
        <f>AC476*AD476</f>
        <v>1020</v>
      </c>
      <c r="AF476" s="2">
        <f>Z476/Y476</f>
        <v>2.3076923076923075</v>
      </c>
      <c r="AG476" s="2">
        <f>AA476/Z476</f>
        <v>2.5</v>
      </c>
      <c r="AH476" s="2">
        <f>AB476/AA476</f>
        <v>2.6666666666666665</v>
      </c>
    </row>
    <row r="477" spans="1:34">
      <c r="A477" s="165" t="s">
        <v>1383</v>
      </c>
      <c r="B477" s="36" t="s">
        <v>63</v>
      </c>
      <c r="C477" s="41">
        <v>46180</v>
      </c>
      <c r="D477" s="144" t="s">
        <v>115</v>
      </c>
      <c r="E477" s="8">
        <v>26</v>
      </c>
      <c r="F477" s="8" t="s">
        <v>950</v>
      </c>
      <c r="G477" s="2">
        <v>3</v>
      </c>
      <c r="H477" s="2">
        <v>9</v>
      </c>
      <c r="I477" s="45">
        <v>2000</v>
      </c>
      <c r="J477" s="2" t="s">
        <v>760</v>
      </c>
      <c r="K477" s="109" t="s">
        <v>598</v>
      </c>
      <c r="L477" s="92">
        <v>30000</v>
      </c>
      <c r="M477" s="69" t="s">
        <v>97</v>
      </c>
      <c r="N477" s="39" t="s">
        <v>48</v>
      </c>
      <c r="O477" s="39" t="s">
        <v>49</v>
      </c>
      <c r="P477" s="210"/>
      <c r="Q477" s="19">
        <f>R477*I477</f>
        <v>220</v>
      </c>
      <c r="R477" s="15">
        <v>0.11</v>
      </c>
      <c r="S477" s="5">
        <f>($AC477*$AD477)/(($Z477/$Y477)+($AA477/$Z477)+($AB477/$AA477))</f>
        <v>99.130434782608702</v>
      </c>
      <c r="U477" s="109" t="s">
        <v>767</v>
      </c>
      <c r="V477" s="2" t="s">
        <v>121</v>
      </c>
      <c r="W477" s="10"/>
      <c r="X477" s="70"/>
      <c r="Y477" s="2">
        <v>1.5</v>
      </c>
      <c r="Z477" s="2">
        <v>4</v>
      </c>
      <c r="AA477" s="2">
        <v>10</v>
      </c>
      <c r="AB477" s="2">
        <v>25</v>
      </c>
      <c r="AC477" s="2">
        <v>19</v>
      </c>
      <c r="AD477" s="2">
        <v>40</v>
      </c>
      <c r="AE477" s="2">
        <f>AC477*AD477</f>
        <v>760</v>
      </c>
      <c r="AF477" s="2">
        <f>Z477/Y477</f>
        <v>2.6666666666666665</v>
      </c>
      <c r="AG477" s="2">
        <f>AA477/Z477</f>
        <v>2.5</v>
      </c>
      <c r="AH477" s="2">
        <f>AB477/AA477</f>
        <v>2.5</v>
      </c>
    </row>
    <row r="478" spans="1:34">
      <c r="A478" s="165" t="s">
        <v>1383</v>
      </c>
      <c r="B478" s="36" t="s">
        <v>63</v>
      </c>
      <c r="C478" s="41">
        <v>46180</v>
      </c>
      <c r="D478" s="144" t="s">
        <v>116</v>
      </c>
      <c r="E478" s="8">
        <v>27</v>
      </c>
      <c r="F478" s="8" t="s">
        <v>163</v>
      </c>
      <c r="G478" s="2">
        <v>3</v>
      </c>
      <c r="H478" s="2">
        <v>7</v>
      </c>
      <c r="I478" s="45">
        <v>10000</v>
      </c>
      <c r="J478" s="2" t="s">
        <v>110</v>
      </c>
      <c r="K478" s="109" t="s">
        <v>815</v>
      </c>
      <c r="L478" s="92">
        <v>60000</v>
      </c>
      <c r="M478" s="69" t="s">
        <v>111</v>
      </c>
      <c r="N478" s="39" t="s">
        <v>48</v>
      </c>
      <c r="O478" s="39" t="s">
        <v>393</v>
      </c>
      <c r="P478" s="213"/>
      <c r="Q478" s="38">
        <f>R478*I478</f>
        <v>700.00000000000011</v>
      </c>
      <c r="R478" s="15">
        <v>7.0000000000000007E-2</v>
      </c>
      <c r="S478" s="149" t="s">
        <v>110</v>
      </c>
      <c r="T478" s="149"/>
      <c r="U478" s="109" t="s">
        <v>767</v>
      </c>
      <c r="V478" s="205" t="s">
        <v>121</v>
      </c>
      <c r="W478" s="10"/>
      <c r="AE478" s="2" t="e">
        <f>AD478*#REF!</f>
        <v>#REF!</v>
      </c>
      <c r="AF478" s="2" t="e">
        <f>Z478/Y478</f>
        <v>#DIV/0!</v>
      </c>
      <c r="AG478" s="2" t="e">
        <f>AA478/Z478</f>
        <v>#DIV/0!</v>
      </c>
      <c r="AH478" s="2" t="e">
        <f>AC478/AA478</f>
        <v>#DIV/0!</v>
      </c>
    </row>
    <row r="479" spans="1:34">
      <c r="A479" s="165" t="s">
        <v>1383</v>
      </c>
      <c r="B479" s="36" t="s">
        <v>63</v>
      </c>
      <c r="C479" s="41">
        <v>46180</v>
      </c>
      <c r="D479" s="144" t="s">
        <v>876</v>
      </c>
      <c r="E479" s="14">
        <v>19</v>
      </c>
      <c r="F479" s="8" t="s">
        <v>1108</v>
      </c>
      <c r="G479" s="2">
        <v>4</v>
      </c>
      <c r="H479" s="2">
        <v>8</v>
      </c>
      <c r="I479" s="45">
        <v>25000</v>
      </c>
      <c r="J479" s="2" t="s">
        <v>760</v>
      </c>
      <c r="K479" s="109" t="s">
        <v>598</v>
      </c>
      <c r="L479" s="92">
        <v>150000</v>
      </c>
      <c r="M479" s="69">
        <v>60</v>
      </c>
      <c r="N479" s="39" t="s">
        <v>48</v>
      </c>
      <c r="O479" s="39" t="s">
        <v>49</v>
      </c>
      <c r="P479" s="210"/>
      <c r="Q479" s="19">
        <f>R479*I479</f>
        <v>1500</v>
      </c>
      <c r="R479" s="15">
        <v>0.06</v>
      </c>
      <c r="S479" s="5">
        <f>($AC479*$AD479)/(($Z479/$Y479)+($AA479/$Z479)+($AB479/$AA479))</f>
        <v>136.46655231560891</v>
      </c>
      <c r="U479" s="109" t="s">
        <v>767</v>
      </c>
      <c r="V479" s="205" t="s">
        <v>121</v>
      </c>
      <c r="W479" s="10"/>
      <c r="Y479" s="2">
        <v>13</v>
      </c>
      <c r="Z479" s="2">
        <v>30</v>
      </c>
      <c r="AA479" s="2">
        <v>75</v>
      </c>
      <c r="AB479" s="2">
        <v>200</v>
      </c>
      <c r="AC479" s="2">
        <v>17</v>
      </c>
      <c r="AD479" s="2">
        <v>60</v>
      </c>
      <c r="AE479" s="2">
        <f>AC479*AD479</f>
        <v>1020</v>
      </c>
      <c r="AF479" s="2">
        <f>Z479/Y479</f>
        <v>2.3076923076923075</v>
      </c>
      <c r="AG479" s="2">
        <f>AA479/Z479</f>
        <v>2.5</v>
      </c>
      <c r="AH479" s="2">
        <f>AB479/AA479</f>
        <v>2.6666666666666665</v>
      </c>
    </row>
    <row r="480" spans="1:34">
      <c r="A480" s="165" t="s">
        <v>1383</v>
      </c>
      <c r="B480" s="36" t="s">
        <v>63</v>
      </c>
      <c r="C480" s="41">
        <v>46180</v>
      </c>
      <c r="D480" s="144" t="s">
        <v>876</v>
      </c>
      <c r="E480" s="8">
        <v>23</v>
      </c>
      <c r="F480" s="8" t="s">
        <v>1107</v>
      </c>
      <c r="G480" s="2">
        <v>3</v>
      </c>
      <c r="H480" s="2">
        <v>9</v>
      </c>
      <c r="I480" s="45">
        <v>10000</v>
      </c>
      <c r="J480" s="2" t="s">
        <v>110</v>
      </c>
      <c r="K480" s="109" t="s">
        <v>816</v>
      </c>
      <c r="L480" s="92">
        <v>60000</v>
      </c>
      <c r="M480" s="69" t="s">
        <v>111</v>
      </c>
      <c r="N480" s="39" t="s">
        <v>48</v>
      </c>
      <c r="O480" s="39" t="s">
        <v>371</v>
      </c>
      <c r="P480" s="213"/>
      <c r="Q480" s="38">
        <f>R480*I480</f>
        <v>700.00000000000011</v>
      </c>
      <c r="R480" s="15">
        <v>7.0000000000000007E-2</v>
      </c>
      <c r="S480" s="149" t="s">
        <v>110</v>
      </c>
      <c r="T480" s="149"/>
      <c r="U480" s="109" t="s">
        <v>767</v>
      </c>
      <c r="V480" s="205" t="s">
        <v>121</v>
      </c>
      <c r="W480" s="10"/>
      <c r="X480" s="70"/>
      <c r="AE480" s="2" t="e">
        <f>AD480*#REF!</f>
        <v>#REF!</v>
      </c>
      <c r="AF480" s="2" t="e">
        <f>Z480/Y480</f>
        <v>#DIV/0!</v>
      </c>
      <c r="AG480" s="2" t="e">
        <f>AA480/Z480</f>
        <v>#DIV/0!</v>
      </c>
      <c r="AH480" s="2" t="e">
        <f>AC480/AA480</f>
        <v>#DIV/0!</v>
      </c>
    </row>
    <row r="481" spans="1:34">
      <c r="A481" s="96" t="s">
        <v>461</v>
      </c>
      <c r="B481" s="96" t="s">
        <v>462</v>
      </c>
      <c r="C481" s="41">
        <v>46181</v>
      </c>
      <c r="D481" s="42">
        <v>0.4236111111111111</v>
      </c>
      <c r="E481" s="193"/>
      <c r="F481" s="8" t="s">
        <v>467</v>
      </c>
      <c r="G481" s="2">
        <v>2</v>
      </c>
      <c r="I481" s="126">
        <v>300</v>
      </c>
      <c r="J481" s="2" t="s">
        <v>766</v>
      </c>
      <c r="K481" s="109" t="s">
        <v>598</v>
      </c>
      <c r="L481" s="194">
        <v>30000</v>
      </c>
      <c r="M481" s="69">
        <v>30</v>
      </c>
      <c r="N481" s="39" t="s">
        <v>48</v>
      </c>
      <c r="O481" s="39" t="s">
        <v>49</v>
      </c>
      <c r="P481" s="135" t="s">
        <v>842</v>
      </c>
      <c r="Q481" s="19">
        <v>65</v>
      </c>
      <c r="R481" s="15">
        <f>Q481/I481</f>
        <v>0.21666666666666667</v>
      </c>
      <c r="S481" s="5">
        <f>($AC481*$AD481)/(($Z481/$Y481)+($AA481/$Z481)+($AB481/$AA481))</f>
        <v>53.333333333333336</v>
      </c>
      <c r="U481" s="109" t="s">
        <v>767</v>
      </c>
      <c r="V481" s="205" t="s">
        <v>735</v>
      </c>
      <c r="W481" s="10"/>
      <c r="Y481" s="2">
        <v>2</v>
      </c>
      <c r="Z481" s="2">
        <v>5</v>
      </c>
      <c r="AA481" s="2">
        <v>20</v>
      </c>
      <c r="AB481" s="2">
        <v>50</v>
      </c>
      <c r="AC481" s="2">
        <v>16</v>
      </c>
      <c r="AD481" s="2">
        <v>30</v>
      </c>
      <c r="AE481" s="2">
        <f>AC481*AD481</f>
        <v>480</v>
      </c>
      <c r="AF481" s="2">
        <f>Z481/Y481</f>
        <v>2.5</v>
      </c>
      <c r="AG481" s="2">
        <f>AA481/Z481</f>
        <v>4</v>
      </c>
      <c r="AH481" s="2">
        <f>AB481/AA481</f>
        <v>2.5</v>
      </c>
    </row>
    <row r="482" spans="1:34">
      <c r="A482" s="68" t="s">
        <v>357</v>
      </c>
      <c r="B482" s="68" t="s">
        <v>358</v>
      </c>
      <c r="C482" s="191">
        <v>46181</v>
      </c>
      <c r="D482" s="42">
        <v>0.4236111111111111</v>
      </c>
      <c r="E482" s="8">
        <v>37</v>
      </c>
      <c r="F482" s="63" t="s">
        <v>305</v>
      </c>
      <c r="G482" s="2">
        <v>2</v>
      </c>
      <c r="H482" s="2">
        <v>9</v>
      </c>
      <c r="I482" s="126">
        <v>1100</v>
      </c>
      <c r="J482" s="2" t="s">
        <v>766</v>
      </c>
      <c r="K482" s="137" t="s">
        <v>601</v>
      </c>
      <c r="L482" s="89">
        <v>40000</v>
      </c>
      <c r="M482" s="202">
        <v>40</v>
      </c>
      <c r="N482" s="39" t="s">
        <v>48</v>
      </c>
      <c r="O482" s="39" t="s">
        <v>49</v>
      </c>
      <c r="P482" s="135" t="s">
        <v>848</v>
      </c>
      <c r="Q482" s="19">
        <v>140</v>
      </c>
      <c r="R482" s="15">
        <f>Q482/I482</f>
        <v>0.12727272727272726</v>
      </c>
      <c r="S482" s="5">
        <f>($AC482*$AD482)/(($Z482/$Y482)+($AA482/$Z482)+($AB482/$AA482))</f>
        <v>76.947040498442377</v>
      </c>
      <c r="U482" s="109" t="s">
        <v>767</v>
      </c>
      <c r="V482" s="2" t="s">
        <v>671</v>
      </c>
      <c r="Y482" s="2">
        <v>2</v>
      </c>
      <c r="Z482" s="2">
        <v>5</v>
      </c>
      <c r="AA482" s="2">
        <v>13</v>
      </c>
      <c r="AB482" s="2">
        <v>30</v>
      </c>
      <c r="AC482" s="2">
        <v>30</v>
      </c>
      <c r="AD482" s="2">
        <v>19</v>
      </c>
      <c r="AE482" s="2">
        <f>AC482*AD482</f>
        <v>570</v>
      </c>
      <c r="AF482" s="2">
        <f>Z482/Y482</f>
        <v>2.5</v>
      </c>
      <c r="AG482" s="2">
        <f>AA482/Z482</f>
        <v>2.6</v>
      </c>
      <c r="AH482" s="2">
        <f>AB482/AA482</f>
        <v>2.3076923076923075</v>
      </c>
    </row>
    <row r="483" spans="1:34">
      <c r="A483" s="95" t="s">
        <v>447</v>
      </c>
      <c r="B483" s="95" t="s">
        <v>448</v>
      </c>
      <c r="C483" s="190">
        <v>46181</v>
      </c>
      <c r="D483" s="42">
        <v>0.45833333333333331</v>
      </c>
      <c r="E483" s="193"/>
      <c r="F483" s="8" t="s">
        <v>433</v>
      </c>
      <c r="G483" s="2">
        <v>1</v>
      </c>
      <c r="H483" s="2">
        <v>9</v>
      </c>
      <c r="I483" s="126">
        <v>1100</v>
      </c>
      <c r="J483" s="2" t="s">
        <v>766</v>
      </c>
      <c r="K483" s="109" t="s">
        <v>602</v>
      </c>
      <c r="L483" s="194">
        <v>30000</v>
      </c>
      <c r="M483" s="194">
        <v>30</v>
      </c>
      <c r="N483" s="39" t="s">
        <v>48</v>
      </c>
      <c r="O483" s="39" t="s">
        <v>49</v>
      </c>
      <c r="P483" s="135" t="s">
        <v>841</v>
      </c>
      <c r="Q483" s="19">
        <v>135</v>
      </c>
      <c r="R483" s="15">
        <f>Q483/I483</f>
        <v>0.12272727272727273</v>
      </c>
      <c r="S483" s="5">
        <f>($AC483*$AD483)/(($Z483/$Y483)+($AA483/$Z483)+($AB483/$AA483))</f>
        <v>72.897196261682254</v>
      </c>
      <c r="U483" s="109" t="s">
        <v>55</v>
      </c>
      <c r="V483" s="2" t="s">
        <v>741</v>
      </c>
      <c r="W483" s="238" t="s">
        <v>752</v>
      </c>
      <c r="Y483" s="2">
        <v>2</v>
      </c>
      <c r="Z483" s="2">
        <v>5</v>
      </c>
      <c r="AA483" s="2">
        <v>13</v>
      </c>
      <c r="AB483" s="2">
        <v>30</v>
      </c>
      <c r="AC483" s="2">
        <v>18</v>
      </c>
      <c r="AD483" s="2">
        <v>30</v>
      </c>
      <c r="AE483" s="2">
        <f>AC483*AD483</f>
        <v>540</v>
      </c>
      <c r="AF483" s="2">
        <f>Z483/Y483</f>
        <v>2.5</v>
      </c>
      <c r="AG483" s="2">
        <f>AA483/Z483</f>
        <v>2.6</v>
      </c>
      <c r="AH483" s="2">
        <f>AB483/AA483</f>
        <v>2.3076923076923075</v>
      </c>
    </row>
    <row r="484" spans="1:34">
      <c r="A484" s="103" t="s">
        <v>539</v>
      </c>
      <c r="B484" s="103" t="s">
        <v>540</v>
      </c>
      <c r="C484" s="191">
        <v>46181</v>
      </c>
      <c r="D484" s="42">
        <v>0.45833333333333331</v>
      </c>
      <c r="E484" s="46">
        <v>22</v>
      </c>
      <c r="F484" s="63" t="s">
        <v>553</v>
      </c>
      <c r="G484" s="2">
        <v>3</v>
      </c>
      <c r="H484" s="2">
        <v>9</v>
      </c>
      <c r="I484" s="133">
        <v>0</v>
      </c>
      <c r="J484" s="2" t="s">
        <v>767</v>
      </c>
      <c r="K484" s="109" t="s">
        <v>767</v>
      </c>
      <c r="L484" s="92"/>
      <c r="M484" s="69"/>
      <c r="N484" s="39" t="s">
        <v>819</v>
      </c>
      <c r="O484" s="39" t="s">
        <v>49</v>
      </c>
      <c r="P484" s="131"/>
      <c r="U484" s="109" t="s">
        <v>854</v>
      </c>
      <c r="V484" s="71"/>
      <c r="W484" s="10"/>
      <c r="AE484" s="2" t="e">
        <f>AD484*#REF!</f>
        <v>#REF!</v>
      </c>
      <c r="AF484" s="2" t="e">
        <f>Z484/Y484</f>
        <v>#DIV/0!</v>
      </c>
      <c r="AG484" s="2" t="e">
        <f>AA484/Z484</f>
        <v>#DIV/0!</v>
      </c>
      <c r="AH484" s="2" t="e">
        <f>AC484/AA484</f>
        <v>#DIV/0!</v>
      </c>
    </row>
    <row r="485" spans="1:34">
      <c r="A485" s="165" t="s">
        <v>1383</v>
      </c>
      <c r="B485" s="36" t="s">
        <v>63</v>
      </c>
      <c r="C485" s="41">
        <v>46181</v>
      </c>
      <c r="D485" s="144">
        <v>0.45833333333333331</v>
      </c>
      <c r="E485" s="8">
        <v>25</v>
      </c>
      <c r="F485" s="8" t="s">
        <v>1289</v>
      </c>
      <c r="G485" s="2">
        <v>2</v>
      </c>
      <c r="H485" s="2">
        <v>9</v>
      </c>
      <c r="I485" s="45">
        <v>500</v>
      </c>
      <c r="J485" s="2" t="s">
        <v>110</v>
      </c>
      <c r="K485" s="109" t="s">
        <v>815</v>
      </c>
      <c r="L485" s="92">
        <v>25000</v>
      </c>
      <c r="M485" s="69">
        <v>30</v>
      </c>
      <c r="N485" s="39" t="s">
        <v>48</v>
      </c>
      <c r="O485" s="39" t="s">
        <v>49</v>
      </c>
      <c r="Q485" s="19">
        <f>R485*I485</f>
        <v>85</v>
      </c>
      <c r="R485" s="15">
        <v>0.17</v>
      </c>
      <c r="S485" s="5">
        <f>($AC485*$AD485)/(($Z485/$Y485)+($AA485/$Z485)+($AB485/$AA485))</f>
        <v>70.434782608695656</v>
      </c>
      <c r="U485" s="109" t="s">
        <v>853</v>
      </c>
      <c r="V485" s="205" t="s">
        <v>121</v>
      </c>
      <c r="W485" s="10"/>
      <c r="Y485" s="2">
        <v>1.5</v>
      </c>
      <c r="Z485" s="2">
        <v>4</v>
      </c>
      <c r="AA485" s="2">
        <v>10</v>
      </c>
      <c r="AB485" s="2">
        <v>25</v>
      </c>
      <c r="AC485" s="2">
        <v>18</v>
      </c>
      <c r="AD485" s="2">
        <v>30</v>
      </c>
      <c r="AE485" s="2">
        <f>AC485*AD485</f>
        <v>540</v>
      </c>
      <c r="AF485" s="2">
        <f>Z485/Y485</f>
        <v>2.6666666666666665</v>
      </c>
      <c r="AG485" s="2">
        <f>AA485/Z485</f>
        <v>2.5</v>
      </c>
      <c r="AH485" s="2">
        <f>AB485/AA485</f>
        <v>2.5</v>
      </c>
    </row>
    <row r="486" spans="1:34">
      <c r="A486" s="165" t="s">
        <v>1383</v>
      </c>
      <c r="B486" s="36" t="s">
        <v>63</v>
      </c>
      <c r="C486" s="41">
        <v>46181</v>
      </c>
      <c r="D486" s="144">
        <v>0.45833333333333331</v>
      </c>
      <c r="E486" s="14">
        <v>18</v>
      </c>
      <c r="F486" s="8" t="s">
        <v>1316</v>
      </c>
      <c r="G486" s="2">
        <v>5</v>
      </c>
      <c r="H486" s="2">
        <v>9</v>
      </c>
      <c r="I486" s="45">
        <v>1500</v>
      </c>
      <c r="J486" s="2" t="s">
        <v>761</v>
      </c>
      <c r="K486" s="109" t="s">
        <v>816</v>
      </c>
      <c r="L486" s="92">
        <v>50000</v>
      </c>
      <c r="M486" s="69">
        <v>60</v>
      </c>
      <c r="N486" s="39" t="s">
        <v>48</v>
      </c>
      <c r="O486" s="39" t="s">
        <v>49</v>
      </c>
      <c r="Q486" s="19">
        <f>R486*I486</f>
        <v>172.5</v>
      </c>
      <c r="R486" s="15">
        <v>0.115</v>
      </c>
      <c r="S486" s="5">
        <f>($AC486*$AD486)/(($Z486/$Y486)+($AA486/$Z486)+($AB486/$AA486))</f>
        <v>161.993769470405</v>
      </c>
      <c r="U486" s="109" t="s">
        <v>767</v>
      </c>
      <c r="V486" s="2" t="s">
        <v>121</v>
      </c>
      <c r="W486" s="10"/>
      <c r="Y486" s="2">
        <v>2</v>
      </c>
      <c r="Z486" s="2">
        <v>5</v>
      </c>
      <c r="AA486" s="2">
        <v>13</v>
      </c>
      <c r="AB486" s="2">
        <v>30</v>
      </c>
      <c r="AC486" s="2">
        <v>20</v>
      </c>
      <c r="AD486" s="2">
        <v>60</v>
      </c>
      <c r="AE486" s="2">
        <f>AC486*AD486</f>
        <v>1200</v>
      </c>
      <c r="AF486" s="2">
        <f>Z486/Y486</f>
        <v>2.5</v>
      </c>
      <c r="AG486" s="2">
        <f>AA486/Z486</f>
        <v>2.6</v>
      </c>
      <c r="AH486" s="2">
        <f>AB486/AA486</f>
        <v>2.3076923076923075</v>
      </c>
    </row>
    <row r="487" spans="1:34">
      <c r="A487" s="102" t="s">
        <v>475</v>
      </c>
      <c r="B487" s="102" t="s">
        <v>476</v>
      </c>
      <c r="C487" s="190">
        <v>46181</v>
      </c>
      <c r="D487" s="42">
        <v>0.45833333333333331</v>
      </c>
      <c r="E487" s="8" t="s">
        <v>489</v>
      </c>
      <c r="F487" s="8" t="s">
        <v>486</v>
      </c>
      <c r="G487" s="2">
        <v>2</v>
      </c>
      <c r="H487" s="2">
        <v>9</v>
      </c>
      <c r="I487" s="126">
        <v>500</v>
      </c>
      <c r="J487" s="2" t="s">
        <v>766</v>
      </c>
      <c r="K487" s="109" t="s">
        <v>601</v>
      </c>
      <c r="L487" s="201">
        <v>30000</v>
      </c>
      <c r="M487" s="203" t="s">
        <v>22</v>
      </c>
      <c r="N487" s="39" t="s">
        <v>48</v>
      </c>
      <c r="O487" s="39" t="s">
        <v>49</v>
      </c>
      <c r="P487" s="135" t="s">
        <v>841</v>
      </c>
      <c r="Q487" s="19">
        <v>80</v>
      </c>
      <c r="R487" s="15">
        <f>Q487/I487</f>
        <v>0.16</v>
      </c>
      <c r="S487" s="5">
        <f>($AC487*$AD487)/(($Z487/$Y487)+($AA487/$Z487)+($AB487/$AA487))</f>
        <v>72.897196261682254</v>
      </c>
      <c r="U487" s="109" t="s">
        <v>855</v>
      </c>
      <c r="V487" s="2" t="s">
        <v>597</v>
      </c>
      <c r="W487" s="241" t="s">
        <v>600</v>
      </c>
      <c r="Y487" s="2">
        <v>2</v>
      </c>
      <c r="Z487" s="2">
        <v>5</v>
      </c>
      <c r="AA487" s="2">
        <v>13</v>
      </c>
      <c r="AB487" s="2">
        <v>30</v>
      </c>
      <c r="AC487" s="2">
        <v>30</v>
      </c>
      <c r="AD487" s="2">
        <v>18</v>
      </c>
      <c r="AE487" s="2">
        <f>AC487*AD487</f>
        <v>540</v>
      </c>
      <c r="AF487" s="2">
        <f>Z487/Y487</f>
        <v>2.5</v>
      </c>
      <c r="AG487" s="2">
        <f>AA487/Z487</f>
        <v>2.6</v>
      </c>
      <c r="AH487" s="2">
        <f>AB487/AA487</f>
        <v>2.3076923076923075</v>
      </c>
    </row>
    <row r="488" spans="1:34">
      <c r="A488" s="52" t="s">
        <v>229</v>
      </c>
      <c r="B488" s="52" t="s">
        <v>230</v>
      </c>
      <c r="C488" s="190">
        <v>46181</v>
      </c>
      <c r="D488" s="42">
        <v>0.45833333333333331</v>
      </c>
      <c r="E488" s="193"/>
      <c r="F488" s="8" t="s">
        <v>242</v>
      </c>
      <c r="G488" s="2">
        <v>1</v>
      </c>
      <c r="I488" s="126">
        <v>200</v>
      </c>
      <c r="J488" s="2" t="s">
        <v>766</v>
      </c>
      <c r="K488" s="88" t="s">
        <v>775</v>
      </c>
      <c r="L488" s="91">
        <v>25000</v>
      </c>
      <c r="M488" s="195" t="s">
        <v>128</v>
      </c>
      <c r="N488" s="39" t="s">
        <v>48</v>
      </c>
      <c r="O488" s="39" t="s">
        <v>49</v>
      </c>
      <c r="P488" s="135" t="s">
        <v>832</v>
      </c>
      <c r="Q488" s="19">
        <v>40</v>
      </c>
      <c r="R488" s="15">
        <f>IF(Q488&gt;0,Q488/I488,"")</f>
        <v>0.2</v>
      </c>
      <c r="S488" s="5">
        <f>($AC488*$AD488)/(($Z488/$Y488)+($AA488/$Z488)+($AB488/$AA488))</f>
        <v>28.333333333333332</v>
      </c>
      <c r="U488" s="109" t="s">
        <v>767</v>
      </c>
      <c r="V488" s="205" t="s">
        <v>719</v>
      </c>
      <c r="W488" s="10"/>
      <c r="Y488" s="2">
        <v>2</v>
      </c>
      <c r="Z488" s="2">
        <v>5</v>
      </c>
      <c r="AA488" s="2">
        <v>20</v>
      </c>
      <c r="AB488" s="2">
        <v>50</v>
      </c>
      <c r="AC488" s="2">
        <v>255</v>
      </c>
      <c r="AD488" s="2">
        <v>1</v>
      </c>
      <c r="AE488" s="2">
        <f>AC488*AD488</f>
        <v>255</v>
      </c>
      <c r="AF488" s="2">
        <f>Z488/Y488</f>
        <v>2.5</v>
      </c>
      <c r="AG488" s="2">
        <f>AA488/Z488</f>
        <v>4</v>
      </c>
      <c r="AH488" s="2">
        <f>AB488/AA488</f>
        <v>2.5</v>
      </c>
    </row>
    <row r="489" spans="1:34">
      <c r="A489" s="52" t="s">
        <v>220</v>
      </c>
      <c r="B489" s="52" t="s">
        <v>221</v>
      </c>
      <c r="C489" s="191">
        <v>46181</v>
      </c>
      <c r="D489" s="42">
        <v>0.45833333333333331</v>
      </c>
      <c r="E489" s="193"/>
      <c r="F489" s="8" t="s">
        <v>1080</v>
      </c>
      <c r="G489" s="2">
        <v>3</v>
      </c>
      <c r="H489" s="2">
        <v>9</v>
      </c>
      <c r="I489" s="126">
        <v>5000</v>
      </c>
      <c r="J489" s="2" t="s">
        <v>766</v>
      </c>
      <c r="K489" s="88" t="s">
        <v>771</v>
      </c>
      <c r="L489" s="91">
        <v>50000</v>
      </c>
      <c r="M489" s="203">
        <v>60</v>
      </c>
      <c r="N489" s="39" t="s">
        <v>48</v>
      </c>
      <c r="O489" s="39" t="s">
        <v>49</v>
      </c>
      <c r="P489" s="135" t="s">
        <v>842</v>
      </c>
      <c r="Q489" s="19">
        <v>350</v>
      </c>
      <c r="R489" s="15">
        <f>Q489/I489</f>
        <v>7.0000000000000007E-2</v>
      </c>
      <c r="S489" s="5">
        <f>($AC489*$AD489)/(($Z489/$Y489)+($AA489/$Z489)+($AB489/$AA489))</f>
        <v>161.993769470405</v>
      </c>
      <c r="U489" s="109" t="s">
        <v>54</v>
      </c>
      <c r="V489" s="205" t="s">
        <v>738</v>
      </c>
      <c r="W489" s="10"/>
      <c r="Y489" s="2">
        <v>2</v>
      </c>
      <c r="Z489" s="2">
        <v>5</v>
      </c>
      <c r="AA489" s="2">
        <v>13</v>
      </c>
      <c r="AB489" s="2">
        <v>30</v>
      </c>
      <c r="AC489" s="2">
        <v>20</v>
      </c>
      <c r="AD489" s="2">
        <v>60</v>
      </c>
      <c r="AE489" s="2">
        <f>AC489*AD489</f>
        <v>1200</v>
      </c>
      <c r="AF489" s="2">
        <f>Z489/Y489</f>
        <v>2.5</v>
      </c>
      <c r="AG489" s="2">
        <f>AA489/Z489</f>
        <v>2.6</v>
      </c>
      <c r="AH489" s="2">
        <f>AB489/AA489</f>
        <v>2.3076923076923075</v>
      </c>
    </row>
    <row r="490" spans="1:34">
      <c r="A490" s="52" t="s">
        <v>220</v>
      </c>
      <c r="B490" s="52" t="s">
        <v>221</v>
      </c>
      <c r="C490" s="51">
        <v>46181</v>
      </c>
      <c r="D490" s="42">
        <v>0.45833333333333331</v>
      </c>
      <c r="E490" s="193"/>
      <c r="F490" s="8" t="s">
        <v>1044</v>
      </c>
      <c r="G490" s="2">
        <v>2</v>
      </c>
      <c r="H490" s="2">
        <v>9</v>
      </c>
      <c r="I490" s="126">
        <v>1600</v>
      </c>
      <c r="J490" s="2" t="s">
        <v>766</v>
      </c>
      <c r="K490" s="88" t="s">
        <v>777</v>
      </c>
      <c r="L490" s="91">
        <v>40000</v>
      </c>
      <c r="M490" s="203" t="s">
        <v>22</v>
      </c>
      <c r="N490" s="39" t="s">
        <v>48</v>
      </c>
      <c r="O490" s="39" t="s">
        <v>49</v>
      </c>
      <c r="P490" s="135" t="s">
        <v>846</v>
      </c>
      <c r="Q490" s="19">
        <v>170</v>
      </c>
      <c r="R490" s="15">
        <f>Q490/I490</f>
        <v>0.10625</v>
      </c>
      <c r="S490" s="5">
        <f>($AC490*$AD490)/(($Z490/$Y490)+($AA490/$Z490)+($AB490/$AA490))</f>
        <v>66.122448979591837</v>
      </c>
      <c r="U490" s="109" t="s">
        <v>767</v>
      </c>
      <c r="V490" s="205" t="s">
        <v>738</v>
      </c>
      <c r="W490" s="10"/>
      <c r="Y490" s="2">
        <v>2</v>
      </c>
      <c r="Z490" s="2">
        <v>5</v>
      </c>
      <c r="AA490" s="2">
        <v>15</v>
      </c>
      <c r="AB490" s="2">
        <v>40</v>
      </c>
      <c r="AC490" s="2">
        <v>18</v>
      </c>
      <c r="AD490" s="2">
        <v>30</v>
      </c>
      <c r="AE490" s="2">
        <f>AC490*AD490</f>
        <v>540</v>
      </c>
      <c r="AF490" s="2">
        <f>Z490/Y490</f>
        <v>2.5</v>
      </c>
      <c r="AG490" s="2">
        <f>AA490/Z490</f>
        <v>3</v>
      </c>
      <c r="AH490" s="2">
        <f>AB490/AA490</f>
        <v>2.6666666666666665</v>
      </c>
    </row>
    <row r="491" spans="1:34">
      <c r="A491" s="52" t="s">
        <v>229</v>
      </c>
      <c r="B491" s="52" t="s">
        <v>230</v>
      </c>
      <c r="C491" s="190">
        <v>46181</v>
      </c>
      <c r="D491" s="42">
        <v>0.5</v>
      </c>
      <c r="F491" s="8" t="s">
        <v>262</v>
      </c>
      <c r="G491" s="2">
        <v>1</v>
      </c>
      <c r="I491" s="45">
        <v>600</v>
      </c>
      <c r="J491" s="2" t="s">
        <v>766</v>
      </c>
      <c r="K491" s="88" t="s">
        <v>788</v>
      </c>
      <c r="L491" s="91">
        <v>40000</v>
      </c>
      <c r="M491" s="195" t="s">
        <v>22</v>
      </c>
      <c r="N491" s="39" t="s">
        <v>48</v>
      </c>
      <c r="O491" s="39" t="s">
        <v>274</v>
      </c>
      <c r="P491" s="19">
        <v>30000</v>
      </c>
      <c r="Q491" s="2">
        <v>85</v>
      </c>
      <c r="R491" s="15">
        <f>IF(Q491&gt;0,Q491/I491,"")</f>
        <v>0.14166666666666666</v>
      </c>
      <c r="S491" s="149" t="s">
        <v>110</v>
      </c>
      <c r="T491" s="149"/>
      <c r="U491" s="109" t="s">
        <v>767</v>
      </c>
      <c r="V491" s="205" t="s">
        <v>719</v>
      </c>
      <c r="W491" s="10"/>
      <c r="AE491" s="2">
        <f>AC491*AD491</f>
        <v>0</v>
      </c>
      <c r="AF491" s="2" t="e">
        <f>Z491/Y491</f>
        <v>#DIV/0!</v>
      </c>
      <c r="AG491" s="2" t="e">
        <f>AA491/Z491</f>
        <v>#DIV/0!</v>
      </c>
      <c r="AH491" s="2" t="e">
        <f>AB491/AA491</f>
        <v>#DIV/0!</v>
      </c>
    </row>
    <row r="492" spans="1:34" s="73" customFormat="1">
      <c r="A492" s="95" t="s">
        <v>447</v>
      </c>
      <c r="B492" s="95" t="s">
        <v>448</v>
      </c>
      <c r="C492" s="190">
        <v>46181</v>
      </c>
      <c r="D492" s="42">
        <v>0.54166666666666663</v>
      </c>
      <c r="E492" s="193"/>
      <c r="F492" s="8" t="s">
        <v>414</v>
      </c>
      <c r="G492" s="2">
        <v>1</v>
      </c>
      <c r="H492" s="2">
        <v>6</v>
      </c>
      <c r="I492" s="126">
        <v>600</v>
      </c>
      <c r="J492" s="2" t="s">
        <v>766</v>
      </c>
      <c r="K492" s="109" t="s">
        <v>602</v>
      </c>
      <c r="L492" s="194">
        <v>30000</v>
      </c>
      <c r="M492" s="194">
        <v>30</v>
      </c>
      <c r="N492" s="39" t="s">
        <v>48</v>
      </c>
      <c r="O492" s="39" t="s">
        <v>222</v>
      </c>
      <c r="P492" s="63">
        <v>30000</v>
      </c>
      <c r="Q492" s="2">
        <v>90</v>
      </c>
      <c r="R492" s="15">
        <f>Q492/I492</f>
        <v>0.15</v>
      </c>
      <c r="S492" s="176" t="s">
        <v>110</v>
      </c>
      <c r="T492" s="176"/>
      <c r="U492" s="109" t="s">
        <v>767</v>
      </c>
      <c r="V492" s="2" t="s">
        <v>741</v>
      </c>
      <c r="W492" s="10"/>
      <c r="X492" s="2"/>
      <c r="Y492" s="2"/>
      <c r="Z492" s="2"/>
      <c r="AA492" s="2"/>
      <c r="AB492" s="2"/>
      <c r="AC492" s="2"/>
      <c r="AD492" s="2"/>
      <c r="AE492" s="2">
        <f>AC492*AD492</f>
        <v>0</v>
      </c>
      <c r="AF492" s="2" t="e">
        <f>Z492/Y492</f>
        <v>#DIV/0!</v>
      </c>
      <c r="AG492" s="2" t="e">
        <f>AA492/Z492</f>
        <v>#DIV/0!</v>
      </c>
      <c r="AH492" s="2" t="e">
        <f>AB492/AA492</f>
        <v>#DIV/0!</v>
      </c>
    </row>
    <row r="493" spans="1:34">
      <c r="A493" s="165" t="s">
        <v>1383</v>
      </c>
      <c r="B493" s="36" t="s">
        <v>63</v>
      </c>
      <c r="C493" s="41">
        <v>46181</v>
      </c>
      <c r="D493" s="144">
        <v>0.54166666666666663</v>
      </c>
      <c r="E493" s="8">
        <v>27</v>
      </c>
      <c r="F493" s="8" t="s">
        <v>1240</v>
      </c>
      <c r="G493" s="2">
        <v>3</v>
      </c>
      <c r="H493" s="2">
        <v>7</v>
      </c>
      <c r="I493" s="45">
        <v>10000</v>
      </c>
      <c r="J493" s="2" t="s">
        <v>110</v>
      </c>
      <c r="K493" s="109" t="s">
        <v>815</v>
      </c>
      <c r="L493" s="92">
        <v>60000</v>
      </c>
      <c r="M493" s="69" t="s">
        <v>111</v>
      </c>
      <c r="N493" s="39" t="s">
        <v>48</v>
      </c>
      <c r="O493" s="39" t="s">
        <v>393</v>
      </c>
      <c r="P493" s="213"/>
      <c r="Q493" s="38">
        <f>R493*I493</f>
        <v>700.00000000000011</v>
      </c>
      <c r="R493" s="15">
        <v>7.0000000000000007E-2</v>
      </c>
      <c r="S493" s="149" t="s">
        <v>110</v>
      </c>
      <c r="T493" s="149"/>
      <c r="U493" s="109" t="s">
        <v>767</v>
      </c>
      <c r="V493" s="2" t="s">
        <v>121</v>
      </c>
      <c r="W493" s="10"/>
      <c r="AE493" s="2" t="e">
        <f>AD493*#REF!</f>
        <v>#REF!</v>
      </c>
      <c r="AF493" s="2" t="e">
        <f>Z493/Y493</f>
        <v>#DIV/0!</v>
      </c>
      <c r="AG493" s="2" t="e">
        <f>AA493/Z493</f>
        <v>#DIV/0!</v>
      </c>
      <c r="AH493" s="2" t="e">
        <f>AC493/AA493</f>
        <v>#DIV/0!</v>
      </c>
    </row>
    <row r="494" spans="1:34">
      <c r="A494" s="165" t="s">
        <v>1383</v>
      </c>
      <c r="B494" s="72" t="s">
        <v>63</v>
      </c>
      <c r="C494" s="77">
        <v>46181</v>
      </c>
      <c r="D494" s="144">
        <v>0.54166666666666663</v>
      </c>
      <c r="E494" s="138"/>
      <c r="F494" s="8" t="s">
        <v>881</v>
      </c>
      <c r="G494" s="73">
        <v>1</v>
      </c>
      <c r="H494" s="73">
        <v>9</v>
      </c>
      <c r="I494" s="78">
        <v>250</v>
      </c>
      <c r="J494" s="2" t="s">
        <v>766</v>
      </c>
      <c r="K494" s="88" t="s">
        <v>787</v>
      </c>
      <c r="L494" s="154">
        <v>25000</v>
      </c>
      <c r="M494" s="79">
        <v>30</v>
      </c>
      <c r="N494" s="39" t="s">
        <v>817</v>
      </c>
      <c r="O494" s="39" t="s">
        <v>49</v>
      </c>
      <c r="P494" s="235"/>
      <c r="Q494" s="74">
        <v>50</v>
      </c>
      <c r="R494" s="75">
        <f>Q494/I494</f>
        <v>0.2</v>
      </c>
      <c r="S494" s="121">
        <v>44</v>
      </c>
      <c r="T494" s="121"/>
      <c r="U494" s="109" t="s">
        <v>767</v>
      </c>
      <c r="V494" s="80" t="s">
        <v>360</v>
      </c>
      <c r="W494" s="79"/>
      <c r="Y494" s="175"/>
      <c r="Z494" s="175"/>
      <c r="AA494" s="175"/>
      <c r="AB494" s="175"/>
      <c r="AC494" s="175"/>
      <c r="AD494" s="175"/>
      <c r="AE494" s="175"/>
      <c r="AF494" s="175"/>
      <c r="AG494" s="175"/>
      <c r="AH494" s="175"/>
    </row>
    <row r="495" spans="1:34">
      <c r="A495" s="96" t="s">
        <v>461</v>
      </c>
      <c r="B495" s="96" t="s">
        <v>462</v>
      </c>
      <c r="C495" s="41">
        <v>46181</v>
      </c>
      <c r="D495" s="42">
        <v>0.59027777777777779</v>
      </c>
      <c r="F495" s="8" t="s">
        <v>455</v>
      </c>
      <c r="G495" s="2">
        <v>1</v>
      </c>
      <c r="I495" s="126">
        <v>120</v>
      </c>
      <c r="J495" s="2" t="s">
        <v>766</v>
      </c>
      <c r="K495" s="109" t="s">
        <v>603</v>
      </c>
      <c r="L495">
        <v>20000</v>
      </c>
      <c r="M495" s="69">
        <v>20</v>
      </c>
      <c r="N495" s="39" t="s">
        <v>736</v>
      </c>
      <c r="O495" s="39" t="s">
        <v>49</v>
      </c>
      <c r="P495" s="135" t="s">
        <v>829</v>
      </c>
      <c r="Q495" s="19">
        <v>24</v>
      </c>
      <c r="R495" s="15">
        <f>Q495/I495</f>
        <v>0.2</v>
      </c>
      <c r="S495" s="178" t="s">
        <v>110</v>
      </c>
      <c r="T495" s="120"/>
      <c r="U495" s="109" t="s">
        <v>736</v>
      </c>
      <c r="V495" s="2" t="s">
        <v>735</v>
      </c>
      <c r="W495" s="10"/>
      <c r="AE495" s="2">
        <f>AC495*AD495</f>
        <v>0</v>
      </c>
      <c r="AF495" s="2" t="e">
        <f>Z495/Y495</f>
        <v>#DIV/0!</v>
      </c>
      <c r="AG495" s="2" t="e">
        <f>AA495/Z495</f>
        <v>#DIV/0!</v>
      </c>
      <c r="AH495" s="2" t="e">
        <f>AB495/AA495</f>
        <v>#DIV/0!</v>
      </c>
    </row>
    <row r="496" spans="1:34">
      <c r="A496" s="165" t="s">
        <v>1383</v>
      </c>
      <c r="B496" s="39" t="s">
        <v>63</v>
      </c>
      <c r="C496" s="41">
        <v>46181</v>
      </c>
      <c r="D496" s="144">
        <v>0.625</v>
      </c>
      <c r="F496" s="194" t="s">
        <v>912</v>
      </c>
      <c r="G496" s="2">
        <v>1</v>
      </c>
      <c r="H496" s="2">
        <v>9</v>
      </c>
      <c r="I496" s="45">
        <v>240</v>
      </c>
      <c r="J496" s="2" t="s">
        <v>766</v>
      </c>
      <c r="K496" s="88" t="s">
        <v>784</v>
      </c>
      <c r="L496" s="92">
        <v>10000</v>
      </c>
      <c r="M496" s="69">
        <v>20</v>
      </c>
      <c r="N496" s="132" t="s">
        <v>821</v>
      </c>
      <c r="O496" s="39" t="s">
        <v>49</v>
      </c>
      <c r="P496" s="210"/>
      <c r="Q496" s="19">
        <v>40</v>
      </c>
      <c r="R496" s="15">
        <v>0.16666666666666666</v>
      </c>
      <c r="S496" s="5">
        <v>29</v>
      </c>
      <c r="U496" s="109" t="s">
        <v>767</v>
      </c>
      <c r="V496" s="71" t="s">
        <v>362</v>
      </c>
      <c r="W496" s="194" t="s">
        <v>367</v>
      </c>
      <c r="Y496" s="175"/>
      <c r="Z496" s="175"/>
      <c r="AA496" s="175"/>
      <c r="AB496" s="175"/>
      <c r="AC496" s="175"/>
      <c r="AD496" s="175"/>
      <c r="AE496" s="175"/>
      <c r="AF496" s="175"/>
      <c r="AG496" s="175"/>
      <c r="AH496" s="175"/>
    </row>
    <row r="497" spans="1:34">
      <c r="A497" s="103" t="s">
        <v>539</v>
      </c>
      <c r="B497" s="103" t="s">
        <v>540</v>
      </c>
      <c r="C497" s="191">
        <v>46181</v>
      </c>
      <c r="D497" s="42">
        <v>0.66666666666666663</v>
      </c>
      <c r="E497" s="46">
        <v>22</v>
      </c>
      <c r="F497" s="197" t="s">
        <v>554</v>
      </c>
      <c r="G497" s="2">
        <v>3</v>
      </c>
      <c r="H497" s="2">
        <v>9</v>
      </c>
      <c r="I497" s="126">
        <v>0</v>
      </c>
      <c r="J497" s="2" t="s">
        <v>767</v>
      </c>
      <c r="K497" s="109" t="s">
        <v>767</v>
      </c>
      <c r="L497" s="92"/>
      <c r="M497" s="69"/>
      <c r="N497" s="39" t="s">
        <v>819</v>
      </c>
      <c r="O497" s="39" t="s">
        <v>49</v>
      </c>
      <c r="P497" s="131"/>
      <c r="U497" s="109" t="s">
        <v>854</v>
      </c>
      <c r="V497" s="71"/>
      <c r="W497" s="10"/>
      <c r="AE497" s="2" t="e">
        <f>AD497*#REF!</f>
        <v>#REF!</v>
      </c>
      <c r="AF497" s="2" t="e">
        <f>Z497/Y497</f>
        <v>#DIV/0!</v>
      </c>
      <c r="AG497" s="2" t="e">
        <f>AA497/Z497</f>
        <v>#DIV/0!</v>
      </c>
      <c r="AH497" s="2" t="e">
        <f>AC497/AA497</f>
        <v>#DIV/0!</v>
      </c>
    </row>
    <row r="498" spans="1:34">
      <c r="A498" s="165" t="s">
        <v>1383</v>
      </c>
      <c r="B498" s="72" t="s">
        <v>63</v>
      </c>
      <c r="C498" s="77">
        <v>46181</v>
      </c>
      <c r="D498" s="144">
        <v>0.66666666666666663</v>
      </c>
      <c r="E498" s="138"/>
      <c r="F498" s="194" t="s">
        <v>1024</v>
      </c>
      <c r="G498" s="73">
        <v>1</v>
      </c>
      <c r="H498" s="73">
        <v>9</v>
      </c>
      <c r="I498" s="78">
        <v>400</v>
      </c>
      <c r="J498" s="2" t="s">
        <v>766</v>
      </c>
      <c r="K498" s="88" t="s">
        <v>794</v>
      </c>
      <c r="L498" s="154">
        <v>30000</v>
      </c>
      <c r="M498" s="79">
        <v>20</v>
      </c>
      <c r="N498" s="39" t="s">
        <v>817</v>
      </c>
      <c r="O498" s="39" t="s">
        <v>49</v>
      </c>
      <c r="P498" s="235"/>
      <c r="Q498" s="74">
        <v>70</v>
      </c>
      <c r="R498" s="75">
        <f>Q498/I498</f>
        <v>0.17499999999999999</v>
      </c>
      <c r="S498" s="121">
        <v>37</v>
      </c>
      <c r="T498" s="121"/>
      <c r="U498" s="109" t="s">
        <v>129</v>
      </c>
      <c r="V498" s="80" t="s">
        <v>360</v>
      </c>
      <c r="W498" s="79"/>
      <c r="Y498" s="175"/>
      <c r="Z498" s="175"/>
      <c r="AA498" s="175"/>
      <c r="AB498" s="175"/>
      <c r="AC498" s="175"/>
      <c r="AD498" s="175"/>
      <c r="AE498" s="175"/>
      <c r="AF498" s="175"/>
      <c r="AG498" s="175"/>
      <c r="AH498" s="175"/>
    </row>
    <row r="499" spans="1:34">
      <c r="A499" s="52" t="s">
        <v>229</v>
      </c>
      <c r="B499" s="52" t="s">
        <v>230</v>
      </c>
      <c r="C499" s="190">
        <v>46181</v>
      </c>
      <c r="D499" s="42">
        <v>0.66666666666666663</v>
      </c>
      <c r="E499" s="193"/>
      <c r="F499" s="194" t="s">
        <v>717</v>
      </c>
      <c r="G499" s="2">
        <v>1</v>
      </c>
      <c r="I499" s="126">
        <v>125</v>
      </c>
      <c r="J499" s="2" t="s">
        <v>766</v>
      </c>
      <c r="K499" s="88" t="s">
        <v>795</v>
      </c>
      <c r="L499" s="91">
        <v>20000</v>
      </c>
      <c r="M499" s="194">
        <v>20</v>
      </c>
      <c r="N499" s="39" t="s">
        <v>48</v>
      </c>
      <c r="O499" s="39" t="s">
        <v>49</v>
      </c>
      <c r="Q499" s="19">
        <v>25</v>
      </c>
      <c r="R499" s="15">
        <f>IF(Q499&gt;0,Q499/I499,"")</f>
        <v>0.2</v>
      </c>
      <c r="S499" s="5">
        <f>($AC499*$AD499)/(($Z499/$Y499)+($AA499/$Z499)+($AB499/$AA499))</f>
        <v>31.111111111111111</v>
      </c>
      <c r="U499" s="109" t="s">
        <v>767</v>
      </c>
      <c r="V499" s="205" t="s">
        <v>719</v>
      </c>
      <c r="W499" s="194" t="s">
        <v>718</v>
      </c>
      <c r="Y499" s="2">
        <v>2</v>
      </c>
      <c r="Z499" s="2">
        <v>5</v>
      </c>
      <c r="AA499" s="2">
        <v>20</v>
      </c>
      <c r="AB499" s="2">
        <v>50</v>
      </c>
      <c r="AC499" s="2">
        <v>14</v>
      </c>
      <c r="AD499" s="2">
        <v>20</v>
      </c>
      <c r="AE499" s="2">
        <f>AC499*AD499</f>
        <v>280</v>
      </c>
      <c r="AF499" s="2">
        <f>Z499/Y499</f>
        <v>2.5</v>
      </c>
      <c r="AG499" s="2">
        <f>AA499/Z499</f>
        <v>4</v>
      </c>
      <c r="AH499" s="2">
        <f>AB499/AA499</f>
        <v>2.5</v>
      </c>
    </row>
    <row r="500" spans="1:34">
      <c r="A500" s="102" t="s">
        <v>475</v>
      </c>
      <c r="B500" s="102" t="s">
        <v>476</v>
      </c>
      <c r="C500" s="190">
        <v>46181</v>
      </c>
      <c r="D500" s="42">
        <v>0.75</v>
      </c>
      <c r="E500" s="8" t="s">
        <v>490</v>
      </c>
      <c r="F500" s="194" t="s">
        <v>486</v>
      </c>
      <c r="G500" s="2">
        <v>2</v>
      </c>
      <c r="H500" s="2">
        <v>9</v>
      </c>
      <c r="I500" s="126">
        <v>500</v>
      </c>
      <c r="J500" s="2" t="s">
        <v>766</v>
      </c>
      <c r="K500" s="109" t="s">
        <v>601</v>
      </c>
      <c r="L500" s="201">
        <v>30000</v>
      </c>
      <c r="M500" s="203" t="s">
        <v>22</v>
      </c>
      <c r="N500" s="39" t="s">
        <v>48</v>
      </c>
      <c r="O500" s="39" t="s">
        <v>49</v>
      </c>
      <c r="P500" s="135" t="s">
        <v>841</v>
      </c>
      <c r="Q500" s="19">
        <v>80</v>
      </c>
      <c r="R500" s="15">
        <f>Q500/I500</f>
        <v>0.16</v>
      </c>
      <c r="S500" s="5">
        <f>($AC500*$AD500)/(($Z500/$Y500)+($AA500/$Z500)+($AB500/$AA500))</f>
        <v>72.897196261682254</v>
      </c>
      <c r="U500" s="109" t="s">
        <v>855</v>
      </c>
      <c r="V500" s="2" t="s">
        <v>597</v>
      </c>
      <c r="W500" s="241" t="s">
        <v>600</v>
      </c>
      <c r="Y500" s="2">
        <v>2</v>
      </c>
      <c r="Z500" s="2">
        <v>5</v>
      </c>
      <c r="AA500" s="2">
        <v>13</v>
      </c>
      <c r="AB500" s="2">
        <v>30</v>
      </c>
      <c r="AC500" s="2">
        <v>30</v>
      </c>
      <c r="AD500" s="2">
        <v>18</v>
      </c>
      <c r="AE500" s="2">
        <f>AC500*AD500</f>
        <v>540</v>
      </c>
      <c r="AF500" s="2">
        <f>Z500/Y500</f>
        <v>2.5</v>
      </c>
      <c r="AG500" s="2">
        <f>AA500/Z500</f>
        <v>2.6</v>
      </c>
      <c r="AH500" s="2">
        <f>AB500/AA500</f>
        <v>2.3076923076923075</v>
      </c>
    </row>
    <row r="501" spans="1:34">
      <c r="A501" s="52" t="s">
        <v>229</v>
      </c>
      <c r="B501" s="52" t="s">
        <v>230</v>
      </c>
      <c r="C501" s="190">
        <v>46181</v>
      </c>
      <c r="D501" s="42">
        <v>0.75</v>
      </c>
      <c r="E501" s="193"/>
      <c r="F501" s="194" t="s">
        <v>244</v>
      </c>
      <c r="G501" s="2">
        <v>1</v>
      </c>
      <c r="I501" s="126">
        <v>200</v>
      </c>
      <c r="J501" s="2" t="s">
        <v>766</v>
      </c>
      <c r="K501" s="88" t="s">
        <v>804</v>
      </c>
      <c r="L501" s="91">
        <v>30000</v>
      </c>
      <c r="M501" s="194">
        <v>20</v>
      </c>
      <c r="N501" s="39" t="s">
        <v>48</v>
      </c>
      <c r="O501" s="39" t="s">
        <v>49</v>
      </c>
      <c r="P501" s="135" t="s">
        <v>832</v>
      </c>
      <c r="Q501" s="19">
        <v>40</v>
      </c>
      <c r="R501" s="15">
        <f>IF(Q501&gt;0,Q501/I501,"")</f>
        <v>0.2</v>
      </c>
      <c r="S501" s="5">
        <f>($AC501*$AD501)/(($Z501/$Y501)+($AA501/$Z501)+($AB501/$AA501))</f>
        <v>35.555555555555557</v>
      </c>
      <c r="U501" s="109" t="s">
        <v>767</v>
      </c>
      <c r="V501" s="205" t="s">
        <v>719</v>
      </c>
      <c r="W501" s="10"/>
      <c r="Y501" s="2">
        <v>2</v>
      </c>
      <c r="Z501" s="2">
        <v>5</v>
      </c>
      <c r="AA501" s="2">
        <v>20</v>
      </c>
      <c r="AB501" s="2">
        <v>50</v>
      </c>
      <c r="AC501" s="2">
        <v>20</v>
      </c>
      <c r="AD501" s="2">
        <v>16</v>
      </c>
      <c r="AE501" s="2">
        <f>AC501*AD501</f>
        <v>320</v>
      </c>
      <c r="AF501" s="2">
        <f>Z501/Y501</f>
        <v>2.5</v>
      </c>
      <c r="AG501" s="2">
        <f>AA501/Z501</f>
        <v>4</v>
      </c>
      <c r="AH501" s="2">
        <f>AB501/AA501</f>
        <v>2.5</v>
      </c>
    </row>
    <row r="502" spans="1:34">
      <c r="A502" s="52" t="s">
        <v>220</v>
      </c>
      <c r="B502" s="52" t="s">
        <v>221</v>
      </c>
      <c r="C502" s="191">
        <v>46181</v>
      </c>
      <c r="D502" s="42">
        <v>0.75</v>
      </c>
      <c r="E502" s="193"/>
      <c r="F502" s="194" t="s">
        <v>1047</v>
      </c>
      <c r="G502" s="2">
        <v>2</v>
      </c>
      <c r="H502" s="2">
        <v>9</v>
      </c>
      <c r="I502" s="126">
        <v>1600</v>
      </c>
      <c r="J502" s="2" t="s">
        <v>766</v>
      </c>
      <c r="K502" s="88" t="s">
        <v>809</v>
      </c>
      <c r="L502" s="91">
        <v>40000</v>
      </c>
      <c r="M502" s="203" t="s">
        <v>22</v>
      </c>
      <c r="N502" s="39" t="s">
        <v>48</v>
      </c>
      <c r="O502" s="39" t="s">
        <v>49</v>
      </c>
      <c r="P502" s="135" t="s">
        <v>846</v>
      </c>
      <c r="Q502" s="19">
        <v>170</v>
      </c>
      <c r="R502" s="15">
        <f>Q502/I502</f>
        <v>0.10625</v>
      </c>
      <c r="S502" s="5">
        <f>($AC502*$AD502)/(($Z502/$Y502)+($AA502/$Z502)+($AB502/$AA502))</f>
        <v>66.122448979591837</v>
      </c>
      <c r="U502" s="109" t="s">
        <v>767</v>
      </c>
      <c r="V502" s="10" t="s">
        <v>738</v>
      </c>
      <c r="W502" s="10"/>
      <c r="Y502" s="2">
        <v>2</v>
      </c>
      <c r="Z502" s="2">
        <v>5</v>
      </c>
      <c r="AA502" s="2">
        <v>15</v>
      </c>
      <c r="AB502" s="2">
        <v>40</v>
      </c>
      <c r="AC502" s="2">
        <v>18</v>
      </c>
      <c r="AD502" s="2">
        <v>30</v>
      </c>
      <c r="AE502" s="2">
        <f>AC502*AD502</f>
        <v>540</v>
      </c>
      <c r="AF502" s="2">
        <f>Z502/Y502</f>
        <v>2.5</v>
      </c>
      <c r="AG502" s="2">
        <f>AA502/Z502</f>
        <v>3</v>
      </c>
      <c r="AH502" s="2">
        <f>AB502/AA502</f>
        <v>2.6666666666666665</v>
      </c>
    </row>
    <row r="503" spans="1:34">
      <c r="A503" s="96" t="s">
        <v>461</v>
      </c>
      <c r="B503" s="96" t="s">
        <v>462</v>
      </c>
      <c r="C503" s="41">
        <v>46181</v>
      </c>
      <c r="D503" s="42">
        <v>0.75694444444444442</v>
      </c>
      <c r="F503" s="194" t="s">
        <v>468</v>
      </c>
      <c r="G503" s="2">
        <v>2</v>
      </c>
      <c r="I503" s="126">
        <v>300</v>
      </c>
      <c r="J503" s="2" t="s">
        <v>766</v>
      </c>
      <c r="K503" s="109" t="s">
        <v>598</v>
      </c>
      <c r="L503" s="194">
        <v>30000</v>
      </c>
      <c r="M503" s="69">
        <v>30</v>
      </c>
      <c r="N503" s="39" t="s">
        <v>48</v>
      </c>
      <c r="O503" s="39" t="s">
        <v>49</v>
      </c>
      <c r="P503" s="135" t="s">
        <v>842</v>
      </c>
      <c r="Q503" s="19">
        <v>65</v>
      </c>
      <c r="R503" s="15">
        <f>Q503/I503</f>
        <v>0.21666666666666667</v>
      </c>
      <c r="S503" s="5">
        <f>($AC503*$AD503)/(($Z503/$Y503)+($AA503/$Z503)+($AB503/$AA503))</f>
        <v>53.333333333333336</v>
      </c>
      <c r="U503" s="109" t="s">
        <v>767</v>
      </c>
      <c r="V503" s="205" t="s">
        <v>735</v>
      </c>
      <c r="W503" s="10"/>
      <c r="Y503" s="2">
        <v>2</v>
      </c>
      <c r="Z503" s="2">
        <v>5</v>
      </c>
      <c r="AA503" s="2">
        <v>20</v>
      </c>
      <c r="AB503" s="2">
        <v>50</v>
      </c>
      <c r="AC503" s="2">
        <v>16</v>
      </c>
      <c r="AD503" s="2">
        <v>30</v>
      </c>
      <c r="AE503" s="2">
        <f>AC503*AD503</f>
        <v>480</v>
      </c>
      <c r="AF503" s="2">
        <f>Z503/Y503</f>
        <v>2.5</v>
      </c>
      <c r="AG503" s="2">
        <f>AA503/Z503</f>
        <v>4</v>
      </c>
      <c r="AH503" s="2">
        <f>AB503/AA503</f>
        <v>2.5</v>
      </c>
    </row>
    <row r="504" spans="1:34">
      <c r="A504" s="68" t="s">
        <v>357</v>
      </c>
      <c r="B504" s="68" t="s">
        <v>358</v>
      </c>
      <c r="C504" s="191">
        <v>46181</v>
      </c>
      <c r="D504" s="42">
        <v>0.75694444444444442</v>
      </c>
      <c r="E504" s="8">
        <v>40</v>
      </c>
      <c r="F504" s="197" t="s">
        <v>290</v>
      </c>
      <c r="G504" s="2">
        <v>1</v>
      </c>
      <c r="H504" s="2">
        <v>9</v>
      </c>
      <c r="I504" s="126">
        <v>600</v>
      </c>
      <c r="J504" s="2" t="s">
        <v>766</v>
      </c>
      <c r="K504" s="137" t="s">
        <v>602</v>
      </c>
      <c r="L504" s="92">
        <v>25000</v>
      </c>
      <c r="M504" s="69">
        <v>30</v>
      </c>
      <c r="N504" s="39" t="s">
        <v>48</v>
      </c>
      <c r="O504" s="39" t="s">
        <v>49</v>
      </c>
      <c r="P504" s="212" t="s">
        <v>836</v>
      </c>
      <c r="Q504" s="19">
        <v>80</v>
      </c>
      <c r="R504" s="15">
        <f>Q504/I504</f>
        <v>0.13333333333333333</v>
      </c>
      <c r="S504" s="5">
        <f>($AC504*$AD504)/(($Z504/$Y504)+($AA504/$Z504)+($AB504/$AA504))</f>
        <v>55.03292568203198</v>
      </c>
      <c r="U504" s="109" t="s">
        <v>219</v>
      </c>
      <c r="V504" s="205" t="s">
        <v>662</v>
      </c>
      <c r="W504" s="86" t="s">
        <v>389</v>
      </c>
      <c r="Y504" s="2">
        <v>2.5</v>
      </c>
      <c r="Z504" s="2">
        <v>6.5</v>
      </c>
      <c r="AA504" s="2">
        <v>20</v>
      </c>
      <c r="AB504" s="2">
        <v>50</v>
      </c>
      <c r="AC504" s="2">
        <v>30</v>
      </c>
      <c r="AD504" s="2">
        <v>15</v>
      </c>
      <c r="AE504" s="2">
        <f>AC504*AD504</f>
        <v>450</v>
      </c>
      <c r="AF504" s="2">
        <f>Z504/Y504</f>
        <v>2.6</v>
      </c>
      <c r="AG504" s="2">
        <f>AA504/Z504</f>
        <v>3.0769230769230771</v>
      </c>
      <c r="AH504" s="2">
        <f>AB504/AA504</f>
        <v>2.5</v>
      </c>
    </row>
    <row r="505" spans="1:34">
      <c r="A505" s="95" t="s">
        <v>447</v>
      </c>
      <c r="B505" s="95" t="s">
        <v>448</v>
      </c>
      <c r="C505" s="190">
        <v>46181</v>
      </c>
      <c r="D505" s="42">
        <v>0.79166666666666663</v>
      </c>
      <c r="E505" s="193"/>
      <c r="F505" s="194" t="s">
        <v>403</v>
      </c>
      <c r="G505" s="2">
        <v>1</v>
      </c>
      <c r="H505" s="2">
        <v>9</v>
      </c>
      <c r="I505" s="126">
        <v>300</v>
      </c>
      <c r="J505" s="2" t="s">
        <v>766</v>
      </c>
      <c r="K505" s="109" t="s">
        <v>602</v>
      </c>
      <c r="L505" s="194">
        <v>25000</v>
      </c>
      <c r="M505" s="194">
        <v>25</v>
      </c>
      <c r="N505" s="39" t="s">
        <v>48</v>
      </c>
      <c r="O505" s="39" t="s">
        <v>49</v>
      </c>
      <c r="P505" s="212" t="s">
        <v>834</v>
      </c>
      <c r="Q505" s="19">
        <v>50</v>
      </c>
      <c r="R505" s="15">
        <f>Q505/I505</f>
        <v>0.16666666666666666</v>
      </c>
      <c r="S505" s="5">
        <f>($AC505*$AD505)/(($Z505/$Y505)+($AA505/$Z505)+($AB505/$AA505))</f>
        <v>37.5</v>
      </c>
      <c r="U505" s="109" t="s">
        <v>767</v>
      </c>
      <c r="V505" s="205" t="s">
        <v>741</v>
      </c>
      <c r="W505" s="10"/>
      <c r="Y505" s="2">
        <v>2.5</v>
      </c>
      <c r="Z505" s="2">
        <v>7.5</v>
      </c>
      <c r="AA505" s="2">
        <v>25</v>
      </c>
      <c r="AB505" s="2">
        <v>75</v>
      </c>
      <c r="AC505" s="2">
        <v>14</v>
      </c>
      <c r="AD505" s="2">
        <v>25</v>
      </c>
      <c r="AE505" s="2">
        <f>AC505*AD505</f>
        <v>350</v>
      </c>
      <c r="AF505" s="2">
        <f>Z505/Y505</f>
        <v>3</v>
      </c>
      <c r="AG505" s="2">
        <f>AA505/Z505</f>
        <v>3.3333333333333335</v>
      </c>
      <c r="AH505" s="2">
        <f>AB505/AA505</f>
        <v>3</v>
      </c>
    </row>
    <row r="506" spans="1:34">
      <c r="A506" s="103" t="s">
        <v>539</v>
      </c>
      <c r="B506" s="103" t="s">
        <v>540</v>
      </c>
      <c r="C506" s="191">
        <v>46181</v>
      </c>
      <c r="D506" s="42">
        <v>0.79166666666666663</v>
      </c>
      <c r="E506" s="8">
        <v>23</v>
      </c>
      <c r="F506" s="197" t="s">
        <v>544</v>
      </c>
      <c r="G506" s="2">
        <v>1</v>
      </c>
      <c r="H506" s="2">
        <v>9</v>
      </c>
      <c r="I506" s="126">
        <v>150</v>
      </c>
      <c r="J506" s="179" t="s">
        <v>766</v>
      </c>
      <c r="K506" s="179" t="s">
        <v>602</v>
      </c>
      <c r="L506" s="92">
        <v>30000</v>
      </c>
      <c r="M506" s="69">
        <v>15</v>
      </c>
      <c r="N506" s="39" t="s">
        <v>48</v>
      </c>
      <c r="O506" s="39" t="s">
        <v>49</v>
      </c>
      <c r="P506" s="135" t="s">
        <v>828</v>
      </c>
      <c r="Q506" s="19">
        <v>46</v>
      </c>
      <c r="R506" s="15">
        <f>Q506/I506</f>
        <v>0.30666666666666664</v>
      </c>
      <c r="S506" s="5">
        <f>($AC506*$AD506)/(($Z506/$Y506)+($AA506/$Z506)+($AB506/$AA506))</f>
        <v>19.534883720930232</v>
      </c>
      <c r="U506" s="109" t="s">
        <v>129</v>
      </c>
      <c r="V506" s="71" t="s">
        <v>1395</v>
      </c>
      <c r="W506" s="182" t="s">
        <v>1389</v>
      </c>
      <c r="Y506" s="2">
        <v>4</v>
      </c>
      <c r="Z506" s="2">
        <v>8</v>
      </c>
      <c r="AA506" s="2">
        <v>30</v>
      </c>
      <c r="AB506" s="2">
        <v>150</v>
      </c>
      <c r="AC506" s="2">
        <v>14</v>
      </c>
      <c r="AD506" s="2">
        <v>15</v>
      </c>
      <c r="AE506" s="2">
        <f>AC506*AD506</f>
        <v>210</v>
      </c>
      <c r="AF506" s="2">
        <f>Z506/Y506</f>
        <v>2</v>
      </c>
      <c r="AG506" s="2">
        <f>AA506/Z506</f>
        <v>3.75</v>
      </c>
      <c r="AH506" s="2">
        <f>AB506/AA506</f>
        <v>5</v>
      </c>
    </row>
    <row r="507" spans="1:34">
      <c r="A507" s="165" t="s">
        <v>1383</v>
      </c>
      <c r="B507" s="39" t="s">
        <v>63</v>
      </c>
      <c r="C507" s="41">
        <v>46181</v>
      </c>
      <c r="D507" s="144">
        <v>0.79166666666666663</v>
      </c>
      <c r="F507" s="194" t="s">
        <v>892</v>
      </c>
      <c r="G507" s="2">
        <v>1</v>
      </c>
      <c r="I507" s="45">
        <v>1100</v>
      </c>
      <c r="J507" s="2" t="s">
        <v>766</v>
      </c>
      <c r="K507" s="88" t="s">
        <v>809</v>
      </c>
      <c r="L507" s="92">
        <v>15000</v>
      </c>
      <c r="M507" s="82">
        <v>30</v>
      </c>
      <c r="N507" s="132" t="s">
        <v>821</v>
      </c>
      <c r="O507" s="39" t="s">
        <v>359</v>
      </c>
      <c r="P507" s="213"/>
      <c r="Q507" s="2">
        <f>88+37</f>
        <v>125</v>
      </c>
      <c r="R507" s="15">
        <f>Q507/I507</f>
        <v>0.11363636363636363</v>
      </c>
      <c r="S507" s="149" t="s">
        <v>110</v>
      </c>
      <c r="T507" s="149"/>
      <c r="U507" s="109" t="s">
        <v>767</v>
      </c>
      <c r="V507" s="71" t="s">
        <v>362</v>
      </c>
      <c r="W507" s="194" t="s">
        <v>370</v>
      </c>
      <c r="AE507" s="2" t="e">
        <f>AD507*#REF!</f>
        <v>#REF!</v>
      </c>
      <c r="AF507" s="2" t="e">
        <f>Z507/Y507</f>
        <v>#DIV/0!</v>
      </c>
      <c r="AG507" s="2" t="e">
        <f>AA507/Z507</f>
        <v>#DIV/0!</v>
      </c>
      <c r="AH507" s="2" t="e">
        <f>AC507/AA507</f>
        <v>#DIV/0!</v>
      </c>
    </row>
    <row r="508" spans="1:34">
      <c r="A508" s="165" t="s">
        <v>1383</v>
      </c>
      <c r="B508" s="72" t="s">
        <v>63</v>
      </c>
      <c r="C508" s="77">
        <v>46181</v>
      </c>
      <c r="D508" s="144">
        <v>0.83333333333333337</v>
      </c>
      <c r="E508" s="138"/>
      <c r="F508" s="194" t="s">
        <v>1023</v>
      </c>
      <c r="G508" s="73">
        <v>1</v>
      </c>
      <c r="H508" s="73">
        <v>9</v>
      </c>
      <c r="I508" s="78">
        <v>200</v>
      </c>
      <c r="J508" s="2" t="s">
        <v>766</v>
      </c>
      <c r="K508" s="88" t="s">
        <v>806</v>
      </c>
      <c r="L508" s="154">
        <v>20000</v>
      </c>
      <c r="M508" s="79">
        <v>20</v>
      </c>
      <c r="N508" s="39" t="s">
        <v>817</v>
      </c>
      <c r="O508" s="39" t="s">
        <v>49</v>
      </c>
      <c r="P508" s="235"/>
      <c r="Q508" s="74">
        <v>45</v>
      </c>
      <c r="R508" s="75">
        <f>Q508/I508</f>
        <v>0.22500000000000001</v>
      </c>
      <c r="S508" s="121">
        <v>23</v>
      </c>
      <c r="T508" s="121"/>
      <c r="U508" s="109" t="s">
        <v>129</v>
      </c>
      <c r="V508" s="80" t="s">
        <v>360</v>
      </c>
      <c r="W508" s="79"/>
      <c r="Y508" s="175"/>
      <c r="Z508" s="175"/>
      <c r="AA508" s="175"/>
      <c r="AB508" s="175"/>
      <c r="AC508" s="175"/>
      <c r="AD508" s="175"/>
      <c r="AE508" s="175"/>
      <c r="AF508" s="175"/>
      <c r="AG508" s="175"/>
      <c r="AH508" s="175"/>
    </row>
    <row r="509" spans="1:34">
      <c r="A509" s="103" t="s">
        <v>539</v>
      </c>
      <c r="B509" s="103" t="s">
        <v>540</v>
      </c>
      <c r="C509" s="191">
        <v>46181</v>
      </c>
      <c r="D509" s="42">
        <v>0.89583333333333337</v>
      </c>
      <c r="E509" s="8">
        <v>24</v>
      </c>
      <c r="F509" s="197" t="s">
        <v>563</v>
      </c>
      <c r="G509" s="2">
        <v>1</v>
      </c>
      <c r="H509" s="2">
        <v>9</v>
      </c>
      <c r="I509" s="126">
        <v>140</v>
      </c>
      <c r="J509" s="179" t="s">
        <v>766</v>
      </c>
      <c r="K509" s="179" t="s">
        <v>603</v>
      </c>
      <c r="L509" s="92">
        <v>25000</v>
      </c>
      <c r="M509" s="69">
        <v>12</v>
      </c>
      <c r="N509" s="39" t="s">
        <v>48</v>
      </c>
      <c r="O509" s="39" t="s">
        <v>49</v>
      </c>
      <c r="P509" s="135" t="s">
        <v>826</v>
      </c>
      <c r="Q509" s="19">
        <v>38</v>
      </c>
      <c r="R509" s="15">
        <f>Q509/I509</f>
        <v>0.27142857142857141</v>
      </c>
      <c r="S509" s="5">
        <f>($AC509*$AD509)/(($Z509/$Y509)+($AA509/$Z509)+($AB509/$AA509))</f>
        <v>10.153846153846153</v>
      </c>
      <c r="U509" s="109" t="s">
        <v>585</v>
      </c>
      <c r="V509" s="71" t="s">
        <v>1395</v>
      </c>
      <c r="W509" s="182" t="s">
        <v>1396</v>
      </c>
      <c r="Y509" s="2">
        <v>5</v>
      </c>
      <c r="Z509" s="2">
        <v>20</v>
      </c>
      <c r="AA509" s="2">
        <v>100</v>
      </c>
      <c r="AB509" s="2">
        <v>400</v>
      </c>
      <c r="AC509" s="2">
        <v>11</v>
      </c>
      <c r="AD509" s="2">
        <v>12</v>
      </c>
      <c r="AE509" s="2">
        <f>AC509*AD509</f>
        <v>132</v>
      </c>
      <c r="AF509" s="2">
        <f>Z509/Y509</f>
        <v>4</v>
      </c>
      <c r="AG509" s="2">
        <f>AA509/Z509</f>
        <v>5</v>
      </c>
      <c r="AH509" s="2">
        <f>AB509/AA509</f>
        <v>4</v>
      </c>
    </row>
    <row r="510" spans="1:34">
      <c r="A510" s="165" t="s">
        <v>1383</v>
      </c>
      <c r="B510" s="39" t="s">
        <v>63</v>
      </c>
      <c r="C510" s="41">
        <v>46181</v>
      </c>
      <c r="D510" s="144">
        <v>0.91666666666666663</v>
      </c>
      <c r="F510" s="194" t="s">
        <v>909</v>
      </c>
      <c r="G510" s="2">
        <v>1</v>
      </c>
      <c r="H510" s="2">
        <v>9</v>
      </c>
      <c r="I510" s="45">
        <v>135</v>
      </c>
      <c r="J510" s="2" t="s">
        <v>766</v>
      </c>
      <c r="K510" s="88" t="s">
        <v>813</v>
      </c>
      <c r="L510" s="92">
        <v>10000</v>
      </c>
      <c r="M510" s="69">
        <v>15</v>
      </c>
      <c r="N510" s="132" t="s">
        <v>821</v>
      </c>
      <c r="O510" s="39" t="s">
        <v>49</v>
      </c>
      <c r="P510" s="210"/>
      <c r="Q510" s="19">
        <v>35</v>
      </c>
      <c r="R510" s="15">
        <f>Q510/I510</f>
        <v>0.25925925925925924</v>
      </c>
      <c r="S510" s="5">
        <v>22</v>
      </c>
      <c r="U510" s="109" t="s">
        <v>767</v>
      </c>
      <c r="V510" s="71" t="s">
        <v>362</v>
      </c>
      <c r="W510" s="194" t="s">
        <v>369</v>
      </c>
      <c r="Y510" s="175"/>
      <c r="Z510" s="175"/>
      <c r="AA510" s="175"/>
      <c r="AB510" s="175"/>
      <c r="AC510" s="175"/>
      <c r="AD510" s="175"/>
      <c r="AE510" s="175"/>
      <c r="AF510" s="175"/>
      <c r="AG510" s="175"/>
      <c r="AH510" s="175"/>
    </row>
    <row r="511" spans="1:34">
      <c r="A511" s="96" t="s">
        <v>461</v>
      </c>
      <c r="B511" s="96" t="s">
        <v>462</v>
      </c>
      <c r="C511" s="41">
        <v>46181</v>
      </c>
      <c r="D511" s="42">
        <v>0.92361111111111116</v>
      </c>
      <c r="F511" s="194" t="s">
        <v>456</v>
      </c>
      <c r="G511" s="2">
        <v>1</v>
      </c>
      <c r="I511" s="126">
        <v>120</v>
      </c>
      <c r="J511" s="2" t="s">
        <v>766</v>
      </c>
      <c r="K511" s="109" t="s">
        <v>737</v>
      </c>
      <c r="L511" s="194">
        <v>20000</v>
      </c>
      <c r="M511" s="69">
        <v>15</v>
      </c>
      <c r="N511" s="39" t="s">
        <v>48</v>
      </c>
      <c r="O511" s="39" t="s">
        <v>49</v>
      </c>
      <c r="P511" s="135" t="s">
        <v>827</v>
      </c>
      <c r="Q511" s="19">
        <v>24</v>
      </c>
      <c r="R511" s="15">
        <f>Q511/I511</f>
        <v>0.2</v>
      </c>
      <c r="S511" s="5">
        <f>($AC511*$AD511)/(($Z511/$Y511)+($AA511/$Z511)+($AB511/$AA511))</f>
        <v>25.161290322580644</v>
      </c>
      <c r="U511" s="109" t="s">
        <v>463</v>
      </c>
      <c r="V511" s="2" t="s">
        <v>735</v>
      </c>
      <c r="W511" s="10" t="s">
        <v>464</v>
      </c>
      <c r="Y511" s="2">
        <v>2.5</v>
      </c>
      <c r="Z511" s="2">
        <v>7.5</v>
      </c>
      <c r="AA511" s="2">
        <v>30</v>
      </c>
      <c r="AB511" s="2">
        <v>100</v>
      </c>
      <c r="AC511" s="2">
        <v>13</v>
      </c>
      <c r="AD511" s="2">
        <v>20</v>
      </c>
      <c r="AE511" s="2">
        <f>AC511*AD511</f>
        <v>260</v>
      </c>
      <c r="AF511" s="2">
        <f>Z511/Y511</f>
        <v>3</v>
      </c>
      <c r="AG511" s="2">
        <f>AA511/Z511</f>
        <v>4</v>
      </c>
      <c r="AH511" s="2">
        <f>AB511/AA511</f>
        <v>3.3333333333333335</v>
      </c>
    </row>
    <row r="512" spans="1:34">
      <c r="A512" s="165" t="s">
        <v>1383</v>
      </c>
      <c r="B512" s="36" t="s">
        <v>63</v>
      </c>
      <c r="C512" s="41">
        <v>46181</v>
      </c>
      <c r="D512" s="144" t="s">
        <v>117</v>
      </c>
      <c r="E512" s="8">
        <v>28</v>
      </c>
      <c r="F512" s="194" t="s">
        <v>951</v>
      </c>
      <c r="G512" s="2">
        <v>2</v>
      </c>
      <c r="H512" s="2">
        <v>8</v>
      </c>
      <c r="I512" s="81">
        <v>600</v>
      </c>
      <c r="J512" s="2" t="s">
        <v>762</v>
      </c>
      <c r="K512" s="109" t="s">
        <v>601</v>
      </c>
      <c r="L512" s="160">
        <v>30000</v>
      </c>
      <c r="M512" s="69">
        <v>30</v>
      </c>
      <c r="N512" s="39" t="s">
        <v>48</v>
      </c>
      <c r="O512" s="39" t="s">
        <v>124</v>
      </c>
      <c r="P512" s="210"/>
      <c r="Q512" s="19">
        <f>R512*I512</f>
        <v>96</v>
      </c>
      <c r="R512" s="59">
        <v>0.16</v>
      </c>
      <c r="S512" s="149" t="s">
        <v>110</v>
      </c>
      <c r="T512" s="149"/>
      <c r="U512" s="109" t="s">
        <v>767</v>
      </c>
      <c r="V512" s="2" t="s">
        <v>121</v>
      </c>
      <c r="W512" s="10"/>
      <c r="AB512" s="70"/>
      <c r="AE512" s="2" t="e">
        <f>AD512*#REF!</f>
        <v>#REF!</v>
      </c>
      <c r="AF512" s="2" t="e">
        <f>Z512/Y512</f>
        <v>#DIV/0!</v>
      </c>
      <c r="AG512" s="2" t="e">
        <f>AA512/Z512</f>
        <v>#DIV/0!</v>
      </c>
      <c r="AH512" s="2" t="e">
        <f>AC512/AA512</f>
        <v>#DIV/0!</v>
      </c>
    </row>
    <row r="513" spans="1:34" s="73" customFormat="1">
      <c r="A513" s="165" t="s">
        <v>1383</v>
      </c>
      <c r="B513" s="36" t="s">
        <v>63</v>
      </c>
      <c r="C513" s="41">
        <v>46181</v>
      </c>
      <c r="D513" s="144" t="s">
        <v>115</v>
      </c>
      <c r="E513" s="8">
        <v>26</v>
      </c>
      <c r="F513" s="194" t="s">
        <v>1259</v>
      </c>
      <c r="G513" s="2">
        <v>3</v>
      </c>
      <c r="H513" s="2">
        <v>9</v>
      </c>
      <c r="I513" s="45">
        <v>2000</v>
      </c>
      <c r="J513" s="2" t="s">
        <v>760</v>
      </c>
      <c r="K513" s="109" t="s">
        <v>598</v>
      </c>
      <c r="L513" s="92">
        <v>30000</v>
      </c>
      <c r="M513" s="69" t="s">
        <v>97</v>
      </c>
      <c r="N513" s="39" t="s">
        <v>48</v>
      </c>
      <c r="O513" s="39" t="s">
        <v>49</v>
      </c>
      <c r="P513" s="210"/>
      <c r="Q513" s="19">
        <f>R513*I513</f>
        <v>220</v>
      </c>
      <c r="R513" s="15">
        <v>0.11</v>
      </c>
      <c r="S513" s="5">
        <f>($AC513*$AD513)/(($Z513/$Y513)+($AA513/$Z513)+($AB513/$AA513))</f>
        <v>99.130434782608702</v>
      </c>
      <c r="T513" s="5"/>
      <c r="U513" s="109" t="s">
        <v>767</v>
      </c>
      <c r="V513" s="2" t="s">
        <v>121</v>
      </c>
      <c r="W513" s="10"/>
      <c r="X513" s="70"/>
      <c r="Y513" s="2">
        <v>1.5</v>
      </c>
      <c r="Z513" s="2">
        <v>4</v>
      </c>
      <c r="AA513" s="2">
        <v>10</v>
      </c>
      <c r="AB513" s="2">
        <v>25</v>
      </c>
      <c r="AC513" s="2">
        <v>19</v>
      </c>
      <c r="AD513" s="2">
        <v>40</v>
      </c>
      <c r="AE513" s="2">
        <f>AC513*AD513</f>
        <v>760</v>
      </c>
      <c r="AF513" s="2">
        <f>Z513/Y513</f>
        <v>2.6666666666666665</v>
      </c>
      <c r="AG513" s="2">
        <f>AA513/Z513</f>
        <v>2.5</v>
      </c>
      <c r="AH513" s="2">
        <f>AB513/AA513</f>
        <v>2.5</v>
      </c>
    </row>
    <row r="514" spans="1:34">
      <c r="A514" s="165" t="s">
        <v>1383</v>
      </c>
      <c r="B514" s="36" t="s">
        <v>63</v>
      </c>
      <c r="C514" s="41">
        <v>46181</v>
      </c>
      <c r="D514" s="144" t="s">
        <v>115</v>
      </c>
      <c r="E514" s="8">
        <v>29</v>
      </c>
      <c r="F514" s="194" t="s">
        <v>952</v>
      </c>
      <c r="G514" s="2">
        <v>3</v>
      </c>
      <c r="H514" s="2">
        <v>8</v>
      </c>
      <c r="I514" s="45">
        <v>50000</v>
      </c>
      <c r="J514" s="2" t="s">
        <v>760</v>
      </c>
      <c r="K514" s="109" t="s">
        <v>815</v>
      </c>
      <c r="L514" s="92">
        <v>300000</v>
      </c>
      <c r="M514" s="69">
        <v>60</v>
      </c>
      <c r="N514" s="39" t="s">
        <v>48</v>
      </c>
      <c r="O514" s="39" t="s">
        <v>49</v>
      </c>
      <c r="P514" s="210"/>
      <c r="Q514" s="19">
        <f>R514*I514</f>
        <v>2500</v>
      </c>
      <c r="R514" s="15">
        <v>0.05</v>
      </c>
      <c r="S514" s="5">
        <f>($AC514*$AD514)/(($Z514/$Y514)+($AA514/$Z514)+($AB514/$AA514))</f>
        <v>145.94594594594594</v>
      </c>
      <c r="U514" s="109" t="s">
        <v>767</v>
      </c>
      <c r="V514" s="2" t="s">
        <v>121</v>
      </c>
      <c r="W514" s="10"/>
      <c r="Y514" s="2">
        <v>20</v>
      </c>
      <c r="Z514" s="2">
        <v>50</v>
      </c>
      <c r="AA514" s="2">
        <v>125</v>
      </c>
      <c r="AB514" s="2">
        <v>300</v>
      </c>
      <c r="AC514" s="2">
        <v>18</v>
      </c>
      <c r="AD514" s="2">
        <v>60</v>
      </c>
      <c r="AE514" s="2">
        <f>AC514*AD514</f>
        <v>1080</v>
      </c>
      <c r="AF514" s="2">
        <f>Z514/Y514</f>
        <v>2.5</v>
      </c>
      <c r="AG514" s="2">
        <f>AA514/Z514</f>
        <v>2.5</v>
      </c>
      <c r="AH514" s="2">
        <f>AB514/AA514</f>
        <v>2.4</v>
      </c>
    </row>
    <row r="515" spans="1:34">
      <c r="A515" s="165" t="s">
        <v>1383</v>
      </c>
      <c r="B515" s="36" t="s">
        <v>63</v>
      </c>
      <c r="C515" s="41">
        <v>46181</v>
      </c>
      <c r="D515" s="144" t="s">
        <v>116</v>
      </c>
      <c r="E515" s="8">
        <v>30</v>
      </c>
      <c r="F515" s="194" t="s">
        <v>953</v>
      </c>
      <c r="G515" s="2">
        <v>3</v>
      </c>
      <c r="H515" s="2">
        <v>7</v>
      </c>
      <c r="I515" s="45">
        <v>1500</v>
      </c>
      <c r="J515" s="2" t="s">
        <v>110</v>
      </c>
      <c r="K515" s="109" t="s">
        <v>598</v>
      </c>
      <c r="L515" s="92">
        <v>25000</v>
      </c>
      <c r="M515" s="69" t="s">
        <v>97</v>
      </c>
      <c r="N515" s="39" t="s">
        <v>48</v>
      </c>
      <c r="O515" s="39" t="s">
        <v>372</v>
      </c>
      <c r="P515" s="213"/>
      <c r="Q515" s="38">
        <f>R515*I515</f>
        <v>172.5</v>
      </c>
      <c r="R515" s="15">
        <v>0.115</v>
      </c>
      <c r="S515" s="149" t="s">
        <v>110</v>
      </c>
      <c r="T515" s="149"/>
      <c r="U515" s="109" t="s">
        <v>767</v>
      </c>
      <c r="V515" s="2" t="s">
        <v>121</v>
      </c>
      <c r="W515" s="10"/>
      <c r="AB515" s="70"/>
      <c r="AE515" s="2" t="e">
        <f>AD515*#REF!</f>
        <v>#REF!</v>
      </c>
      <c r="AF515" s="2" t="e">
        <f>Z515/Y515</f>
        <v>#DIV/0!</v>
      </c>
      <c r="AG515" s="2" t="e">
        <f>AA515/Z515</f>
        <v>#DIV/0!</v>
      </c>
      <c r="AH515" s="2" t="e">
        <f>AC515/AA515</f>
        <v>#DIV/0!</v>
      </c>
    </row>
    <row r="516" spans="1:34">
      <c r="A516" s="165" t="s">
        <v>1383</v>
      </c>
      <c r="B516" s="36" t="s">
        <v>63</v>
      </c>
      <c r="C516" s="41">
        <v>46181</v>
      </c>
      <c r="D516" s="144" t="s">
        <v>876</v>
      </c>
      <c r="E516" s="8">
        <v>24</v>
      </c>
      <c r="F516" s="194" t="s">
        <v>1109</v>
      </c>
      <c r="G516" s="2">
        <v>3</v>
      </c>
      <c r="H516" s="2">
        <v>6</v>
      </c>
      <c r="I516" s="45">
        <v>25000</v>
      </c>
      <c r="J516" s="2" t="s">
        <v>760</v>
      </c>
      <c r="K516" s="109" t="s">
        <v>598</v>
      </c>
      <c r="L516" s="92">
        <v>150000</v>
      </c>
      <c r="M516" s="69">
        <v>60</v>
      </c>
      <c r="N516" s="39" t="s">
        <v>48</v>
      </c>
      <c r="O516" s="39" t="s">
        <v>49</v>
      </c>
      <c r="P516" s="210"/>
      <c r="Q516" s="19">
        <f>R516*I516</f>
        <v>1500</v>
      </c>
      <c r="R516" s="15">
        <v>0.06</v>
      </c>
      <c r="S516" s="5">
        <f>($AC516*$AD516)/(($Z516/$Y516)+($AA516/$Z516)+($AB516/$AA516))</f>
        <v>136.46655231560891</v>
      </c>
      <c r="U516" s="109" t="s">
        <v>375</v>
      </c>
      <c r="V516" s="2" t="s">
        <v>121</v>
      </c>
      <c r="W516" s="10"/>
      <c r="Y516" s="2">
        <v>13</v>
      </c>
      <c r="Z516" s="2">
        <v>30</v>
      </c>
      <c r="AA516" s="2">
        <v>75</v>
      </c>
      <c r="AB516" s="2">
        <v>200</v>
      </c>
      <c r="AC516" s="2">
        <v>17</v>
      </c>
      <c r="AD516" s="2">
        <v>60</v>
      </c>
      <c r="AE516" s="2">
        <f>AC516*AD516</f>
        <v>1020</v>
      </c>
      <c r="AF516" s="2">
        <f>Z516/Y516</f>
        <v>2.3076923076923075</v>
      </c>
      <c r="AG516" s="2">
        <f>AA516/Z516</f>
        <v>2.5</v>
      </c>
      <c r="AH516" s="2">
        <f>AB516/AA516</f>
        <v>2.6666666666666665</v>
      </c>
    </row>
    <row r="517" spans="1:34">
      <c r="A517" s="165" t="s">
        <v>1383</v>
      </c>
      <c r="B517" s="36" t="s">
        <v>63</v>
      </c>
      <c r="C517" s="41">
        <v>46181</v>
      </c>
      <c r="D517" s="144" t="s">
        <v>876</v>
      </c>
      <c r="E517" s="14">
        <v>22</v>
      </c>
      <c r="F517" s="8" t="s">
        <v>1119</v>
      </c>
      <c r="G517" s="2">
        <v>3</v>
      </c>
      <c r="H517" s="2">
        <v>8</v>
      </c>
      <c r="I517" s="45">
        <v>1500</v>
      </c>
      <c r="J517" s="2" t="s">
        <v>763</v>
      </c>
      <c r="K517" s="109" t="s">
        <v>598</v>
      </c>
      <c r="L517" s="92">
        <v>25000</v>
      </c>
      <c r="M517" s="69" t="s">
        <v>97</v>
      </c>
      <c r="N517" s="39" t="s">
        <v>48</v>
      </c>
      <c r="O517" s="39" t="s">
        <v>373</v>
      </c>
      <c r="P517" s="213"/>
      <c r="Q517" s="38">
        <f>R517*I517</f>
        <v>172.5</v>
      </c>
      <c r="R517" s="15">
        <v>0.115</v>
      </c>
      <c r="S517" s="149" t="s">
        <v>110</v>
      </c>
      <c r="T517" s="149"/>
      <c r="U517" s="109" t="s">
        <v>767</v>
      </c>
      <c r="V517" s="205" t="s">
        <v>121</v>
      </c>
      <c r="W517" s="10"/>
      <c r="AB517" s="70"/>
      <c r="AE517" s="2" t="e">
        <f>AD517*#REF!</f>
        <v>#REF!</v>
      </c>
      <c r="AF517" s="2" t="e">
        <f>Z517/Y517</f>
        <v>#DIV/0!</v>
      </c>
      <c r="AG517" s="2" t="e">
        <f>AA517/Z517</f>
        <v>#DIV/0!</v>
      </c>
      <c r="AH517" s="2" t="e">
        <f>AC517/AA517</f>
        <v>#DIV/0!</v>
      </c>
    </row>
    <row r="518" spans="1:34">
      <c r="A518" s="96" t="s">
        <v>461</v>
      </c>
      <c r="B518" s="96" t="s">
        <v>462</v>
      </c>
      <c r="C518" s="41">
        <v>46182</v>
      </c>
      <c r="D518" s="42">
        <v>0.4236111111111111</v>
      </c>
      <c r="E518" s="193"/>
      <c r="F518" s="194" t="s">
        <v>469</v>
      </c>
      <c r="G518" s="2">
        <v>2</v>
      </c>
      <c r="I518" s="126">
        <v>300</v>
      </c>
      <c r="J518" s="2" t="s">
        <v>766</v>
      </c>
      <c r="K518" s="109" t="s">
        <v>598</v>
      </c>
      <c r="L518" s="194">
        <v>30000</v>
      </c>
      <c r="M518" s="69">
        <v>30</v>
      </c>
      <c r="N518" s="39" t="s">
        <v>48</v>
      </c>
      <c r="O518" s="39" t="s">
        <v>49</v>
      </c>
      <c r="P518" s="135" t="s">
        <v>842</v>
      </c>
      <c r="Q518" s="19">
        <v>65</v>
      </c>
      <c r="R518" s="15">
        <f>Q518/I518</f>
        <v>0.21666666666666667</v>
      </c>
      <c r="S518" s="5">
        <f>($AC518*$AD518)/(($Z518/$Y518)+($AA518/$Z518)+($AB518/$AA518))</f>
        <v>53.333333333333336</v>
      </c>
      <c r="U518" s="109" t="s">
        <v>767</v>
      </c>
      <c r="V518" s="205" t="s">
        <v>735</v>
      </c>
      <c r="W518" s="10"/>
      <c r="Y518" s="2">
        <v>2</v>
      </c>
      <c r="Z518" s="2">
        <v>5</v>
      </c>
      <c r="AA518" s="2">
        <v>20</v>
      </c>
      <c r="AB518" s="2">
        <v>50</v>
      </c>
      <c r="AC518" s="2">
        <v>16</v>
      </c>
      <c r="AD518" s="2">
        <v>30</v>
      </c>
      <c r="AE518" s="2">
        <f>AC518*AD518</f>
        <v>480</v>
      </c>
      <c r="AF518" s="2">
        <f>Z518/Y518</f>
        <v>2.5</v>
      </c>
      <c r="AG518" s="2">
        <f>AA518/Z518</f>
        <v>4</v>
      </c>
      <c r="AH518" s="2">
        <f>AB518/AA518</f>
        <v>2.5</v>
      </c>
    </row>
    <row r="519" spans="1:34">
      <c r="A519" s="68" t="s">
        <v>357</v>
      </c>
      <c r="B519" s="68" t="s">
        <v>358</v>
      </c>
      <c r="C519" s="191">
        <v>46182</v>
      </c>
      <c r="D519" s="42">
        <v>0.4236111111111111</v>
      </c>
      <c r="E519" s="8">
        <v>37</v>
      </c>
      <c r="F519" s="63" t="s">
        <v>672</v>
      </c>
      <c r="G519" s="2">
        <v>2</v>
      </c>
      <c r="H519" s="2">
        <v>9</v>
      </c>
      <c r="I519" s="126">
        <v>1100</v>
      </c>
      <c r="J519" s="2" t="s">
        <v>766</v>
      </c>
      <c r="K519" s="137" t="s">
        <v>601</v>
      </c>
      <c r="L519" s="92">
        <v>40000</v>
      </c>
      <c r="M519" s="69">
        <v>40</v>
      </c>
      <c r="N519" s="39" t="s">
        <v>48</v>
      </c>
      <c r="O519" s="39" t="s">
        <v>49</v>
      </c>
      <c r="P519" s="135" t="s">
        <v>848</v>
      </c>
      <c r="Q519" s="19">
        <v>140</v>
      </c>
      <c r="R519" s="15">
        <f>Q519/I519</f>
        <v>0.12727272727272726</v>
      </c>
      <c r="S519" s="5">
        <f>($AC519*$AD519)/(($Z519/$Y519)+($AA519/$Z519)+($AB519/$AA519))</f>
        <v>76.947040498442377</v>
      </c>
      <c r="U519" s="109" t="s">
        <v>767</v>
      </c>
      <c r="V519" s="2" t="s">
        <v>671</v>
      </c>
      <c r="W519" s="10"/>
      <c r="Y519" s="2">
        <v>2</v>
      </c>
      <c r="Z519" s="2">
        <v>5</v>
      </c>
      <c r="AA519" s="2">
        <v>13</v>
      </c>
      <c r="AB519" s="2">
        <v>30</v>
      </c>
      <c r="AC519" s="2">
        <v>30</v>
      </c>
      <c r="AD519" s="2">
        <v>19</v>
      </c>
      <c r="AE519" s="2">
        <f>AC519*AD519</f>
        <v>570</v>
      </c>
      <c r="AF519" s="2">
        <f>Z519/Y519</f>
        <v>2.5</v>
      </c>
      <c r="AG519" s="2">
        <f>AA519/Z519</f>
        <v>2.6</v>
      </c>
      <c r="AH519" s="2">
        <f>AB519/AA519</f>
        <v>2.3076923076923075</v>
      </c>
    </row>
    <row r="520" spans="1:34">
      <c r="A520" s="95" t="s">
        <v>447</v>
      </c>
      <c r="B520" s="95" t="s">
        <v>448</v>
      </c>
      <c r="C520" s="190">
        <v>46182</v>
      </c>
      <c r="D520" s="42">
        <v>0.45833333333333331</v>
      </c>
      <c r="E520" s="193"/>
      <c r="F520" s="8" t="s">
        <v>434</v>
      </c>
      <c r="G520" s="2">
        <v>1</v>
      </c>
      <c r="H520" s="2">
        <v>8</v>
      </c>
      <c r="I520" s="126">
        <v>1100</v>
      </c>
      <c r="J520" s="2" t="s">
        <v>766</v>
      </c>
      <c r="K520" s="109" t="s">
        <v>602</v>
      </c>
      <c r="L520" s="194">
        <v>30000</v>
      </c>
      <c r="M520" s="194">
        <v>30</v>
      </c>
      <c r="N520" s="39" t="s">
        <v>48</v>
      </c>
      <c r="O520" s="39" t="s">
        <v>57</v>
      </c>
      <c r="P520" s="63">
        <v>250000</v>
      </c>
      <c r="Q520" s="2">
        <v>135</v>
      </c>
      <c r="R520" s="15">
        <f>Q520/I520</f>
        <v>0.12272727272727273</v>
      </c>
      <c r="S520" s="176" t="s">
        <v>110</v>
      </c>
      <c r="T520" s="176"/>
      <c r="U520" s="109" t="s">
        <v>767</v>
      </c>
      <c r="V520" s="2" t="s">
        <v>741</v>
      </c>
      <c r="W520" s="10"/>
      <c r="AE520" s="2">
        <f>AC520*AD520</f>
        <v>0</v>
      </c>
      <c r="AF520" s="2" t="e">
        <f>Z520/Y520</f>
        <v>#DIV/0!</v>
      </c>
      <c r="AG520" s="2" t="e">
        <f>AA520/Z520</f>
        <v>#DIV/0!</v>
      </c>
      <c r="AH520" s="2" t="e">
        <f>AB520/AA520</f>
        <v>#DIV/0!</v>
      </c>
    </row>
    <row r="521" spans="1:34">
      <c r="A521" s="103" t="s">
        <v>539</v>
      </c>
      <c r="B521" s="103" t="s">
        <v>540</v>
      </c>
      <c r="C521" s="191">
        <v>46182</v>
      </c>
      <c r="D521" s="42">
        <v>0.45833333333333331</v>
      </c>
      <c r="E521" s="46">
        <v>22</v>
      </c>
      <c r="F521" s="63" t="s">
        <v>555</v>
      </c>
      <c r="G521" s="2">
        <v>3</v>
      </c>
      <c r="H521" s="2">
        <v>9</v>
      </c>
      <c r="I521" s="126">
        <v>0</v>
      </c>
      <c r="J521" s="2" t="s">
        <v>767</v>
      </c>
      <c r="K521" s="109" t="s">
        <v>767</v>
      </c>
      <c r="L521" s="92"/>
      <c r="M521" s="69"/>
      <c r="N521" s="39" t="s">
        <v>819</v>
      </c>
      <c r="O521" s="39" t="s">
        <v>49</v>
      </c>
      <c r="P521" s="131"/>
      <c r="U521" s="109" t="s">
        <v>854</v>
      </c>
      <c r="V521" s="71"/>
      <c r="W521" s="10"/>
      <c r="AB521" s="70"/>
      <c r="AE521" s="2" t="e">
        <f>AD521*#REF!</f>
        <v>#REF!</v>
      </c>
      <c r="AF521" s="2" t="e">
        <f>Z521/Y521</f>
        <v>#DIV/0!</v>
      </c>
      <c r="AG521" s="2" t="e">
        <f>AA521/Z521</f>
        <v>#DIV/0!</v>
      </c>
      <c r="AH521" s="2" t="e">
        <f>AC521/AA521</f>
        <v>#DIV/0!</v>
      </c>
    </row>
    <row r="522" spans="1:34">
      <c r="A522" s="165" t="s">
        <v>1383</v>
      </c>
      <c r="B522" s="36" t="s">
        <v>63</v>
      </c>
      <c r="C522" s="41">
        <v>46182</v>
      </c>
      <c r="D522" s="144">
        <v>0.45833333333333331</v>
      </c>
      <c r="E522" s="14">
        <v>18</v>
      </c>
      <c r="F522" s="8" t="s">
        <v>1104</v>
      </c>
      <c r="G522" s="2">
        <v>5</v>
      </c>
      <c r="H522" s="2">
        <v>9</v>
      </c>
      <c r="I522" s="45">
        <v>1500</v>
      </c>
      <c r="J522" s="2" t="s">
        <v>761</v>
      </c>
      <c r="K522" s="109" t="s">
        <v>816</v>
      </c>
      <c r="L522" s="92">
        <v>50000</v>
      </c>
      <c r="M522" s="69">
        <v>60</v>
      </c>
      <c r="N522" s="39" t="s">
        <v>48</v>
      </c>
      <c r="O522" s="39" t="s">
        <v>49</v>
      </c>
      <c r="Q522" s="19">
        <f>R522*I522</f>
        <v>172.5</v>
      </c>
      <c r="R522" s="15">
        <v>0.115</v>
      </c>
      <c r="S522" s="5">
        <f>($AC522*$AD522)/(($Z522/$Y522)+($AA522/$Z522)+($AB522/$AA522))</f>
        <v>161.993769470405</v>
      </c>
      <c r="U522" s="109" t="s">
        <v>767</v>
      </c>
      <c r="V522" s="205" t="s">
        <v>121</v>
      </c>
      <c r="W522" s="10"/>
      <c r="Y522" s="2">
        <v>2</v>
      </c>
      <c r="Z522" s="2">
        <v>5</v>
      </c>
      <c r="AA522" s="2">
        <v>13</v>
      </c>
      <c r="AB522" s="2">
        <v>30</v>
      </c>
      <c r="AC522" s="2">
        <v>20</v>
      </c>
      <c r="AD522" s="2">
        <v>60</v>
      </c>
      <c r="AE522" s="2">
        <f>AC522*AD522</f>
        <v>1200</v>
      </c>
      <c r="AF522" s="2">
        <f>Z522/Y522</f>
        <v>2.5</v>
      </c>
      <c r="AG522" s="2">
        <f>AA522/Z522</f>
        <v>2.6</v>
      </c>
      <c r="AH522" s="2">
        <f>AB522/AA522</f>
        <v>2.3076923076923075</v>
      </c>
    </row>
    <row r="523" spans="1:34">
      <c r="A523" s="165" t="s">
        <v>1383</v>
      </c>
      <c r="B523" s="36" t="s">
        <v>63</v>
      </c>
      <c r="C523" s="41">
        <v>46182</v>
      </c>
      <c r="D523" s="144">
        <v>0.45833333333333331</v>
      </c>
      <c r="E523" s="8">
        <v>28</v>
      </c>
      <c r="F523" s="8" t="s">
        <v>1203</v>
      </c>
      <c r="G523" s="2">
        <v>2</v>
      </c>
      <c r="H523" s="2">
        <v>8</v>
      </c>
      <c r="I523" s="81">
        <v>600</v>
      </c>
      <c r="J523" s="2" t="s">
        <v>762</v>
      </c>
      <c r="K523" s="109" t="s">
        <v>601</v>
      </c>
      <c r="L523" s="160">
        <v>30000</v>
      </c>
      <c r="M523" s="69">
        <v>30</v>
      </c>
      <c r="N523" s="39" t="s">
        <v>48</v>
      </c>
      <c r="O523" s="39" t="s">
        <v>124</v>
      </c>
      <c r="Q523" s="19">
        <f>R523*I523</f>
        <v>96</v>
      </c>
      <c r="R523" s="59">
        <v>0.16</v>
      </c>
      <c r="S523" s="149" t="s">
        <v>110</v>
      </c>
      <c r="T523" s="149"/>
      <c r="U523" s="109" t="s">
        <v>767</v>
      </c>
      <c r="V523" s="2" t="s">
        <v>121</v>
      </c>
      <c r="W523" s="10"/>
      <c r="AB523" s="70"/>
      <c r="AE523" s="2" t="e">
        <f>AD523*#REF!</f>
        <v>#REF!</v>
      </c>
      <c r="AF523" s="2" t="e">
        <f>Z523/Y523</f>
        <v>#DIV/0!</v>
      </c>
      <c r="AG523" s="2" t="e">
        <f>AA523/Z523</f>
        <v>#DIV/0!</v>
      </c>
      <c r="AH523" s="2" t="e">
        <f>AC523/AA523</f>
        <v>#DIV/0!</v>
      </c>
    </row>
    <row r="524" spans="1:34">
      <c r="A524" s="102" t="s">
        <v>475</v>
      </c>
      <c r="B524" s="102" t="s">
        <v>476</v>
      </c>
      <c r="C524" s="190">
        <v>46182</v>
      </c>
      <c r="D524" s="42">
        <v>0.45833333333333331</v>
      </c>
      <c r="E524" s="8" t="s">
        <v>491</v>
      </c>
      <c r="F524" s="8" t="s">
        <v>492</v>
      </c>
      <c r="G524" s="2">
        <v>2</v>
      </c>
      <c r="H524" s="2">
        <v>9</v>
      </c>
      <c r="I524" s="126">
        <v>400</v>
      </c>
      <c r="J524" s="2" t="s">
        <v>766</v>
      </c>
      <c r="K524" s="109" t="s">
        <v>601</v>
      </c>
      <c r="L524" s="201">
        <v>30000</v>
      </c>
      <c r="M524" s="203">
        <v>30</v>
      </c>
      <c r="N524" s="39" t="s">
        <v>48</v>
      </c>
      <c r="O524" s="39" t="s">
        <v>49</v>
      </c>
      <c r="P524" s="134" t="s">
        <v>838</v>
      </c>
      <c r="Q524" s="19">
        <v>70</v>
      </c>
      <c r="R524" s="15">
        <f>Q524/I524</f>
        <v>0.17499999999999999</v>
      </c>
      <c r="S524" s="5">
        <f>($AC524*$AD524)/(($Z524/$Y524)+($AA524/$Z524)+($AB524/$AA524))</f>
        <v>72.897196261682254</v>
      </c>
      <c r="U524" s="109" t="s">
        <v>767</v>
      </c>
      <c r="V524" s="2" t="s">
        <v>649</v>
      </c>
      <c r="W524" s="10"/>
      <c r="Y524" s="2">
        <v>2</v>
      </c>
      <c r="Z524" s="2">
        <v>5</v>
      </c>
      <c r="AA524" s="2">
        <v>13</v>
      </c>
      <c r="AB524" s="2">
        <v>30</v>
      </c>
      <c r="AC524" s="2">
        <v>30</v>
      </c>
      <c r="AD524" s="2">
        <v>18</v>
      </c>
      <c r="AE524" s="2">
        <f>AC524*AD524</f>
        <v>540</v>
      </c>
      <c r="AF524" s="2">
        <f>Z524/Y524</f>
        <v>2.5</v>
      </c>
      <c r="AG524" s="2">
        <f>AA524/Z524</f>
        <v>2.6</v>
      </c>
      <c r="AH524" s="2">
        <f>AB524/AA524</f>
        <v>2.3076923076923075</v>
      </c>
    </row>
    <row r="525" spans="1:34">
      <c r="A525" s="52" t="s">
        <v>229</v>
      </c>
      <c r="B525" s="52" t="s">
        <v>230</v>
      </c>
      <c r="C525" s="190">
        <v>46182</v>
      </c>
      <c r="D525" s="42">
        <v>0.45833333333333331</v>
      </c>
      <c r="E525" s="193"/>
      <c r="F525" s="8" t="s">
        <v>241</v>
      </c>
      <c r="G525" s="2">
        <v>1</v>
      </c>
      <c r="I525" s="126">
        <v>300</v>
      </c>
      <c r="J525" s="2" t="s">
        <v>766</v>
      </c>
      <c r="K525" s="88" t="s">
        <v>775</v>
      </c>
      <c r="L525" s="90">
        <v>30000</v>
      </c>
      <c r="M525" s="46">
        <v>30</v>
      </c>
      <c r="N525" s="39" t="s">
        <v>48</v>
      </c>
      <c r="O525" s="39" t="s">
        <v>49</v>
      </c>
      <c r="P525" s="134" t="s">
        <v>835</v>
      </c>
      <c r="Q525" s="19">
        <v>45</v>
      </c>
      <c r="R525" s="15">
        <f>IF(Q525&gt;0,Q525/I525,"")</f>
        <v>0.15</v>
      </c>
      <c r="S525" s="5">
        <f>($AC525*$AD525)/(($Z525/$Y525)+($AA525/$Z525)+($AB525/$AA525))</f>
        <v>72.897196261682254</v>
      </c>
      <c r="U525" s="109" t="s">
        <v>767</v>
      </c>
      <c r="V525" s="205" t="s">
        <v>719</v>
      </c>
      <c r="W525" s="205"/>
      <c r="Y525" s="2">
        <v>2</v>
      </c>
      <c r="Z525" s="2">
        <v>5</v>
      </c>
      <c r="AA525" s="2">
        <v>13</v>
      </c>
      <c r="AB525" s="2">
        <v>30</v>
      </c>
      <c r="AC525" s="2">
        <v>18</v>
      </c>
      <c r="AD525" s="2">
        <v>30</v>
      </c>
      <c r="AE525" s="2">
        <f>AC525*AD525</f>
        <v>540</v>
      </c>
      <c r="AF525" s="2">
        <f>Z525/Y525</f>
        <v>2.5</v>
      </c>
      <c r="AG525" s="2">
        <f>AA525/Z525</f>
        <v>2.6</v>
      </c>
      <c r="AH525" s="2">
        <f>AB525/AA525</f>
        <v>2.3076923076923075</v>
      </c>
    </row>
    <row r="526" spans="1:34">
      <c r="A526" s="52" t="s">
        <v>220</v>
      </c>
      <c r="B526" s="52" t="s">
        <v>221</v>
      </c>
      <c r="C526" s="191">
        <v>46182</v>
      </c>
      <c r="D526" s="42">
        <v>0.45833333333333331</v>
      </c>
      <c r="E526" s="193"/>
      <c r="F526" s="8" t="s">
        <v>1356</v>
      </c>
      <c r="G526" s="2">
        <v>3</v>
      </c>
      <c r="H526" s="2">
        <v>9</v>
      </c>
      <c r="I526" s="126">
        <v>5000</v>
      </c>
      <c r="J526" s="2" t="s">
        <v>766</v>
      </c>
      <c r="K526" s="109" t="s">
        <v>767</v>
      </c>
      <c r="L526" s="91">
        <v>50000</v>
      </c>
      <c r="M526" s="203">
        <v>60</v>
      </c>
      <c r="N526" s="39" t="s">
        <v>48</v>
      </c>
      <c r="O526" s="39" t="s">
        <v>49</v>
      </c>
      <c r="P526" s="135" t="s">
        <v>842</v>
      </c>
      <c r="Q526" s="19">
        <v>350</v>
      </c>
      <c r="R526" s="15">
        <f>Q526/I526</f>
        <v>7.0000000000000007E-2</v>
      </c>
      <c r="S526" s="5">
        <f>($AC526*$AD526)/(($Z526/$Y526)+($AA526/$Z526)+($AB526/$AA526))</f>
        <v>161.993769470405</v>
      </c>
      <c r="U526" s="109" t="s">
        <v>54</v>
      </c>
      <c r="V526" s="205" t="s">
        <v>738</v>
      </c>
      <c r="W526" s="10"/>
      <c r="Y526" s="2">
        <v>2</v>
      </c>
      <c r="Z526" s="2">
        <v>5</v>
      </c>
      <c r="AA526" s="2">
        <v>13</v>
      </c>
      <c r="AB526" s="2">
        <v>30</v>
      </c>
      <c r="AC526" s="2">
        <v>20</v>
      </c>
      <c r="AD526" s="2">
        <v>60</v>
      </c>
      <c r="AE526" s="2">
        <f>AC526*AD526</f>
        <v>1200</v>
      </c>
      <c r="AF526" s="2">
        <f>Z526/Y526</f>
        <v>2.5</v>
      </c>
      <c r="AG526" s="2">
        <f>AA526/Z526</f>
        <v>2.6</v>
      </c>
      <c r="AH526" s="2">
        <f>AB526/AA526</f>
        <v>2.3076923076923075</v>
      </c>
    </row>
    <row r="527" spans="1:34">
      <c r="A527" s="52" t="s">
        <v>220</v>
      </c>
      <c r="B527" s="52" t="s">
        <v>221</v>
      </c>
      <c r="C527" s="51">
        <v>46182</v>
      </c>
      <c r="D527" s="42">
        <v>0.45833333333333331</v>
      </c>
      <c r="E527" s="193"/>
      <c r="F527" s="8" t="s">
        <v>1045</v>
      </c>
      <c r="G527" s="2">
        <v>3</v>
      </c>
      <c r="H527" s="2">
        <v>9</v>
      </c>
      <c r="I527" s="126">
        <v>1600</v>
      </c>
      <c r="J527" s="2" t="s">
        <v>766</v>
      </c>
      <c r="K527" s="88" t="s">
        <v>777</v>
      </c>
      <c r="L527" s="91">
        <v>40000</v>
      </c>
      <c r="M527" s="203" t="s">
        <v>22</v>
      </c>
      <c r="N527" s="39" t="s">
        <v>48</v>
      </c>
      <c r="O527" s="39" t="s">
        <v>49</v>
      </c>
      <c r="P527" s="135" t="s">
        <v>846</v>
      </c>
      <c r="Q527" s="19">
        <v>170</v>
      </c>
      <c r="R527" s="15">
        <f>Q527/I527</f>
        <v>0.10625</v>
      </c>
      <c r="S527" s="5">
        <f>($AC527*$AD527)/(($Z527/$Y527)+($AA527/$Z527)+($AB527/$AA527))</f>
        <v>66.122448979591837</v>
      </c>
      <c r="U527" s="109" t="s">
        <v>767</v>
      </c>
      <c r="V527" s="2" t="s">
        <v>738</v>
      </c>
      <c r="W527" s="10"/>
      <c r="Y527" s="2">
        <v>2</v>
      </c>
      <c r="Z527" s="2">
        <v>5</v>
      </c>
      <c r="AA527" s="2">
        <v>15</v>
      </c>
      <c r="AB527" s="2">
        <v>40</v>
      </c>
      <c r="AC527" s="2">
        <v>18</v>
      </c>
      <c r="AD527" s="2">
        <v>30</v>
      </c>
      <c r="AE527" s="2">
        <f>AC527*AD527</f>
        <v>540</v>
      </c>
      <c r="AF527" s="2">
        <f>Z527/Y527</f>
        <v>2.5</v>
      </c>
      <c r="AG527" s="2">
        <f>AA527/Z527</f>
        <v>3</v>
      </c>
      <c r="AH527" s="2">
        <f>AB527/AA527</f>
        <v>2.6666666666666665</v>
      </c>
    </row>
    <row r="528" spans="1:34">
      <c r="A528" s="165" t="s">
        <v>1383</v>
      </c>
      <c r="B528" s="39" t="s">
        <v>63</v>
      </c>
      <c r="C528" s="47">
        <v>46182</v>
      </c>
      <c r="D528" s="144">
        <v>0.5</v>
      </c>
      <c r="F528" s="8" t="s">
        <v>923</v>
      </c>
      <c r="G528" s="2">
        <v>1</v>
      </c>
      <c r="H528" s="2">
        <v>9</v>
      </c>
      <c r="I528" s="126">
        <v>70</v>
      </c>
      <c r="J528" s="2" t="s">
        <v>766</v>
      </c>
      <c r="K528" s="88" t="s">
        <v>771</v>
      </c>
      <c r="L528" s="91">
        <v>10000</v>
      </c>
      <c r="M528">
        <v>10</v>
      </c>
      <c r="N528" s="132" t="s">
        <v>821</v>
      </c>
      <c r="O528" s="39" t="s">
        <v>49</v>
      </c>
      <c r="P528" s="210"/>
      <c r="Q528" s="19">
        <v>20</v>
      </c>
      <c r="R528" s="15">
        <f>Q528/I528</f>
        <v>0.2857142857142857</v>
      </c>
      <c r="S528" s="5">
        <v>15</v>
      </c>
      <c r="U528" s="109" t="s">
        <v>767</v>
      </c>
      <c r="V528" s="71" t="s">
        <v>362</v>
      </c>
      <c r="W528" s="195" t="s">
        <v>363</v>
      </c>
      <c r="Y528" s="175"/>
      <c r="Z528" s="175"/>
      <c r="AA528" s="175"/>
      <c r="AB528" s="175"/>
      <c r="AC528" s="175"/>
      <c r="AD528" s="175"/>
      <c r="AE528" s="175"/>
      <c r="AF528" s="175"/>
      <c r="AG528" s="175"/>
      <c r="AH528" s="175"/>
    </row>
    <row r="529" spans="1:34">
      <c r="A529" s="165" t="s">
        <v>1383</v>
      </c>
      <c r="B529" s="39" t="s">
        <v>63</v>
      </c>
      <c r="C529" s="47">
        <v>46182</v>
      </c>
      <c r="D529" s="144">
        <v>0.5</v>
      </c>
      <c r="F529" s="8" t="s">
        <v>908</v>
      </c>
      <c r="G529" s="2">
        <v>1</v>
      </c>
      <c r="H529" s="2">
        <v>9</v>
      </c>
      <c r="I529" s="126">
        <v>120</v>
      </c>
      <c r="J529" s="2" t="s">
        <v>766</v>
      </c>
      <c r="K529" s="88" t="s">
        <v>771</v>
      </c>
      <c r="L529" s="91">
        <v>10000</v>
      </c>
      <c r="M529" s="194">
        <v>10</v>
      </c>
      <c r="N529" s="132" t="s">
        <v>821</v>
      </c>
      <c r="O529" s="39" t="s">
        <v>49</v>
      </c>
      <c r="P529" s="210"/>
      <c r="Q529" s="19">
        <v>35</v>
      </c>
      <c r="R529" s="15">
        <f>Q529/I529</f>
        <v>0.29166666666666669</v>
      </c>
      <c r="S529" s="5">
        <f>($AC529*$AD529)/(($Z529/$Y529)+($AA529/$Z529)+($AB529/$AA529))</f>
        <v>9.9248120300751879</v>
      </c>
      <c r="U529" s="137" t="s">
        <v>129</v>
      </c>
      <c r="V529" s="83" t="s">
        <v>362</v>
      </c>
      <c r="W529" s="194" t="s">
        <v>140</v>
      </c>
      <c r="Y529" s="2">
        <v>2</v>
      </c>
      <c r="Z529" s="2">
        <v>7.5</v>
      </c>
      <c r="AA529" s="2">
        <v>25</v>
      </c>
      <c r="AB529" s="2">
        <v>100</v>
      </c>
      <c r="AC529" s="2">
        <v>11</v>
      </c>
      <c r="AD529" s="2">
        <v>10</v>
      </c>
      <c r="AE529" s="2">
        <f>AC529*AD529</f>
        <v>110</v>
      </c>
      <c r="AF529" s="2">
        <f>Z529/Y529</f>
        <v>3.75</v>
      </c>
      <c r="AG529" s="2">
        <f>AA529/Z529</f>
        <v>3.3333333333333335</v>
      </c>
      <c r="AH529" s="2">
        <f>AB529/AA529</f>
        <v>4</v>
      </c>
    </row>
    <row r="530" spans="1:34">
      <c r="A530" s="102" t="s">
        <v>475</v>
      </c>
      <c r="B530" s="102" t="s">
        <v>476</v>
      </c>
      <c r="C530" s="190">
        <v>46182</v>
      </c>
      <c r="D530" s="42">
        <v>0.5</v>
      </c>
      <c r="E530" s="8">
        <v>6</v>
      </c>
      <c r="F530" s="200" t="s">
        <v>1337</v>
      </c>
      <c r="G530" s="2">
        <v>2</v>
      </c>
      <c r="H530" s="2">
        <v>9</v>
      </c>
      <c r="I530" s="126">
        <v>500</v>
      </c>
      <c r="J530" s="2" t="s">
        <v>766</v>
      </c>
      <c r="K530" s="109" t="s">
        <v>601</v>
      </c>
      <c r="L530" s="201">
        <v>30000</v>
      </c>
      <c r="M530" s="203" t="s">
        <v>22</v>
      </c>
      <c r="N530" s="39" t="s">
        <v>48</v>
      </c>
      <c r="O530" s="39" t="s">
        <v>49</v>
      </c>
      <c r="P530" s="135" t="s">
        <v>841</v>
      </c>
      <c r="Q530" s="19">
        <v>80</v>
      </c>
      <c r="R530" s="15">
        <f>Q530/I530</f>
        <v>0.16</v>
      </c>
      <c r="S530" s="5">
        <f>($AC530*$AD530)/(($Z530/$Y530)+($AA530/$Z530)+($AB530/$AA530))</f>
        <v>72.897196261682254</v>
      </c>
      <c r="U530" s="109" t="s">
        <v>855</v>
      </c>
      <c r="V530" s="205"/>
      <c r="W530" s="241" t="s">
        <v>600</v>
      </c>
      <c r="Y530" s="2">
        <v>2</v>
      </c>
      <c r="Z530" s="2">
        <v>5</v>
      </c>
      <c r="AA530" s="2">
        <v>13</v>
      </c>
      <c r="AB530" s="2">
        <v>30</v>
      </c>
      <c r="AC530" s="2">
        <v>30</v>
      </c>
      <c r="AD530" s="2">
        <v>18</v>
      </c>
      <c r="AE530" s="2">
        <f>AC530*AD530</f>
        <v>540</v>
      </c>
      <c r="AF530" s="2">
        <f>Z530/Y530</f>
        <v>2.5</v>
      </c>
      <c r="AG530" s="2">
        <f>AA530/Z530</f>
        <v>2.6</v>
      </c>
      <c r="AH530" s="2">
        <f>AB530/AA530</f>
        <v>2.3076923076923075</v>
      </c>
    </row>
    <row r="531" spans="1:34">
      <c r="A531" s="52" t="s">
        <v>220</v>
      </c>
      <c r="B531" s="52" t="s">
        <v>221</v>
      </c>
      <c r="C531" s="191">
        <v>46182</v>
      </c>
      <c r="D531" s="42">
        <v>0.5</v>
      </c>
      <c r="F531" s="8" t="s">
        <v>1038</v>
      </c>
      <c r="G531" s="2">
        <v>1</v>
      </c>
      <c r="H531" s="2">
        <v>6</v>
      </c>
      <c r="I531" s="126">
        <v>1100</v>
      </c>
      <c r="J531" s="2" t="s">
        <v>766</v>
      </c>
      <c r="K531" s="88" t="s">
        <v>780</v>
      </c>
      <c r="L531" s="91">
        <v>35000</v>
      </c>
      <c r="M531" s="203">
        <v>30</v>
      </c>
      <c r="N531" s="39" t="s">
        <v>48</v>
      </c>
      <c r="O531" s="39" t="s">
        <v>222</v>
      </c>
      <c r="P531" s="63">
        <v>50000</v>
      </c>
      <c r="Q531" s="2">
        <v>125</v>
      </c>
      <c r="R531" s="15">
        <f>Q531/I531</f>
        <v>0.11363636363636363</v>
      </c>
      <c r="S531" s="149" t="s">
        <v>110</v>
      </c>
      <c r="T531" s="149"/>
      <c r="U531" s="109" t="s">
        <v>767</v>
      </c>
      <c r="V531" s="205" t="s">
        <v>738</v>
      </c>
      <c r="W531" s="10"/>
      <c r="AE531" s="2">
        <f>AC531*AD531</f>
        <v>0</v>
      </c>
      <c r="AF531" s="2" t="e">
        <f>Z531/Y531</f>
        <v>#DIV/0!</v>
      </c>
      <c r="AG531" s="2" t="e">
        <f>AA531/Z531</f>
        <v>#DIV/0!</v>
      </c>
      <c r="AH531" s="2" t="e">
        <f>AB531/AA531</f>
        <v>#DIV/0!</v>
      </c>
    </row>
    <row r="532" spans="1:34">
      <c r="A532" s="103" t="s">
        <v>539</v>
      </c>
      <c r="B532" s="103" t="s">
        <v>540</v>
      </c>
      <c r="C532" s="191">
        <v>46182</v>
      </c>
      <c r="D532" s="42">
        <v>0.54166666666666663</v>
      </c>
      <c r="E532" s="8">
        <v>25</v>
      </c>
      <c r="F532" s="63" t="s">
        <v>542</v>
      </c>
      <c r="G532" s="2">
        <v>1</v>
      </c>
      <c r="H532" s="2">
        <v>9</v>
      </c>
      <c r="I532" s="151">
        <v>200</v>
      </c>
      <c r="J532" s="179" t="s">
        <v>766</v>
      </c>
      <c r="K532" s="179" t="s">
        <v>815</v>
      </c>
      <c r="L532" s="160">
        <v>30000</v>
      </c>
      <c r="M532" s="69">
        <v>30</v>
      </c>
      <c r="N532" s="39" t="s">
        <v>48</v>
      </c>
      <c r="O532" s="39" t="s">
        <v>49</v>
      </c>
      <c r="P532" s="212" t="s">
        <v>834</v>
      </c>
      <c r="Q532" s="19">
        <v>44</v>
      </c>
      <c r="R532" s="59">
        <f>Q532/I532</f>
        <v>0.22</v>
      </c>
      <c r="S532" s="5">
        <f>($AC532*$AD532)/(($Z532/$Y532)+($AA532/$Z532)+($AB532/$AA532))</f>
        <v>53.333333333333336</v>
      </c>
      <c r="U532" s="109" t="s">
        <v>767</v>
      </c>
      <c r="V532" s="71" t="s">
        <v>1395</v>
      </c>
      <c r="W532" s="10"/>
      <c r="Y532" s="2">
        <v>2</v>
      </c>
      <c r="Z532" s="2">
        <v>5</v>
      </c>
      <c r="AA532" s="2">
        <v>20</v>
      </c>
      <c r="AB532" s="2">
        <v>50</v>
      </c>
      <c r="AC532" s="2">
        <v>16</v>
      </c>
      <c r="AD532" s="2">
        <v>30</v>
      </c>
      <c r="AE532" s="2">
        <f>AC532*AD532</f>
        <v>480</v>
      </c>
      <c r="AF532" s="2">
        <f>Z532/Y532</f>
        <v>2.5</v>
      </c>
      <c r="AG532" s="2">
        <f>AA532/Z532</f>
        <v>4</v>
      </c>
      <c r="AH532" s="2">
        <f>AB532/AA532</f>
        <v>2.5</v>
      </c>
    </row>
    <row r="533" spans="1:34">
      <c r="A533" s="165" t="s">
        <v>1383</v>
      </c>
      <c r="B533" s="36" t="s">
        <v>63</v>
      </c>
      <c r="C533" s="41">
        <v>46182</v>
      </c>
      <c r="D533" s="144">
        <v>0.54166666666666663</v>
      </c>
      <c r="E533" s="8">
        <v>30</v>
      </c>
      <c r="F533" s="8" t="s">
        <v>1124</v>
      </c>
      <c r="G533" s="2">
        <v>3</v>
      </c>
      <c r="H533" s="2">
        <v>7</v>
      </c>
      <c r="I533" s="45">
        <v>1500</v>
      </c>
      <c r="J533" s="2" t="s">
        <v>110</v>
      </c>
      <c r="K533" s="109" t="s">
        <v>598</v>
      </c>
      <c r="L533" s="92">
        <v>25000</v>
      </c>
      <c r="M533" s="69" t="s">
        <v>97</v>
      </c>
      <c r="N533" s="39" t="s">
        <v>48</v>
      </c>
      <c r="O533" s="39" t="s">
        <v>372</v>
      </c>
      <c r="P533" s="19"/>
      <c r="Q533" s="38">
        <f>R533*I533</f>
        <v>172.5</v>
      </c>
      <c r="R533" s="15">
        <v>0.115</v>
      </c>
      <c r="S533" s="149" t="s">
        <v>110</v>
      </c>
      <c r="T533" s="149"/>
      <c r="U533" s="109" t="s">
        <v>767</v>
      </c>
      <c r="V533" s="205" t="s">
        <v>121</v>
      </c>
      <c r="W533" s="10"/>
      <c r="AB533" s="70"/>
      <c r="AE533" s="2" t="e">
        <f>AD533*#REF!</f>
        <v>#REF!</v>
      </c>
      <c r="AF533" s="2" t="e">
        <f>Z533/Y533</f>
        <v>#DIV/0!</v>
      </c>
      <c r="AG533" s="2" t="e">
        <f>AA533/Z533</f>
        <v>#DIV/0!</v>
      </c>
      <c r="AH533" s="2" t="e">
        <f>AC533/AA533</f>
        <v>#DIV/0!</v>
      </c>
    </row>
    <row r="534" spans="1:34">
      <c r="A534" s="165" t="s">
        <v>1383</v>
      </c>
      <c r="B534" s="72" t="s">
        <v>63</v>
      </c>
      <c r="C534" s="77">
        <v>46182</v>
      </c>
      <c r="D534" s="144">
        <v>0.54166666666666663</v>
      </c>
      <c r="E534" s="138"/>
      <c r="F534" s="8" t="s">
        <v>881</v>
      </c>
      <c r="G534" s="73">
        <v>1</v>
      </c>
      <c r="H534" s="73">
        <v>9</v>
      </c>
      <c r="I534" s="78">
        <v>250</v>
      </c>
      <c r="J534" s="2" t="s">
        <v>766</v>
      </c>
      <c r="K534" s="88" t="s">
        <v>787</v>
      </c>
      <c r="L534" s="154">
        <v>25000</v>
      </c>
      <c r="M534" s="79">
        <v>30</v>
      </c>
      <c r="N534" s="39" t="s">
        <v>817</v>
      </c>
      <c r="O534" s="39" t="s">
        <v>49</v>
      </c>
      <c r="P534" s="235"/>
      <c r="Q534" s="74">
        <v>50</v>
      </c>
      <c r="R534" s="75">
        <f>Q534/I534</f>
        <v>0.2</v>
      </c>
      <c r="S534" s="121">
        <v>44</v>
      </c>
      <c r="T534" s="121"/>
      <c r="U534" s="109" t="s">
        <v>767</v>
      </c>
      <c r="V534" s="80" t="s">
        <v>360</v>
      </c>
      <c r="W534" s="79"/>
      <c r="Y534" s="175"/>
      <c r="Z534" s="175"/>
      <c r="AA534" s="175"/>
      <c r="AB534" s="175"/>
      <c r="AC534" s="175"/>
      <c r="AD534" s="175"/>
      <c r="AE534" s="175"/>
      <c r="AF534" s="175"/>
      <c r="AG534" s="175"/>
      <c r="AH534" s="175"/>
    </row>
    <row r="535" spans="1:34">
      <c r="A535" s="96" t="s">
        <v>461</v>
      </c>
      <c r="B535" s="96" t="s">
        <v>462</v>
      </c>
      <c r="C535" s="41">
        <v>46182</v>
      </c>
      <c r="D535" s="42">
        <v>0.59027777777777779</v>
      </c>
      <c r="E535" s="193"/>
      <c r="F535" s="8" t="s">
        <v>276</v>
      </c>
      <c r="G535" s="2">
        <v>1</v>
      </c>
      <c r="I535" s="126">
        <v>120</v>
      </c>
      <c r="J535" s="2" t="s">
        <v>766</v>
      </c>
      <c r="K535" s="109" t="s">
        <v>602</v>
      </c>
      <c r="L535" s="194">
        <v>15000</v>
      </c>
      <c r="M535" s="69">
        <v>20</v>
      </c>
      <c r="N535" s="39" t="s">
        <v>48</v>
      </c>
      <c r="O535" s="39" t="s">
        <v>451</v>
      </c>
      <c r="P535" s="63">
        <v>6000</v>
      </c>
      <c r="Q535" s="2">
        <v>24</v>
      </c>
      <c r="R535" s="15">
        <f>Q535/I535</f>
        <v>0.2</v>
      </c>
      <c r="S535" s="149" t="s">
        <v>110</v>
      </c>
      <c r="T535" s="149"/>
      <c r="U535" s="109" t="s">
        <v>767</v>
      </c>
      <c r="V535" s="2" t="s">
        <v>735</v>
      </c>
      <c r="W535" s="10"/>
      <c r="AE535" s="2">
        <f>AC535*AD535</f>
        <v>0</v>
      </c>
      <c r="AF535" s="2" t="e">
        <f>Z535/Y535</f>
        <v>#DIV/0!</v>
      </c>
      <c r="AG535" s="2" t="e">
        <f>AA535/Z535</f>
        <v>#DIV/0!</v>
      </c>
      <c r="AH535" s="2" t="e">
        <f>AB535/AA535</f>
        <v>#DIV/0!</v>
      </c>
    </row>
    <row r="536" spans="1:34">
      <c r="A536" s="165" t="s">
        <v>1383</v>
      </c>
      <c r="B536" s="39" t="s">
        <v>63</v>
      </c>
      <c r="C536" s="41">
        <v>46182</v>
      </c>
      <c r="D536" s="144">
        <v>0.625</v>
      </c>
      <c r="F536" s="8" t="s">
        <v>912</v>
      </c>
      <c r="G536" s="2">
        <v>1</v>
      </c>
      <c r="H536" s="2">
        <v>9</v>
      </c>
      <c r="I536" s="45">
        <v>240</v>
      </c>
      <c r="J536" s="2" t="s">
        <v>766</v>
      </c>
      <c r="K536" s="88" t="s">
        <v>784</v>
      </c>
      <c r="L536" s="92">
        <v>10000</v>
      </c>
      <c r="M536" s="69">
        <v>20</v>
      </c>
      <c r="N536" s="132" t="s">
        <v>821</v>
      </c>
      <c r="O536" s="39" t="s">
        <v>49</v>
      </c>
      <c r="P536" s="210"/>
      <c r="Q536" s="19">
        <v>40</v>
      </c>
      <c r="R536" s="15">
        <v>0.16666666666666666</v>
      </c>
      <c r="S536" s="5">
        <v>29</v>
      </c>
      <c r="U536" s="109" t="s">
        <v>767</v>
      </c>
      <c r="V536" s="71" t="s">
        <v>362</v>
      </c>
      <c r="W536" s="194" t="s">
        <v>367</v>
      </c>
      <c r="Y536" s="175"/>
      <c r="Z536" s="175"/>
      <c r="AA536" s="175"/>
      <c r="AB536" s="175"/>
      <c r="AC536" s="175"/>
      <c r="AD536" s="175"/>
      <c r="AE536" s="175"/>
      <c r="AF536" s="175"/>
      <c r="AG536" s="175"/>
      <c r="AH536" s="175"/>
    </row>
    <row r="537" spans="1:34">
      <c r="A537" s="165" t="s">
        <v>1383</v>
      </c>
      <c r="B537" s="39" t="s">
        <v>63</v>
      </c>
      <c r="C537" s="41">
        <v>46182</v>
      </c>
      <c r="D537" s="144">
        <v>0.625</v>
      </c>
      <c r="E537" s="8"/>
      <c r="F537" s="8" t="s">
        <v>127</v>
      </c>
      <c r="G537" s="2">
        <v>1</v>
      </c>
      <c r="I537" s="45">
        <v>250</v>
      </c>
      <c r="J537" s="2" t="s">
        <v>766</v>
      </c>
      <c r="K537" s="88" t="s">
        <v>785</v>
      </c>
      <c r="L537" s="92">
        <v>25000</v>
      </c>
      <c r="M537" s="44" t="s">
        <v>128</v>
      </c>
      <c r="N537" s="39" t="s">
        <v>818</v>
      </c>
      <c r="O537" s="39" t="s">
        <v>122</v>
      </c>
      <c r="P537" s="213"/>
      <c r="Q537" s="2">
        <v>50</v>
      </c>
      <c r="R537" s="15">
        <f>Q537/I537</f>
        <v>0.2</v>
      </c>
      <c r="S537" s="149" t="s">
        <v>110</v>
      </c>
      <c r="T537" s="149"/>
      <c r="U537" s="109" t="s">
        <v>767</v>
      </c>
      <c r="V537" s="71" t="s">
        <v>360</v>
      </c>
      <c r="W537" s="10"/>
      <c r="AE537" s="2" t="e">
        <f>AD537*#REF!</f>
        <v>#REF!</v>
      </c>
      <c r="AF537" s="2" t="e">
        <f>Z537/Y537</f>
        <v>#DIV/0!</v>
      </c>
      <c r="AG537" s="2" t="e">
        <f>AA537/Z537</f>
        <v>#DIV/0!</v>
      </c>
      <c r="AH537" s="2" t="e">
        <f>AC537/AA537</f>
        <v>#DIV/0!</v>
      </c>
    </row>
    <row r="538" spans="1:34">
      <c r="A538" s="165" t="s">
        <v>1383</v>
      </c>
      <c r="B538" s="39" t="s">
        <v>63</v>
      </c>
      <c r="C538" s="190">
        <v>46182</v>
      </c>
      <c r="D538" s="144">
        <v>0.625</v>
      </c>
      <c r="E538" s="193"/>
      <c r="F538" s="8" t="s">
        <v>924</v>
      </c>
      <c r="G538" s="2">
        <v>1</v>
      </c>
      <c r="H538" s="2">
        <v>8</v>
      </c>
      <c r="I538" s="126">
        <v>850</v>
      </c>
      <c r="J538" s="2" t="s">
        <v>766</v>
      </c>
      <c r="K538" s="88" t="s">
        <v>776</v>
      </c>
      <c r="L538" s="91">
        <v>10000</v>
      </c>
      <c r="M538" s="194">
        <v>20</v>
      </c>
      <c r="N538" s="132" t="s">
        <v>821</v>
      </c>
      <c r="O538" s="39" t="s">
        <v>49</v>
      </c>
      <c r="Q538" s="19">
        <v>100</v>
      </c>
      <c r="R538" s="15">
        <f>Q538/I538</f>
        <v>0.11764705882352941</v>
      </c>
      <c r="S538" s="5">
        <f>($AC538*$AD538)/(($Z538/$Y538)+($AA538/$Z538)+($AB538/$AA538))</f>
        <v>19.849624060150376</v>
      </c>
      <c r="U538" s="109" t="s">
        <v>767</v>
      </c>
      <c r="V538" s="83" t="s">
        <v>362</v>
      </c>
      <c r="W538" s="194" t="s">
        <v>152</v>
      </c>
      <c r="Y538" s="2">
        <v>2</v>
      </c>
      <c r="Z538" s="2">
        <v>7.5</v>
      </c>
      <c r="AA538" s="2">
        <v>25</v>
      </c>
      <c r="AB538" s="2">
        <v>100</v>
      </c>
      <c r="AC538" s="2">
        <v>11</v>
      </c>
      <c r="AD538" s="2">
        <v>20</v>
      </c>
      <c r="AE538" s="2">
        <f>AC538*AD538</f>
        <v>220</v>
      </c>
      <c r="AF538" s="2">
        <f>Z538/Y538</f>
        <v>3.75</v>
      </c>
      <c r="AG538" s="2">
        <f>AA538/Z538</f>
        <v>3.3333333333333335</v>
      </c>
      <c r="AH538" s="2">
        <f>AB538/AA538</f>
        <v>4</v>
      </c>
    </row>
    <row r="539" spans="1:34">
      <c r="A539" s="165" t="s">
        <v>1383</v>
      </c>
      <c r="B539" s="72" t="s">
        <v>63</v>
      </c>
      <c r="C539" s="77">
        <v>46182</v>
      </c>
      <c r="D539" s="144">
        <v>0.66666666666666663</v>
      </c>
      <c r="E539" s="138"/>
      <c r="F539" s="8" t="s">
        <v>1024</v>
      </c>
      <c r="G539" s="73">
        <v>1</v>
      </c>
      <c r="H539" s="73">
        <v>9</v>
      </c>
      <c r="I539" s="78">
        <v>400</v>
      </c>
      <c r="J539" s="2" t="s">
        <v>766</v>
      </c>
      <c r="K539" s="88" t="s">
        <v>794</v>
      </c>
      <c r="L539" s="154">
        <v>30000</v>
      </c>
      <c r="M539" s="79">
        <v>20</v>
      </c>
      <c r="N539" s="39" t="s">
        <v>817</v>
      </c>
      <c r="O539" s="39" t="s">
        <v>49</v>
      </c>
      <c r="P539" s="235"/>
      <c r="Q539" s="74">
        <v>70</v>
      </c>
      <c r="R539" s="75">
        <f>Q539/I539</f>
        <v>0.17499999999999999</v>
      </c>
      <c r="S539" s="121">
        <v>37</v>
      </c>
      <c r="T539" s="121"/>
      <c r="U539" s="109" t="s">
        <v>129</v>
      </c>
      <c r="V539" s="80" t="s">
        <v>360</v>
      </c>
      <c r="W539" s="79"/>
      <c r="Y539" s="175"/>
      <c r="Z539" s="175"/>
      <c r="AA539" s="175"/>
      <c r="AB539" s="175"/>
      <c r="AC539" s="175"/>
      <c r="AD539" s="175"/>
      <c r="AE539" s="175"/>
      <c r="AF539" s="175"/>
      <c r="AG539" s="175"/>
      <c r="AH539" s="175"/>
    </row>
    <row r="540" spans="1:34">
      <c r="A540" s="52" t="s">
        <v>229</v>
      </c>
      <c r="B540" s="52" t="s">
        <v>230</v>
      </c>
      <c r="C540" s="190">
        <v>46182</v>
      </c>
      <c r="D540" s="42">
        <v>0.66666666666666663</v>
      </c>
      <c r="E540" s="193"/>
      <c r="F540" s="8" t="s">
        <v>122</v>
      </c>
      <c r="G540" s="2">
        <v>1</v>
      </c>
      <c r="I540" s="126">
        <v>240</v>
      </c>
      <c r="J540" s="2" t="s">
        <v>766</v>
      </c>
      <c r="K540" s="88" t="s">
        <v>795</v>
      </c>
      <c r="L540" s="91">
        <v>30000</v>
      </c>
      <c r="M540" s="194">
        <v>20</v>
      </c>
      <c r="N540" s="39" t="s">
        <v>48</v>
      </c>
      <c r="O540" s="39" t="s">
        <v>122</v>
      </c>
      <c r="P540" s="19">
        <v>10000</v>
      </c>
      <c r="Q540" s="2">
        <v>40</v>
      </c>
      <c r="R540" s="15">
        <f>IF(Q540&gt;0,Q540/I540,"")</f>
        <v>0.16666666666666666</v>
      </c>
      <c r="S540" s="149" t="s">
        <v>110</v>
      </c>
      <c r="T540" s="149"/>
      <c r="U540" s="109" t="s">
        <v>767</v>
      </c>
      <c r="V540" s="205" t="s">
        <v>719</v>
      </c>
      <c r="W540" s="10"/>
      <c r="X540" s="70"/>
      <c r="AE540" s="2">
        <f>AC540*AD540</f>
        <v>0</v>
      </c>
      <c r="AF540" s="2" t="e">
        <f>Z540/Y540</f>
        <v>#DIV/0!</v>
      </c>
      <c r="AG540" s="2" t="e">
        <f>AA540/Z540</f>
        <v>#DIV/0!</v>
      </c>
      <c r="AH540" s="2" t="e">
        <f>AB540/AA540</f>
        <v>#DIV/0!</v>
      </c>
    </row>
    <row r="541" spans="1:34">
      <c r="A541" s="165" t="s">
        <v>1383</v>
      </c>
      <c r="B541" s="39" t="s">
        <v>63</v>
      </c>
      <c r="C541" s="47">
        <v>46182</v>
      </c>
      <c r="D541" s="144">
        <v>0.75</v>
      </c>
      <c r="E541" s="193"/>
      <c r="F541" s="8" t="s">
        <v>900</v>
      </c>
      <c r="G541" s="2">
        <v>1</v>
      </c>
      <c r="I541" s="126">
        <v>7500</v>
      </c>
      <c r="J541" s="2" t="s">
        <v>766</v>
      </c>
      <c r="K541" s="88" t="s">
        <v>810</v>
      </c>
      <c r="L541" s="91">
        <v>30000</v>
      </c>
      <c r="M541" s="194">
        <v>30</v>
      </c>
      <c r="N541" s="132" t="s">
        <v>821</v>
      </c>
      <c r="O541" s="39" t="s">
        <v>49</v>
      </c>
      <c r="P541" s="210"/>
      <c r="Q541" s="19">
        <v>350</v>
      </c>
      <c r="R541" s="15">
        <f>Q541/I541</f>
        <v>4.6666666666666669E-2</v>
      </c>
      <c r="S541" s="5">
        <v>38</v>
      </c>
      <c r="U541" s="109" t="s">
        <v>767</v>
      </c>
      <c r="V541" s="71" t="s">
        <v>362</v>
      </c>
      <c r="W541" s="194" t="s">
        <v>151</v>
      </c>
      <c r="Y541" s="175"/>
      <c r="Z541" s="175"/>
      <c r="AA541" s="175"/>
      <c r="AB541" s="175"/>
      <c r="AC541" s="175"/>
      <c r="AD541" s="175"/>
      <c r="AE541" s="175"/>
      <c r="AF541" s="175"/>
      <c r="AG541" s="175"/>
      <c r="AH541" s="175"/>
    </row>
    <row r="542" spans="1:34">
      <c r="A542" s="102" t="s">
        <v>475</v>
      </c>
      <c r="B542" s="102" t="s">
        <v>476</v>
      </c>
      <c r="C542" s="190">
        <v>46182</v>
      </c>
      <c r="D542" s="42">
        <v>0.75</v>
      </c>
      <c r="E542" s="8" t="s">
        <v>493</v>
      </c>
      <c r="F542" s="8" t="s">
        <v>492</v>
      </c>
      <c r="G542" s="2">
        <v>2</v>
      </c>
      <c r="H542" s="2">
        <v>9</v>
      </c>
      <c r="I542" s="126">
        <v>400</v>
      </c>
      <c r="J542" s="2" t="s">
        <v>766</v>
      </c>
      <c r="K542" s="109" t="s">
        <v>601</v>
      </c>
      <c r="L542" s="201">
        <v>30000</v>
      </c>
      <c r="M542" s="203">
        <v>30</v>
      </c>
      <c r="N542" s="39" t="s">
        <v>48</v>
      </c>
      <c r="O542" s="39" t="s">
        <v>49</v>
      </c>
      <c r="P542" s="212" t="s">
        <v>838</v>
      </c>
      <c r="Q542" s="19">
        <v>70</v>
      </c>
      <c r="R542" s="15">
        <f>Q542/I542</f>
        <v>0.17499999999999999</v>
      </c>
      <c r="S542" s="5">
        <f>($AC542*$AD542)/(($Z542/$Y542)+($AA542/$Z542)+($AB542/$AA542))</f>
        <v>72.897196261682254</v>
      </c>
      <c r="U542" s="109" t="s">
        <v>767</v>
      </c>
      <c r="V542" s="10" t="s">
        <v>649</v>
      </c>
      <c r="W542" s="10"/>
      <c r="Y542" s="2">
        <v>2</v>
      </c>
      <c r="Z542" s="2">
        <v>5</v>
      </c>
      <c r="AA542" s="2">
        <v>13</v>
      </c>
      <c r="AB542" s="2">
        <v>30</v>
      </c>
      <c r="AC542" s="2">
        <v>30</v>
      </c>
      <c r="AD542" s="2">
        <v>18</v>
      </c>
      <c r="AE542" s="2">
        <f>AC542*AD542</f>
        <v>540</v>
      </c>
      <c r="AF542" s="2">
        <f>Z542/Y542</f>
        <v>2.5</v>
      </c>
      <c r="AG542" s="2">
        <f>AA542/Z542</f>
        <v>2.6</v>
      </c>
      <c r="AH542" s="2">
        <f>AB542/AA542</f>
        <v>2.3076923076923075</v>
      </c>
    </row>
    <row r="543" spans="1:34">
      <c r="A543" s="52" t="s">
        <v>229</v>
      </c>
      <c r="B543" s="52" t="s">
        <v>230</v>
      </c>
      <c r="C543" s="190">
        <v>46182</v>
      </c>
      <c r="D543" s="42">
        <v>0.75</v>
      </c>
      <c r="E543" s="193"/>
      <c r="F543" s="8" t="s">
        <v>244</v>
      </c>
      <c r="G543" s="2">
        <v>1</v>
      </c>
      <c r="I543" s="126">
        <v>200</v>
      </c>
      <c r="J543" s="2" t="s">
        <v>766</v>
      </c>
      <c r="K543" s="88" t="s">
        <v>804</v>
      </c>
      <c r="L543" s="91">
        <v>30000</v>
      </c>
      <c r="M543" s="194">
        <v>20</v>
      </c>
      <c r="N543" s="39" t="s">
        <v>48</v>
      </c>
      <c r="O543" s="39" t="s">
        <v>49</v>
      </c>
      <c r="P543" s="135" t="s">
        <v>832</v>
      </c>
      <c r="Q543" s="19">
        <v>40</v>
      </c>
      <c r="R543" s="15">
        <f>IF(Q543&gt;0,Q543/I543,"")</f>
        <v>0.2</v>
      </c>
      <c r="S543" s="5">
        <f>($AC543*$AD543)/(($Z543/$Y543)+($AA543/$Z543)+($AB543/$AA543))</f>
        <v>35.555555555555557</v>
      </c>
      <c r="U543" s="109" t="s">
        <v>767</v>
      </c>
      <c r="V543" s="10" t="s">
        <v>719</v>
      </c>
      <c r="W543" s="10"/>
      <c r="Y543" s="2">
        <v>2</v>
      </c>
      <c r="Z543" s="2">
        <v>5</v>
      </c>
      <c r="AA543" s="2">
        <v>20</v>
      </c>
      <c r="AB543" s="2">
        <v>50</v>
      </c>
      <c r="AC543" s="2">
        <v>20</v>
      </c>
      <c r="AD543" s="2">
        <v>16</v>
      </c>
      <c r="AE543" s="2">
        <f>AC543*AD543</f>
        <v>320</v>
      </c>
      <c r="AF543" s="2">
        <f>Z543/Y543</f>
        <v>2.5</v>
      </c>
      <c r="AG543" s="2">
        <f>AA543/Z543</f>
        <v>4</v>
      </c>
      <c r="AH543" s="2">
        <f>AB543/AA543</f>
        <v>2.5</v>
      </c>
    </row>
    <row r="544" spans="1:34">
      <c r="A544" s="52" t="s">
        <v>220</v>
      </c>
      <c r="B544" s="52" t="s">
        <v>221</v>
      </c>
      <c r="C544" s="191">
        <v>46182</v>
      </c>
      <c r="D544" s="42">
        <v>0.75</v>
      </c>
      <c r="E544" s="193"/>
      <c r="F544" s="8" t="s">
        <v>1052</v>
      </c>
      <c r="G544" s="2">
        <v>3</v>
      </c>
      <c r="H544" s="2">
        <v>9</v>
      </c>
      <c r="I544" s="126">
        <v>1600</v>
      </c>
      <c r="J544" s="2" t="s">
        <v>766</v>
      </c>
      <c r="K544" s="88" t="s">
        <v>809</v>
      </c>
      <c r="L544" s="91">
        <v>40000</v>
      </c>
      <c r="M544" s="203" t="s">
        <v>22</v>
      </c>
      <c r="N544" s="39" t="s">
        <v>48</v>
      </c>
      <c r="O544" s="39" t="s">
        <v>49</v>
      </c>
      <c r="P544" s="135" t="s">
        <v>846</v>
      </c>
      <c r="Q544" s="19">
        <v>170</v>
      </c>
      <c r="R544" s="15">
        <f>Q544/I544</f>
        <v>0.10625</v>
      </c>
      <c r="S544" s="5">
        <f>($AC544*$AD544)/(($Z544/$Y544)+($AA544/$Z544)+($AB544/$AA544))</f>
        <v>66.122448979591837</v>
      </c>
      <c r="U544" s="109" t="s">
        <v>767</v>
      </c>
      <c r="V544" s="205" t="s">
        <v>738</v>
      </c>
      <c r="W544" s="10"/>
      <c r="Y544" s="2">
        <v>2</v>
      </c>
      <c r="Z544" s="2">
        <v>5</v>
      </c>
      <c r="AA544" s="2">
        <v>15</v>
      </c>
      <c r="AB544" s="2">
        <v>40</v>
      </c>
      <c r="AC544" s="2">
        <v>18</v>
      </c>
      <c r="AD544" s="2">
        <v>30</v>
      </c>
      <c r="AE544" s="2">
        <f>AC544*AD544</f>
        <v>540</v>
      </c>
      <c r="AF544" s="2">
        <f>Z544/Y544</f>
        <v>2.5</v>
      </c>
      <c r="AG544" s="2">
        <f>AA544/Z544</f>
        <v>3</v>
      </c>
      <c r="AH544" s="2">
        <f>AB544/AA544</f>
        <v>2.6666666666666665</v>
      </c>
    </row>
    <row r="545" spans="1:34">
      <c r="A545" s="96" t="s">
        <v>461</v>
      </c>
      <c r="B545" s="96" t="s">
        <v>462</v>
      </c>
      <c r="C545" s="41">
        <v>46182</v>
      </c>
      <c r="D545" s="42">
        <v>0.75694444444444442</v>
      </c>
      <c r="F545" s="8" t="s">
        <v>470</v>
      </c>
      <c r="G545" s="2">
        <v>2</v>
      </c>
      <c r="I545" s="126">
        <v>300</v>
      </c>
      <c r="J545" s="2" t="s">
        <v>766</v>
      </c>
      <c r="K545" s="109" t="s">
        <v>598</v>
      </c>
      <c r="L545" s="194">
        <v>30000</v>
      </c>
      <c r="M545" s="69">
        <v>30</v>
      </c>
      <c r="N545" s="39" t="s">
        <v>48</v>
      </c>
      <c r="O545" s="39" t="s">
        <v>49</v>
      </c>
      <c r="P545" s="135" t="s">
        <v>842</v>
      </c>
      <c r="Q545" s="19">
        <v>65</v>
      </c>
      <c r="R545" s="15">
        <f>Q545/I545</f>
        <v>0.21666666666666667</v>
      </c>
      <c r="S545" s="5">
        <f>($AC545*$AD545)/(($Z545/$Y545)+($AA545/$Z545)+($AB545/$AA545))</f>
        <v>53.333333333333336</v>
      </c>
      <c r="U545" s="109" t="s">
        <v>767</v>
      </c>
      <c r="V545" s="205" t="s">
        <v>735</v>
      </c>
      <c r="W545" s="10"/>
      <c r="Y545" s="2">
        <v>2</v>
      </c>
      <c r="Z545" s="2">
        <v>5</v>
      </c>
      <c r="AA545" s="2">
        <v>20</v>
      </c>
      <c r="AB545" s="2">
        <v>50</v>
      </c>
      <c r="AC545" s="2">
        <v>16</v>
      </c>
      <c r="AD545" s="2">
        <v>30</v>
      </c>
      <c r="AE545" s="2">
        <f>AC545*AD545</f>
        <v>480</v>
      </c>
      <c r="AF545" s="2">
        <f>Z545/Y545</f>
        <v>2.5</v>
      </c>
      <c r="AG545" s="2">
        <f>AA545/Z545</f>
        <v>4</v>
      </c>
      <c r="AH545" s="2">
        <f>AB545/AA545</f>
        <v>2.5</v>
      </c>
    </row>
    <row r="546" spans="1:34">
      <c r="A546" s="68" t="s">
        <v>357</v>
      </c>
      <c r="B546" s="68" t="s">
        <v>358</v>
      </c>
      <c r="C546" s="191">
        <v>46182</v>
      </c>
      <c r="D546" s="42">
        <v>0.75694444444444442</v>
      </c>
      <c r="E546" s="8">
        <v>41</v>
      </c>
      <c r="F546" s="63" t="s">
        <v>290</v>
      </c>
      <c r="G546" s="2">
        <v>1</v>
      </c>
      <c r="H546" s="2">
        <v>9</v>
      </c>
      <c r="I546" s="126">
        <v>600</v>
      </c>
      <c r="J546" s="2" t="s">
        <v>766</v>
      </c>
      <c r="K546" s="137" t="s">
        <v>602</v>
      </c>
      <c r="L546" s="92">
        <v>25000</v>
      </c>
      <c r="M546" s="69">
        <v>30</v>
      </c>
      <c r="N546" s="39" t="s">
        <v>48</v>
      </c>
      <c r="O546" s="39" t="s">
        <v>49</v>
      </c>
      <c r="P546" s="212" t="s">
        <v>836</v>
      </c>
      <c r="Q546" s="19">
        <v>80</v>
      </c>
      <c r="R546" s="15">
        <f>Q546/I546</f>
        <v>0.13333333333333333</v>
      </c>
      <c r="S546" s="5">
        <f>($AC546*$AD546)/(($Z546/$Y546)+($AA546/$Z546)+($AB546/$AA546))</f>
        <v>55.03292568203198</v>
      </c>
      <c r="U546" s="109" t="s">
        <v>219</v>
      </c>
      <c r="V546" s="205" t="s">
        <v>662</v>
      </c>
      <c r="W546" s="86" t="s">
        <v>389</v>
      </c>
      <c r="Y546" s="2">
        <v>2.5</v>
      </c>
      <c r="Z546" s="2">
        <v>6.5</v>
      </c>
      <c r="AA546" s="2">
        <v>20</v>
      </c>
      <c r="AB546" s="2">
        <v>50</v>
      </c>
      <c r="AC546" s="2">
        <v>30</v>
      </c>
      <c r="AD546" s="2">
        <v>15</v>
      </c>
      <c r="AE546" s="2">
        <f>AC546*AD546</f>
        <v>450</v>
      </c>
      <c r="AF546" s="2">
        <f>Z546/Y546</f>
        <v>2.6</v>
      </c>
      <c r="AG546" s="2">
        <f>AA546/Z546</f>
        <v>3.0769230769230771</v>
      </c>
      <c r="AH546" s="2">
        <f>AB546/AA546</f>
        <v>2.5</v>
      </c>
    </row>
    <row r="547" spans="1:34">
      <c r="A547" s="95" t="s">
        <v>447</v>
      </c>
      <c r="B547" s="95" t="s">
        <v>448</v>
      </c>
      <c r="C547" s="190">
        <v>46182</v>
      </c>
      <c r="D547" s="42">
        <v>0.79166666666666663</v>
      </c>
      <c r="E547" s="193"/>
      <c r="F547" s="8" t="s">
        <v>403</v>
      </c>
      <c r="G547" s="2">
        <v>1</v>
      </c>
      <c r="H547" s="2">
        <v>9</v>
      </c>
      <c r="I547" s="126">
        <v>300</v>
      </c>
      <c r="J547" s="2" t="s">
        <v>766</v>
      </c>
      <c r="K547" s="109" t="s">
        <v>602</v>
      </c>
      <c r="L547" s="194">
        <v>25000</v>
      </c>
      <c r="M547" s="8">
        <v>25</v>
      </c>
      <c r="N547" s="39" t="s">
        <v>48</v>
      </c>
      <c r="O547" s="39" t="s">
        <v>49</v>
      </c>
      <c r="P547" s="212" t="s">
        <v>834</v>
      </c>
      <c r="Q547" s="19">
        <v>50</v>
      </c>
      <c r="R547" s="15">
        <f>Q547/I547</f>
        <v>0.16666666666666666</v>
      </c>
      <c r="S547" s="5">
        <f>($AC547*$AD547)/(($Z547/$Y547)+($AA547/$Z547)+($AB547/$AA547))</f>
        <v>37.5</v>
      </c>
      <c r="U547" s="109" t="s">
        <v>767</v>
      </c>
      <c r="V547" s="10" t="s">
        <v>741</v>
      </c>
      <c r="Y547" s="2">
        <v>2.5</v>
      </c>
      <c r="Z547" s="2">
        <v>7.5</v>
      </c>
      <c r="AA547" s="2">
        <v>25</v>
      </c>
      <c r="AB547" s="2">
        <v>75</v>
      </c>
      <c r="AC547" s="2">
        <v>14</v>
      </c>
      <c r="AD547" s="2">
        <v>25</v>
      </c>
      <c r="AE547" s="2">
        <f>AC547*AD547</f>
        <v>350</v>
      </c>
      <c r="AF547" s="2">
        <f>Z547/Y547</f>
        <v>3</v>
      </c>
      <c r="AG547" s="2">
        <f>AA547/Z547</f>
        <v>3.3333333333333335</v>
      </c>
      <c r="AH547" s="2">
        <f>AB547/AA547</f>
        <v>3</v>
      </c>
    </row>
    <row r="548" spans="1:34">
      <c r="A548" s="103" t="s">
        <v>539</v>
      </c>
      <c r="B548" s="103" t="s">
        <v>540</v>
      </c>
      <c r="C548" s="191">
        <v>46182</v>
      </c>
      <c r="D548" s="42">
        <v>0.79166666666666663</v>
      </c>
      <c r="E548" s="8">
        <v>26</v>
      </c>
      <c r="F548" s="63" t="s">
        <v>556</v>
      </c>
      <c r="G548" s="2">
        <v>1</v>
      </c>
      <c r="H548" s="2">
        <v>9</v>
      </c>
      <c r="I548" s="151">
        <v>250</v>
      </c>
      <c r="J548" s="179" t="s">
        <v>766</v>
      </c>
      <c r="K548" s="179" t="s">
        <v>598</v>
      </c>
      <c r="L548" s="160">
        <v>20000</v>
      </c>
      <c r="M548" s="69">
        <v>20</v>
      </c>
      <c r="N548" s="39" t="s">
        <v>48</v>
      </c>
      <c r="O548" s="39" t="s">
        <v>49</v>
      </c>
      <c r="P548" s="212" t="s">
        <v>833</v>
      </c>
      <c r="Q548" s="19">
        <v>55</v>
      </c>
      <c r="R548" s="59">
        <f>Q548/I548</f>
        <v>0.22</v>
      </c>
      <c r="S548" s="5">
        <f>($AC548*$AD548)/(($Z548/$Y548)+($AA548/$Z548)+($AB548/$AA548))</f>
        <v>24.186046511627907</v>
      </c>
      <c r="U548" s="109" t="s">
        <v>767</v>
      </c>
      <c r="V548" s="21" t="s">
        <v>1395</v>
      </c>
      <c r="W548" s="10"/>
      <c r="Y548" s="2">
        <v>4</v>
      </c>
      <c r="Z548" s="2">
        <v>8</v>
      </c>
      <c r="AA548" s="2">
        <v>30</v>
      </c>
      <c r="AB548" s="2">
        <v>150</v>
      </c>
      <c r="AC548" s="2">
        <v>13</v>
      </c>
      <c r="AD548" s="2">
        <v>20</v>
      </c>
      <c r="AE548" s="2">
        <f>AC548*AD548</f>
        <v>260</v>
      </c>
      <c r="AF548" s="2">
        <f>Z548/Y548</f>
        <v>2</v>
      </c>
      <c r="AG548" s="2">
        <f>AA548/Z548</f>
        <v>3.75</v>
      </c>
      <c r="AH548" s="2">
        <f>AB548/AA548</f>
        <v>5</v>
      </c>
    </row>
    <row r="549" spans="1:34">
      <c r="A549" s="165" t="s">
        <v>1383</v>
      </c>
      <c r="B549" s="39" t="s">
        <v>63</v>
      </c>
      <c r="C549" s="41">
        <v>46182</v>
      </c>
      <c r="D549" s="144">
        <v>0.79166666666666663</v>
      </c>
      <c r="F549" s="8" t="s">
        <v>917</v>
      </c>
      <c r="G549" s="2">
        <v>1</v>
      </c>
      <c r="H549" s="2">
        <v>9</v>
      </c>
      <c r="I549" s="81">
        <v>585</v>
      </c>
      <c r="J549" s="2" t="s">
        <v>766</v>
      </c>
      <c r="K549" s="88" t="s">
        <v>800</v>
      </c>
      <c r="L549" s="92">
        <v>10000</v>
      </c>
      <c r="M549" s="69">
        <v>20</v>
      </c>
      <c r="N549" s="132" t="s">
        <v>821</v>
      </c>
      <c r="O549" s="39" t="s">
        <v>49</v>
      </c>
      <c r="P549" s="210"/>
      <c r="Q549" s="19">
        <v>89</v>
      </c>
      <c r="R549" s="59">
        <f>Q549/I549</f>
        <v>0.15213675213675212</v>
      </c>
      <c r="S549" s="5">
        <v>29</v>
      </c>
      <c r="U549" s="109" t="s">
        <v>767</v>
      </c>
      <c r="V549" s="83" t="s">
        <v>362</v>
      </c>
      <c r="W549" s="194" t="s">
        <v>368</v>
      </c>
      <c r="Y549" s="175"/>
      <c r="Z549" s="175"/>
      <c r="AA549" s="175"/>
      <c r="AB549" s="175"/>
      <c r="AC549" s="175"/>
      <c r="AD549" s="175"/>
      <c r="AE549" s="175"/>
      <c r="AF549" s="175"/>
      <c r="AG549" s="175"/>
      <c r="AH549" s="175"/>
    </row>
    <row r="550" spans="1:34">
      <c r="A550" s="165" t="s">
        <v>1383</v>
      </c>
      <c r="B550" s="72" t="s">
        <v>63</v>
      </c>
      <c r="C550" s="77">
        <v>46182</v>
      </c>
      <c r="D550" s="144">
        <v>0.83333333333333337</v>
      </c>
      <c r="E550" s="138"/>
      <c r="F550" s="8" t="s">
        <v>1023</v>
      </c>
      <c r="G550" s="73">
        <v>1</v>
      </c>
      <c r="H550" s="73">
        <v>9</v>
      </c>
      <c r="I550" s="78">
        <v>200</v>
      </c>
      <c r="J550" s="2" t="s">
        <v>766</v>
      </c>
      <c r="K550" s="88" t="s">
        <v>806</v>
      </c>
      <c r="L550" s="154">
        <v>20000</v>
      </c>
      <c r="M550" s="79">
        <v>20</v>
      </c>
      <c r="N550" s="39" t="s">
        <v>817</v>
      </c>
      <c r="O550" s="39" t="s">
        <v>49</v>
      </c>
      <c r="P550" s="235"/>
      <c r="Q550" s="74">
        <v>45</v>
      </c>
      <c r="R550" s="75">
        <f>Q550/I550</f>
        <v>0.22500000000000001</v>
      </c>
      <c r="S550" s="121">
        <v>23</v>
      </c>
      <c r="T550" s="121"/>
      <c r="U550" s="109" t="s">
        <v>129</v>
      </c>
      <c r="V550" s="80" t="s">
        <v>360</v>
      </c>
      <c r="W550" s="79"/>
      <c r="Y550" s="175"/>
      <c r="Z550" s="175"/>
      <c r="AA550" s="175"/>
      <c r="AB550" s="175"/>
      <c r="AC550" s="175"/>
      <c r="AD550" s="175"/>
      <c r="AE550" s="175"/>
      <c r="AF550" s="175"/>
      <c r="AG550" s="175"/>
      <c r="AH550" s="175"/>
    </row>
    <row r="551" spans="1:34">
      <c r="A551" s="103" t="s">
        <v>539</v>
      </c>
      <c r="B551" s="103" t="s">
        <v>540</v>
      </c>
      <c r="C551" s="191">
        <v>46182</v>
      </c>
      <c r="D551" s="42">
        <v>0.89583333333333337</v>
      </c>
      <c r="E551" s="8">
        <v>27</v>
      </c>
      <c r="F551" s="63" t="s">
        <v>563</v>
      </c>
      <c r="G551" s="2">
        <v>1</v>
      </c>
      <c r="H551" s="2">
        <v>9</v>
      </c>
      <c r="I551" s="126">
        <v>140</v>
      </c>
      <c r="J551" s="179" t="s">
        <v>766</v>
      </c>
      <c r="K551" s="179" t="s">
        <v>603</v>
      </c>
      <c r="L551" s="92">
        <v>25000</v>
      </c>
      <c r="M551" s="69">
        <v>12</v>
      </c>
      <c r="N551" s="39" t="s">
        <v>48</v>
      </c>
      <c r="O551" s="39" t="s">
        <v>49</v>
      </c>
      <c r="P551" s="135" t="s">
        <v>826</v>
      </c>
      <c r="Q551" s="19">
        <v>38</v>
      </c>
      <c r="R551" s="15">
        <f>Q551/I551</f>
        <v>0.27142857142857141</v>
      </c>
      <c r="S551" s="5">
        <f>($AC551*$AD551)/(($Z551/$Y551)+($AA551/$Z551)+($AB551/$AA551))</f>
        <v>10.153846153846153</v>
      </c>
      <c r="U551" s="109" t="s">
        <v>585</v>
      </c>
      <c r="V551" s="21" t="s">
        <v>1395</v>
      </c>
      <c r="W551" s="182" t="s">
        <v>1396</v>
      </c>
      <c r="Y551" s="2">
        <v>5</v>
      </c>
      <c r="Z551" s="2">
        <v>20</v>
      </c>
      <c r="AA551" s="2">
        <v>100</v>
      </c>
      <c r="AB551" s="2">
        <v>400</v>
      </c>
      <c r="AC551" s="2">
        <v>11</v>
      </c>
      <c r="AD551" s="2">
        <v>12</v>
      </c>
      <c r="AE551" s="2">
        <f>AC551*AD551</f>
        <v>132</v>
      </c>
      <c r="AF551" s="2">
        <f>Z551/Y551</f>
        <v>4</v>
      </c>
      <c r="AG551" s="2">
        <f>AA551/Z551</f>
        <v>5</v>
      </c>
      <c r="AH551" s="2">
        <f>AB551/AA551</f>
        <v>4</v>
      </c>
    </row>
    <row r="552" spans="1:34">
      <c r="A552" s="165" t="s">
        <v>1383</v>
      </c>
      <c r="B552" s="39" t="s">
        <v>63</v>
      </c>
      <c r="C552" s="41">
        <v>46182</v>
      </c>
      <c r="D552" s="144">
        <v>0.91666666666666663</v>
      </c>
      <c r="F552" s="8" t="s">
        <v>909</v>
      </c>
      <c r="G552" s="2">
        <v>1</v>
      </c>
      <c r="H552" s="2">
        <v>9</v>
      </c>
      <c r="I552" s="45">
        <v>135</v>
      </c>
      <c r="J552" s="2" t="s">
        <v>766</v>
      </c>
      <c r="K552" s="88" t="s">
        <v>813</v>
      </c>
      <c r="L552" s="92">
        <v>10000</v>
      </c>
      <c r="M552" s="69">
        <v>15</v>
      </c>
      <c r="N552" s="132" t="s">
        <v>821</v>
      </c>
      <c r="O552" s="39" t="s">
        <v>49</v>
      </c>
      <c r="P552" s="210"/>
      <c r="Q552" s="19">
        <v>35</v>
      </c>
      <c r="R552" s="15">
        <f>Q552/I552</f>
        <v>0.25925925925925924</v>
      </c>
      <c r="S552" s="5">
        <v>22</v>
      </c>
      <c r="U552" s="109" t="s">
        <v>767</v>
      </c>
      <c r="V552" s="21" t="s">
        <v>362</v>
      </c>
      <c r="W552" s="194" t="s">
        <v>369</v>
      </c>
      <c r="Y552" s="175"/>
      <c r="Z552" s="175"/>
      <c r="AA552" s="175"/>
      <c r="AB552" s="175"/>
      <c r="AC552" s="175"/>
      <c r="AD552" s="175"/>
      <c r="AE552" s="175"/>
      <c r="AF552" s="175"/>
      <c r="AG552" s="175"/>
      <c r="AH552" s="175"/>
    </row>
    <row r="553" spans="1:34">
      <c r="A553" s="96" t="s">
        <v>461</v>
      </c>
      <c r="B553" s="96" t="s">
        <v>462</v>
      </c>
      <c r="C553" s="41">
        <v>46182</v>
      </c>
      <c r="D553" s="42">
        <v>0.92361111111111116</v>
      </c>
      <c r="F553" s="8" t="s">
        <v>456</v>
      </c>
      <c r="G553" s="2">
        <v>1</v>
      </c>
      <c r="I553" s="126">
        <v>120</v>
      </c>
      <c r="J553" s="2" t="s">
        <v>766</v>
      </c>
      <c r="K553" s="109" t="s">
        <v>737</v>
      </c>
      <c r="L553" s="194">
        <v>20000</v>
      </c>
      <c r="M553" s="69">
        <v>15</v>
      </c>
      <c r="N553" s="39" t="s">
        <v>48</v>
      </c>
      <c r="O553" s="39" t="s">
        <v>49</v>
      </c>
      <c r="P553" s="135" t="s">
        <v>827</v>
      </c>
      <c r="Q553" s="19">
        <v>24</v>
      </c>
      <c r="R553" s="15">
        <f>Q553/I553</f>
        <v>0.2</v>
      </c>
      <c r="S553" s="5">
        <f>($AC553*$AD553)/(($Z553/$Y553)+($AA553/$Z553)+($AB553/$AA553))</f>
        <v>25.161290322580644</v>
      </c>
      <c r="U553" s="109" t="s">
        <v>463</v>
      </c>
      <c r="V553" s="2" t="s">
        <v>735</v>
      </c>
      <c r="W553" s="10" t="s">
        <v>464</v>
      </c>
      <c r="Y553" s="2">
        <v>2.5</v>
      </c>
      <c r="Z553" s="2">
        <v>7.5</v>
      </c>
      <c r="AA553" s="2">
        <v>30</v>
      </c>
      <c r="AB553" s="2">
        <v>100</v>
      </c>
      <c r="AC553" s="2">
        <v>13</v>
      </c>
      <c r="AD553" s="2">
        <v>20</v>
      </c>
      <c r="AE553" s="2">
        <f>AC553*AD553</f>
        <v>260</v>
      </c>
      <c r="AF553" s="2">
        <f>Z553/Y553</f>
        <v>3</v>
      </c>
      <c r="AG553" s="2">
        <f>AA553/Z553</f>
        <v>4</v>
      </c>
      <c r="AH553" s="2">
        <f>AB553/AA553</f>
        <v>3.3333333333333335</v>
      </c>
    </row>
    <row r="554" spans="1:34">
      <c r="A554" s="165" t="s">
        <v>1383</v>
      </c>
      <c r="B554" s="36" t="s">
        <v>63</v>
      </c>
      <c r="C554" s="41">
        <v>46182</v>
      </c>
      <c r="D554" s="144" t="s">
        <v>117</v>
      </c>
      <c r="E554" s="8">
        <v>31</v>
      </c>
      <c r="F554" s="8" t="s">
        <v>954</v>
      </c>
      <c r="G554" s="2">
        <v>1</v>
      </c>
      <c r="H554" s="2">
        <v>9</v>
      </c>
      <c r="I554" s="45">
        <v>1500</v>
      </c>
      <c r="J554" s="2" t="s">
        <v>760</v>
      </c>
      <c r="K554" s="109" t="s">
        <v>815</v>
      </c>
      <c r="L554" s="92">
        <v>25000</v>
      </c>
      <c r="M554" s="69">
        <v>20</v>
      </c>
      <c r="N554" s="39" t="s">
        <v>48</v>
      </c>
      <c r="O554" s="39" t="s">
        <v>49</v>
      </c>
      <c r="P554" s="210"/>
      <c r="Q554" s="19">
        <f>R554*I554</f>
        <v>172.5</v>
      </c>
      <c r="R554" s="15">
        <v>0.115</v>
      </c>
      <c r="S554" s="5">
        <f>($AC554*$AD554)/(($Z554/$Y554)+($AA554/$Z554)+($AB554/$AA554))</f>
        <v>46.956521739130437</v>
      </c>
      <c r="U554" s="109" t="s">
        <v>463</v>
      </c>
      <c r="V554" s="10" t="s">
        <v>121</v>
      </c>
      <c r="W554" s="10"/>
      <c r="Y554" s="2">
        <v>1.5</v>
      </c>
      <c r="Z554" s="2">
        <v>4</v>
      </c>
      <c r="AA554" s="2">
        <v>10</v>
      </c>
      <c r="AB554" s="70">
        <v>25</v>
      </c>
      <c r="AC554" s="2">
        <v>18</v>
      </c>
      <c r="AD554" s="2">
        <v>20</v>
      </c>
      <c r="AE554" s="2">
        <f>AC554*AD554</f>
        <v>360</v>
      </c>
      <c r="AF554" s="2">
        <f>Z554/Y554</f>
        <v>2.6666666666666665</v>
      </c>
      <c r="AG554" s="2">
        <f>AA554/Z554</f>
        <v>2.5</v>
      </c>
      <c r="AH554" s="2">
        <f>AB554/AA554</f>
        <v>2.5</v>
      </c>
    </row>
    <row r="555" spans="1:34">
      <c r="A555" s="165" t="s">
        <v>1383</v>
      </c>
      <c r="B555" s="36" t="s">
        <v>63</v>
      </c>
      <c r="C555" s="41">
        <v>46182</v>
      </c>
      <c r="D555" s="144" t="s">
        <v>115</v>
      </c>
      <c r="E555" s="8">
        <v>29</v>
      </c>
      <c r="F555" s="8" t="s">
        <v>1188</v>
      </c>
      <c r="G555" s="2">
        <v>3</v>
      </c>
      <c r="H555" s="2">
        <v>8</v>
      </c>
      <c r="I555" s="45">
        <v>50000</v>
      </c>
      <c r="J555" s="2" t="s">
        <v>760</v>
      </c>
      <c r="K555" s="109" t="s">
        <v>815</v>
      </c>
      <c r="L555" s="92">
        <v>300000</v>
      </c>
      <c r="M555" s="69">
        <v>60</v>
      </c>
      <c r="N555" s="39" t="s">
        <v>48</v>
      </c>
      <c r="O555" s="39" t="s">
        <v>49</v>
      </c>
      <c r="P555" s="210"/>
      <c r="Q555" s="19">
        <f>R555*I555</f>
        <v>2500</v>
      </c>
      <c r="R555" s="15">
        <v>0.05</v>
      </c>
      <c r="S555" s="5">
        <f>($AC555*$AD555)/(($Z555/$Y555)+($AA555/$Z555)+($AB555/$AA555))</f>
        <v>145.94594594594594</v>
      </c>
      <c r="U555" s="109" t="s">
        <v>767</v>
      </c>
      <c r="V555" s="10" t="s">
        <v>121</v>
      </c>
      <c r="W555" s="10"/>
      <c r="Y555" s="2">
        <v>20</v>
      </c>
      <c r="Z555" s="2">
        <v>50</v>
      </c>
      <c r="AA555" s="2">
        <v>125</v>
      </c>
      <c r="AB555" s="2">
        <v>300</v>
      </c>
      <c r="AC555" s="2">
        <v>18</v>
      </c>
      <c r="AD555" s="2">
        <v>60</v>
      </c>
      <c r="AE555" s="2">
        <f>AC555*AD555</f>
        <v>1080</v>
      </c>
      <c r="AF555" s="2">
        <f>Z555/Y555</f>
        <v>2.5</v>
      </c>
      <c r="AG555" s="2">
        <f>AA555/Z555</f>
        <v>2.5</v>
      </c>
      <c r="AH555" s="2">
        <f>AB555/AA555</f>
        <v>2.4</v>
      </c>
    </row>
    <row r="556" spans="1:34">
      <c r="A556" s="165" t="s">
        <v>1383</v>
      </c>
      <c r="B556" s="36" t="s">
        <v>63</v>
      </c>
      <c r="C556" s="41">
        <v>46182</v>
      </c>
      <c r="D556" s="144" t="s">
        <v>115</v>
      </c>
      <c r="E556" s="8">
        <v>32</v>
      </c>
      <c r="F556" s="8" t="s">
        <v>955</v>
      </c>
      <c r="G556" s="2">
        <v>4</v>
      </c>
      <c r="H556" s="2">
        <v>9</v>
      </c>
      <c r="I556" s="45">
        <v>3000</v>
      </c>
      <c r="J556" s="2" t="s">
        <v>760</v>
      </c>
      <c r="K556" s="109" t="s">
        <v>601</v>
      </c>
      <c r="L556" s="92">
        <v>40000</v>
      </c>
      <c r="M556" s="69">
        <v>60</v>
      </c>
      <c r="N556" s="39" t="s">
        <v>48</v>
      </c>
      <c r="O556" s="39" t="s">
        <v>49</v>
      </c>
      <c r="P556" s="210"/>
      <c r="Q556" s="19">
        <f>R556*I556</f>
        <v>330</v>
      </c>
      <c r="R556" s="15">
        <v>0.11</v>
      </c>
      <c r="S556" s="5">
        <f>($AC556*$AD556)/(($Z556/$Y556)+($AA556/$Z556)+($AB556/$AA556))</f>
        <v>142.5</v>
      </c>
      <c r="U556" s="109" t="s">
        <v>767</v>
      </c>
      <c r="V556" s="10" t="s">
        <v>121</v>
      </c>
      <c r="W556" s="10"/>
      <c r="Y556" s="2">
        <v>2</v>
      </c>
      <c r="Z556" s="2">
        <v>5</v>
      </c>
      <c r="AA556" s="2">
        <v>7.5</v>
      </c>
      <c r="AB556" s="2">
        <v>30</v>
      </c>
      <c r="AC556" s="2">
        <v>19</v>
      </c>
      <c r="AD556" s="2">
        <v>60</v>
      </c>
      <c r="AE556" s="2">
        <f>AC556*AD556</f>
        <v>1140</v>
      </c>
      <c r="AF556" s="2">
        <f>Z556/Y556</f>
        <v>2.5</v>
      </c>
      <c r="AG556" s="2">
        <f>AA556/Z556</f>
        <v>1.5</v>
      </c>
      <c r="AH556" s="2">
        <f>AB556/AA556</f>
        <v>4</v>
      </c>
    </row>
    <row r="557" spans="1:34">
      <c r="A557" s="165" t="s">
        <v>1383</v>
      </c>
      <c r="B557" s="36" t="s">
        <v>63</v>
      </c>
      <c r="C557" s="41">
        <v>46182</v>
      </c>
      <c r="D557" s="144" t="s">
        <v>116</v>
      </c>
      <c r="E557" s="8">
        <v>33</v>
      </c>
      <c r="F557" s="8" t="s">
        <v>956</v>
      </c>
      <c r="G557" s="2">
        <v>4</v>
      </c>
      <c r="H557" s="2">
        <v>9</v>
      </c>
      <c r="I557" s="45">
        <v>10000</v>
      </c>
      <c r="J557" s="2" t="s">
        <v>762</v>
      </c>
      <c r="K557" s="109" t="s">
        <v>601</v>
      </c>
      <c r="L557" s="92">
        <v>60000</v>
      </c>
      <c r="M557" s="69">
        <v>60</v>
      </c>
      <c r="N557" s="39" t="s">
        <v>48</v>
      </c>
      <c r="O557" s="39" t="s">
        <v>359</v>
      </c>
      <c r="P557" s="19"/>
      <c r="Q557" s="38">
        <f>R557*I557</f>
        <v>700.00000000000011</v>
      </c>
      <c r="R557" s="15">
        <v>7.0000000000000007E-2</v>
      </c>
      <c r="S557" s="149" t="s">
        <v>110</v>
      </c>
      <c r="T557" s="149"/>
      <c r="U557" s="109" t="s">
        <v>767</v>
      </c>
      <c r="V557" s="10" t="s">
        <v>121</v>
      </c>
      <c r="W557" s="10"/>
      <c r="AB557" s="70"/>
      <c r="AE557" s="2" t="e">
        <f>AD557*#REF!</f>
        <v>#REF!</v>
      </c>
      <c r="AF557" s="2" t="e">
        <f>Z557/Y557</f>
        <v>#DIV/0!</v>
      </c>
      <c r="AG557" s="2" t="e">
        <f>AA557/Z557</f>
        <v>#DIV/0!</v>
      </c>
      <c r="AH557" s="2" t="e">
        <f>AC557/AA557</f>
        <v>#DIV/0!</v>
      </c>
    </row>
    <row r="558" spans="1:34">
      <c r="A558" s="165" t="s">
        <v>1383</v>
      </c>
      <c r="B558" s="36" t="s">
        <v>63</v>
      </c>
      <c r="C558" s="41">
        <v>46182</v>
      </c>
      <c r="D558" s="144" t="s">
        <v>876</v>
      </c>
      <c r="E558" s="8">
        <v>27</v>
      </c>
      <c r="F558" s="8" t="s">
        <v>1101</v>
      </c>
      <c r="G558" s="2">
        <v>3</v>
      </c>
      <c r="H558" s="2">
        <v>7</v>
      </c>
      <c r="I558" s="45">
        <v>10000</v>
      </c>
      <c r="J558" s="2" t="s">
        <v>110</v>
      </c>
      <c r="K558" s="109" t="s">
        <v>815</v>
      </c>
      <c r="L558" s="92">
        <v>60000</v>
      </c>
      <c r="M558" s="69" t="s">
        <v>111</v>
      </c>
      <c r="N558" s="39" t="s">
        <v>48</v>
      </c>
      <c r="O558" s="39" t="s">
        <v>393</v>
      </c>
      <c r="P558" s="213"/>
      <c r="Q558" s="38">
        <f>R558*I558</f>
        <v>700.00000000000011</v>
      </c>
      <c r="R558" s="15">
        <v>7.0000000000000007E-2</v>
      </c>
      <c r="S558" s="149" t="s">
        <v>110</v>
      </c>
      <c r="T558" s="149"/>
      <c r="U558" s="109" t="s">
        <v>767</v>
      </c>
      <c r="V558" s="10" t="s">
        <v>121</v>
      </c>
      <c r="W558" s="10"/>
      <c r="AB558" s="70"/>
      <c r="AE558" s="2" t="e">
        <f>AD558*#REF!</f>
        <v>#REF!</v>
      </c>
      <c r="AF558" s="2" t="e">
        <f>Z558/Y558</f>
        <v>#DIV/0!</v>
      </c>
      <c r="AG558" s="2" t="e">
        <f>AA558/Z558</f>
        <v>#DIV/0!</v>
      </c>
      <c r="AH558" s="2" t="e">
        <f>AC558/AA558</f>
        <v>#DIV/0!</v>
      </c>
    </row>
    <row r="559" spans="1:34">
      <c r="A559" s="165" t="s">
        <v>1383</v>
      </c>
      <c r="B559" s="36" t="s">
        <v>63</v>
      </c>
      <c r="C559" s="41">
        <v>46182</v>
      </c>
      <c r="D559" s="144" t="s">
        <v>876</v>
      </c>
      <c r="E559" s="8">
        <v>26</v>
      </c>
      <c r="F559" s="8" t="s">
        <v>1103</v>
      </c>
      <c r="G559" s="2">
        <v>3</v>
      </c>
      <c r="H559" s="2">
        <v>9</v>
      </c>
      <c r="I559" s="45">
        <v>2000</v>
      </c>
      <c r="J559" s="2" t="s">
        <v>760</v>
      </c>
      <c r="K559" s="109" t="s">
        <v>598</v>
      </c>
      <c r="L559" s="92">
        <v>30000</v>
      </c>
      <c r="M559" s="69" t="s">
        <v>97</v>
      </c>
      <c r="N559" s="39" t="s">
        <v>48</v>
      </c>
      <c r="O559" s="39" t="s">
        <v>49</v>
      </c>
      <c r="P559" s="210"/>
      <c r="Q559" s="19">
        <f>R559*I559</f>
        <v>220</v>
      </c>
      <c r="R559" s="15">
        <v>0.11</v>
      </c>
      <c r="S559" s="5">
        <f>($AC559*$AD559)/(($Z559/$Y559)+($AA559/$Z559)+($AB559/$AA559))</f>
        <v>99.130434782608702</v>
      </c>
      <c r="U559" s="109" t="s">
        <v>767</v>
      </c>
      <c r="V559" s="10" t="s">
        <v>121</v>
      </c>
      <c r="W559" s="10"/>
      <c r="Y559" s="2">
        <v>1.5</v>
      </c>
      <c r="Z559" s="2">
        <v>4</v>
      </c>
      <c r="AA559" s="2">
        <v>10</v>
      </c>
      <c r="AB559" s="2">
        <v>25</v>
      </c>
      <c r="AC559" s="2">
        <v>19</v>
      </c>
      <c r="AD559" s="2">
        <v>40</v>
      </c>
      <c r="AE559" s="2">
        <f>AC559*AD559</f>
        <v>760</v>
      </c>
      <c r="AF559" s="2">
        <f>Z559/Y559</f>
        <v>2.6666666666666665</v>
      </c>
      <c r="AG559" s="2">
        <f>AA559/Z559</f>
        <v>2.5</v>
      </c>
      <c r="AH559" s="2">
        <f>AB559/AA559</f>
        <v>2.5</v>
      </c>
    </row>
    <row r="560" spans="1:34">
      <c r="A560" s="68" t="s">
        <v>357</v>
      </c>
      <c r="B560" s="68" t="s">
        <v>358</v>
      </c>
      <c r="C560" s="191">
        <v>46183</v>
      </c>
      <c r="D560" s="42">
        <v>0.41666666666666669</v>
      </c>
      <c r="E560" s="8">
        <v>37</v>
      </c>
      <c r="F560" s="63" t="s">
        <v>1367</v>
      </c>
      <c r="G560" s="2">
        <v>2</v>
      </c>
      <c r="H560" s="2">
        <v>9</v>
      </c>
      <c r="I560" s="126">
        <v>1100</v>
      </c>
      <c r="J560" s="2" t="s">
        <v>766</v>
      </c>
      <c r="K560" s="137" t="s">
        <v>601</v>
      </c>
      <c r="L560" s="89">
        <v>40000</v>
      </c>
      <c r="M560" s="54">
        <v>40</v>
      </c>
      <c r="N560" s="39" t="s">
        <v>48</v>
      </c>
      <c r="O560" s="39" t="s">
        <v>49</v>
      </c>
      <c r="P560" s="135" t="s">
        <v>848</v>
      </c>
      <c r="Q560" s="19">
        <v>140</v>
      </c>
      <c r="R560" s="15">
        <f>Q560/I560</f>
        <v>0.12727272727272726</v>
      </c>
      <c r="S560" s="5">
        <f>($AC560*$AD560)/(($Z560/$Y560)+($AA560/$Z560)+($AB560/$AA560))</f>
        <v>76.947040498442377</v>
      </c>
      <c r="U560" s="109" t="s">
        <v>767</v>
      </c>
      <c r="V560" s="205" t="s">
        <v>671</v>
      </c>
      <c r="Y560" s="2">
        <v>2</v>
      </c>
      <c r="Z560" s="2">
        <v>5</v>
      </c>
      <c r="AA560" s="2">
        <v>13</v>
      </c>
      <c r="AB560" s="2">
        <v>30</v>
      </c>
      <c r="AC560" s="2">
        <v>30</v>
      </c>
      <c r="AD560" s="2">
        <v>19</v>
      </c>
      <c r="AE560" s="2">
        <f>AC560*AD560</f>
        <v>570</v>
      </c>
      <c r="AF560" s="2">
        <f>Z560/Y560</f>
        <v>2.5</v>
      </c>
      <c r="AG560" s="2">
        <f>AA560/Z560</f>
        <v>2.6</v>
      </c>
      <c r="AH560" s="2">
        <f>AB560/AA560</f>
        <v>2.3076923076923075</v>
      </c>
    </row>
    <row r="561" spans="1:34">
      <c r="A561" s="96" t="s">
        <v>461</v>
      </c>
      <c r="B561" s="96" t="s">
        <v>462</v>
      </c>
      <c r="C561" s="41">
        <v>46183</v>
      </c>
      <c r="D561" s="42">
        <v>0.4236111111111111</v>
      </c>
      <c r="E561" s="193"/>
      <c r="F561" s="8" t="s">
        <v>471</v>
      </c>
      <c r="G561" s="2">
        <v>2</v>
      </c>
      <c r="I561" s="126">
        <v>300</v>
      </c>
      <c r="J561" s="2" t="s">
        <v>766</v>
      </c>
      <c r="K561" s="109" t="s">
        <v>598</v>
      </c>
      <c r="L561" s="194">
        <v>30000</v>
      </c>
      <c r="M561" s="69">
        <v>30</v>
      </c>
      <c r="N561" s="39" t="s">
        <v>48</v>
      </c>
      <c r="O561" s="39" t="s">
        <v>49</v>
      </c>
      <c r="P561" s="135" t="s">
        <v>842</v>
      </c>
      <c r="Q561" s="19">
        <v>65</v>
      </c>
      <c r="R561" s="15">
        <f>Q561/I561</f>
        <v>0.21666666666666667</v>
      </c>
      <c r="S561" s="5">
        <f>($AC561*$AD561)/(($Z561/$Y561)+($AA561/$Z561)+($AB561/$AA561))</f>
        <v>53.333333333333336</v>
      </c>
      <c r="U561" s="109" t="s">
        <v>767</v>
      </c>
      <c r="V561" s="10" t="s">
        <v>735</v>
      </c>
      <c r="W561" s="10"/>
      <c r="Y561" s="2">
        <v>2</v>
      </c>
      <c r="Z561" s="2">
        <v>5</v>
      </c>
      <c r="AA561" s="2">
        <v>20</v>
      </c>
      <c r="AB561" s="2">
        <v>50</v>
      </c>
      <c r="AC561" s="2">
        <v>16</v>
      </c>
      <c r="AD561" s="2">
        <v>30</v>
      </c>
      <c r="AE561" s="2">
        <f>AC561*AD561</f>
        <v>480</v>
      </c>
      <c r="AF561" s="2">
        <f>Z561/Y561</f>
        <v>2.5</v>
      </c>
      <c r="AG561" s="2">
        <f>AA561/Z561</f>
        <v>4</v>
      </c>
      <c r="AH561" s="2">
        <f>AB561/AA561</f>
        <v>2.5</v>
      </c>
    </row>
    <row r="562" spans="1:34">
      <c r="A562" s="95" t="s">
        <v>447</v>
      </c>
      <c r="B562" s="95" t="s">
        <v>448</v>
      </c>
      <c r="C562" s="190">
        <v>46183</v>
      </c>
      <c r="D562" s="42">
        <v>0.45833333333333331</v>
      </c>
      <c r="E562" s="193"/>
      <c r="F562" s="8" t="s">
        <v>405</v>
      </c>
      <c r="G562" s="2">
        <v>1</v>
      </c>
      <c r="H562" s="2">
        <v>9</v>
      </c>
      <c r="I562" s="126">
        <v>800</v>
      </c>
      <c r="J562" s="2" t="s">
        <v>766</v>
      </c>
      <c r="K562" s="109" t="s">
        <v>602</v>
      </c>
      <c r="L562" s="194">
        <v>30000</v>
      </c>
      <c r="M562" s="194">
        <v>30</v>
      </c>
      <c r="N562" s="39" t="s">
        <v>48</v>
      </c>
      <c r="O562" s="39" t="s">
        <v>49</v>
      </c>
      <c r="P562" s="135" t="s">
        <v>840</v>
      </c>
      <c r="Q562" s="19">
        <v>100</v>
      </c>
      <c r="R562" s="15">
        <f>Q562/I562</f>
        <v>0.125</v>
      </c>
      <c r="S562" s="5">
        <f>($AC562*$AD562)/(($Z562/$Y562)+($AA562/$Z562)+($AB562/$AA562))</f>
        <v>72.897196261682254</v>
      </c>
      <c r="U562" s="109" t="s">
        <v>767</v>
      </c>
      <c r="V562" s="2" t="s">
        <v>741</v>
      </c>
      <c r="W562" s="10"/>
      <c r="Y562" s="2">
        <v>2</v>
      </c>
      <c r="Z562" s="2">
        <v>5</v>
      </c>
      <c r="AA562" s="2">
        <v>13</v>
      </c>
      <c r="AB562" s="2">
        <v>30</v>
      </c>
      <c r="AC562" s="2">
        <v>18</v>
      </c>
      <c r="AD562" s="2">
        <v>30</v>
      </c>
      <c r="AE562" s="2">
        <f>AC562*AD562</f>
        <v>540</v>
      </c>
      <c r="AF562" s="2">
        <f>Z562/Y562</f>
        <v>2.5</v>
      </c>
      <c r="AG562" s="2">
        <f>AA562/Z562</f>
        <v>2.6</v>
      </c>
      <c r="AH562" s="2">
        <f>AB562/AA562</f>
        <v>2.3076923076923075</v>
      </c>
    </row>
    <row r="563" spans="1:34" ht="21.6" customHeight="1">
      <c r="A563" s="102" t="s">
        <v>475</v>
      </c>
      <c r="B563" s="102" t="s">
        <v>476</v>
      </c>
      <c r="C563" s="190">
        <v>46183</v>
      </c>
      <c r="D563" s="42">
        <v>0.45833333333333331</v>
      </c>
      <c r="E563" s="8">
        <v>8</v>
      </c>
      <c r="F563" s="114" t="s">
        <v>494</v>
      </c>
      <c r="G563" s="2">
        <v>1</v>
      </c>
      <c r="H563" s="2">
        <v>8</v>
      </c>
      <c r="I563" s="126">
        <v>400</v>
      </c>
      <c r="J563" s="2" t="s">
        <v>766</v>
      </c>
      <c r="K563" s="109" t="s">
        <v>601</v>
      </c>
      <c r="L563" s="201">
        <v>30000</v>
      </c>
      <c r="M563" s="203">
        <v>30</v>
      </c>
      <c r="N563" s="39" t="s">
        <v>48</v>
      </c>
      <c r="O563" s="39" t="s">
        <v>359</v>
      </c>
      <c r="P563" s="63">
        <v>25000</v>
      </c>
      <c r="Q563" s="2">
        <v>70</v>
      </c>
      <c r="R563" s="15">
        <f>Q563/I563</f>
        <v>0.17499999999999999</v>
      </c>
      <c r="S563" s="149" t="s">
        <v>110</v>
      </c>
      <c r="T563" s="149"/>
      <c r="U563" s="109" t="s">
        <v>219</v>
      </c>
      <c r="V563" s="205" t="s">
        <v>648</v>
      </c>
      <c r="W563" s="10"/>
      <c r="AE563" s="2">
        <f>AC563*AD563</f>
        <v>0</v>
      </c>
      <c r="AF563" s="2" t="e">
        <f>Z563/Y563</f>
        <v>#DIV/0!</v>
      </c>
      <c r="AG563" s="2" t="e">
        <f>AA563/Z563</f>
        <v>#DIV/0!</v>
      </c>
      <c r="AH563" s="2" t="e">
        <f>AB563/AA563</f>
        <v>#DIV/0!</v>
      </c>
    </row>
    <row r="564" spans="1:34" ht="21.6" customHeight="1">
      <c r="A564" s="52" t="s">
        <v>229</v>
      </c>
      <c r="B564" s="52" t="s">
        <v>230</v>
      </c>
      <c r="C564" s="190">
        <v>46183</v>
      </c>
      <c r="D564" s="42">
        <v>0.45833333333333331</v>
      </c>
      <c r="E564" s="193"/>
      <c r="F564" s="8" t="s">
        <v>242</v>
      </c>
      <c r="G564" s="2">
        <v>1</v>
      </c>
      <c r="I564" s="126">
        <v>200</v>
      </c>
      <c r="J564" s="2" t="s">
        <v>766</v>
      </c>
      <c r="K564" s="88" t="s">
        <v>775</v>
      </c>
      <c r="L564" s="91">
        <v>25000</v>
      </c>
      <c r="M564" s="195" t="s">
        <v>128</v>
      </c>
      <c r="N564" s="39" t="s">
        <v>48</v>
      </c>
      <c r="O564" s="39" t="s">
        <v>49</v>
      </c>
      <c r="P564" s="135" t="s">
        <v>832</v>
      </c>
      <c r="Q564" s="19">
        <v>40</v>
      </c>
      <c r="R564" s="15">
        <f>IF(Q564&gt;0,Q564/I564,"")</f>
        <v>0.2</v>
      </c>
      <c r="S564" s="5">
        <f>($AC564*$AD564)/(($Z564/$Y564)+($AA564/$Z564)+($AB564/$AA564))</f>
        <v>28.333333333333332</v>
      </c>
      <c r="U564" s="109" t="s">
        <v>767</v>
      </c>
      <c r="V564" s="205" t="s">
        <v>719</v>
      </c>
      <c r="W564" s="10"/>
      <c r="Y564" s="2">
        <v>2</v>
      </c>
      <c r="Z564" s="2">
        <v>5</v>
      </c>
      <c r="AA564" s="2">
        <v>20</v>
      </c>
      <c r="AB564" s="2">
        <v>50</v>
      </c>
      <c r="AC564" s="2">
        <v>255</v>
      </c>
      <c r="AD564" s="2">
        <v>1</v>
      </c>
      <c r="AE564" s="2">
        <f>AC564*AD564</f>
        <v>255</v>
      </c>
      <c r="AF564" s="2">
        <f>Z564/Y564</f>
        <v>2.5</v>
      </c>
      <c r="AG564" s="2">
        <f>AA564/Z564</f>
        <v>4</v>
      </c>
      <c r="AH564" s="2">
        <f>AB564/AA564</f>
        <v>2.5</v>
      </c>
    </row>
    <row r="565" spans="1:34" ht="21.6" customHeight="1">
      <c r="A565" s="52" t="s">
        <v>220</v>
      </c>
      <c r="B565" s="52" t="s">
        <v>221</v>
      </c>
      <c r="C565" s="191">
        <v>46183</v>
      </c>
      <c r="D565" s="42">
        <v>0.45833333333333331</v>
      </c>
      <c r="E565" s="193"/>
      <c r="F565" s="8" t="s">
        <v>1094</v>
      </c>
      <c r="G565" s="2">
        <v>3</v>
      </c>
      <c r="H565" s="2">
        <v>9</v>
      </c>
      <c r="I565" s="126">
        <v>5000</v>
      </c>
      <c r="J565" s="2" t="s">
        <v>766</v>
      </c>
      <c r="K565" s="109" t="s">
        <v>767</v>
      </c>
      <c r="L565" s="91">
        <v>50000</v>
      </c>
      <c r="M565" s="203">
        <v>60</v>
      </c>
      <c r="N565" s="39" t="s">
        <v>48</v>
      </c>
      <c r="O565" s="39" t="s">
        <v>49</v>
      </c>
      <c r="P565" s="135" t="s">
        <v>842</v>
      </c>
      <c r="Q565" s="19">
        <v>350</v>
      </c>
      <c r="R565" s="15">
        <f>Q565/I565</f>
        <v>7.0000000000000007E-2</v>
      </c>
      <c r="S565" s="5">
        <f>($AC565*$AD565)/(($Z565/$Y565)+($AA565/$Z565)+($AB565/$AA565))</f>
        <v>161.993769470405</v>
      </c>
      <c r="U565" s="109" t="s">
        <v>54</v>
      </c>
      <c r="V565" s="205" t="s">
        <v>738</v>
      </c>
      <c r="W565" s="10"/>
      <c r="Y565" s="2">
        <v>2</v>
      </c>
      <c r="Z565" s="2">
        <v>5</v>
      </c>
      <c r="AA565" s="2">
        <v>13</v>
      </c>
      <c r="AB565" s="2">
        <v>30</v>
      </c>
      <c r="AC565" s="2">
        <v>20</v>
      </c>
      <c r="AD565" s="2">
        <v>60</v>
      </c>
      <c r="AE565" s="2">
        <f>AC565*AD565</f>
        <v>1200</v>
      </c>
      <c r="AF565" s="2">
        <f>Z565/Y565</f>
        <v>2.5</v>
      </c>
      <c r="AG565" s="2">
        <f>AA565/Z565</f>
        <v>2.6</v>
      </c>
      <c r="AH565" s="2">
        <f>AB565/AA565</f>
        <v>2.3076923076923075</v>
      </c>
    </row>
    <row r="566" spans="1:34">
      <c r="A566" s="52" t="s">
        <v>220</v>
      </c>
      <c r="B566" s="52" t="s">
        <v>221</v>
      </c>
      <c r="C566" s="51">
        <v>46183</v>
      </c>
      <c r="D566" s="42">
        <v>0.45833333333333331</v>
      </c>
      <c r="E566" s="193"/>
      <c r="F566" s="8" t="s">
        <v>1046</v>
      </c>
      <c r="G566" s="2">
        <v>3</v>
      </c>
      <c r="H566" s="2">
        <v>9</v>
      </c>
      <c r="I566" s="126">
        <v>1600</v>
      </c>
      <c r="J566" s="2" t="s">
        <v>766</v>
      </c>
      <c r="K566" s="88" t="s">
        <v>777</v>
      </c>
      <c r="L566" s="91">
        <v>40000</v>
      </c>
      <c r="M566" s="203" t="s">
        <v>22</v>
      </c>
      <c r="N566" s="39" t="s">
        <v>48</v>
      </c>
      <c r="O566" s="39" t="s">
        <v>49</v>
      </c>
      <c r="P566" s="135" t="s">
        <v>846</v>
      </c>
      <c r="Q566" s="19">
        <v>170</v>
      </c>
      <c r="R566" s="15">
        <f>Q566/I566</f>
        <v>0.10625</v>
      </c>
      <c r="S566" s="5">
        <f>($AC566*$AD566)/(($Z566/$Y566)+($AA566/$Z566)+($AB566/$AA566))</f>
        <v>66.122448979591837</v>
      </c>
      <c r="U566" s="109" t="s">
        <v>767</v>
      </c>
      <c r="V566" s="205" t="s">
        <v>738</v>
      </c>
      <c r="W566" s="10"/>
      <c r="Y566" s="2">
        <v>2</v>
      </c>
      <c r="Z566" s="2">
        <v>5</v>
      </c>
      <c r="AA566" s="2">
        <v>15</v>
      </c>
      <c r="AB566" s="2">
        <v>40</v>
      </c>
      <c r="AC566" s="2">
        <v>18</v>
      </c>
      <c r="AD566" s="2">
        <v>30</v>
      </c>
      <c r="AE566" s="2">
        <f>AC566*AD566</f>
        <v>540</v>
      </c>
      <c r="AF566" s="2">
        <f>Z566/Y566</f>
        <v>2.5</v>
      </c>
      <c r="AG566" s="2">
        <f>AA566/Z566</f>
        <v>3</v>
      </c>
      <c r="AH566" s="2">
        <f>AB566/AA566</f>
        <v>2.6666666666666665</v>
      </c>
    </row>
    <row r="567" spans="1:34">
      <c r="A567" s="68" t="s">
        <v>357</v>
      </c>
      <c r="B567" s="68" t="s">
        <v>358</v>
      </c>
      <c r="C567" s="191">
        <v>46183</v>
      </c>
      <c r="D567" s="42">
        <v>0.46527777777777779</v>
      </c>
      <c r="E567" s="8">
        <v>42</v>
      </c>
      <c r="F567" s="63" t="s">
        <v>296</v>
      </c>
      <c r="G567" s="2">
        <v>1</v>
      </c>
      <c r="H567" s="2">
        <v>9</v>
      </c>
      <c r="I567" s="126">
        <v>800</v>
      </c>
      <c r="J567" s="2" t="s">
        <v>766</v>
      </c>
      <c r="K567" s="137" t="s">
        <v>816</v>
      </c>
      <c r="L567" s="92">
        <v>40000</v>
      </c>
      <c r="M567" s="69">
        <v>30</v>
      </c>
      <c r="N567" s="39" t="s">
        <v>48</v>
      </c>
      <c r="O567" s="39" t="s">
        <v>49</v>
      </c>
      <c r="P567" s="212" t="s">
        <v>839</v>
      </c>
      <c r="Q567" s="19">
        <v>100</v>
      </c>
      <c r="R567" s="15">
        <f>Q567/I567</f>
        <v>0.125</v>
      </c>
      <c r="S567" s="5">
        <f>($AC567*$AD567)/(($Z567/$Y567)+($AA567/$Z567)+($AB567/$AA567))</f>
        <v>71.293161814488826</v>
      </c>
      <c r="U567" s="109" t="s">
        <v>767</v>
      </c>
      <c r="V567" s="10" t="s">
        <v>668</v>
      </c>
      <c r="W567" s="10"/>
      <c r="Y567" s="2">
        <v>2.5</v>
      </c>
      <c r="Z567" s="2">
        <v>6.5</v>
      </c>
      <c r="AA567" s="2">
        <v>15</v>
      </c>
      <c r="AB567" s="2">
        <v>40</v>
      </c>
      <c r="AC567" s="2">
        <v>30</v>
      </c>
      <c r="AD567" s="2">
        <v>18</v>
      </c>
      <c r="AE567" s="2">
        <f>AC567*AD567</f>
        <v>540</v>
      </c>
      <c r="AF567" s="2">
        <f>Z567/Y567</f>
        <v>2.6</v>
      </c>
      <c r="AG567" s="2">
        <f>AA567/Z567</f>
        <v>2.3076923076923075</v>
      </c>
      <c r="AH567" s="2">
        <f>AB567/AA567</f>
        <v>2.6666666666666665</v>
      </c>
    </row>
    <row r="568" spans="1:34">
      <c r="A568" s="103" t="s">
        <v>539</v>
      </c>
      <c r="B568" s="103" t="s">
        <v>540</v>
      </c>
      <c r="C568" s="191">
        <v>46183</v>
      </c>
      <c r="D568" s="42">
        <v>0.5</v>
      </c>
      <c r="E568" s="8">
        <v>22</v>
      </c>
      <c r="F568" s="63" t="s">
        <v>1329</v>
      </c>
      <c r="G568" s="2">
        <v>3</v>
      </c>
      <c r="H568" s="2">
        <v>9</v>
      </c>
      <c r="I568" s="126">
        <v>0</v>
      </c>
      <c r="J568" s="2" t="s">
        <v>767</v>
      </c>
      <c r="K568" s="109" t="s">
        <v>767</v>
      </c>
      <c r="L568" s="92"/>
      <c r="M568" s="69"/>
      <c r="N568" s="39" t="s">
        <v>819</v>
      </c>
      <c r="O568" s="39" t="s">
        <v>49</v>
      </c>
      <c r="P568" s="131"/>
      <c r="U568" s="109" t="s">
        <v>854</v>
      </c>
      <c r="V568" s="21"/>
      <c r="W568" s="10"/>
      <c r="AB568" s="70"/>
      <c r="AE568" s="2" t="e">
        <f>AD568*#REF!</f>
        <v>#REF!</v>
      </c>
      <c r="AF568" s="2" t="e">
        <f>Z568/Y568</f>
        <v>#DIV/0!</v>
      </c>
      <c r="AG568" s="2" t="e">
        <f>AA568/Z568</f>
        <v>#DIV/0!</v>
      </c>
      <c r="AH568" s="2" t="e">
        <f>AC568/AA568</f>
        <v>#DIV/0!</v>
      </c>
    </row>
    <row r="569" spans="1:34">
      <c r="A569" s="165" t="s">
        <v>1383</v>
      </c>
      <c r="B569" s="39" t="s">
        <v>63</v>
      </c>
      <c r="C569" s="47">
        <v>46183</v>
      </c>
      <c r="D569" s="144">
        <v>0.5</v>
      </c>
      <c r="F569" s="8" t="s">
        <v>923</v>
      </c>
      <c r="G569" s="2">
        <v>1</v>
      </c>
      <c r="H569" s="2">
        <v>9</v>
      </c>
      <c r="I569" s="126">
        <v>70</v>
      </c>
      <c r="J569" s="2" t="s">
        <v>766</v>
      </c>
      <c r="K569" s="88" t="s">
        <v>771</v>
      </c>
      <c r="L569" s="91">
        <v>10000</v>
      </c>
      <c r="M569">
        <v>10</v>
      </c>
      <c r="N569" s="132" t="s">
        <v>821</v>
      </c>
      <c r="O569" s="39" t="s">
        <v>49</v>
      </c>
      <c r="P569" s="210"/>
      <c r="Q569" s="19">
        <v>20</v>
      </c>
      <c r="R569" s="15">
        <f>Q569/I569</f>
        <v>0.2857142857142857</v>
      </c>
      <c r="S569" s="5">
        <v>15</v>
      </c>
      <c r="U569" s="109" t="s">
        <v>767</v>
      </c>
      <c r="V569" s="71" t="s">
        <v>362</v>
      </c>
      <c r="W569" s="195" t="s">
        <v>363</v>
      </c>
      <c r="Y569" s="175"/>
      <c r="Z569" s="175"/>
      <c r="AA569" s="175"/>
      <c r="AB569" s="175"/>
      <c r="AC569" s="175"/>
      <c r="AD569" s="175"/>
      <c r="AE569" s="175"/>
      <c r="AF569" s="175"/>
      <c r="AG569" s="175"/>
      <c r="AH569" s="175"/>
    </row>
    <row r="570" spans="1:34">
      <c r="A570" s="102" t="s">
        <v>475</v>
      </c>
      <c r="B570" s="102" t="s">
        <v>476</v>
      </c>
      <c r="C570" s="190">
        <v>46183</v>
      </c>
      <c r="D570" s="42">
        <v>0.5</v>
      </c>
      <c r="E570" s="8">
        <v>7</v>
      </c>
      <c r="F570" s="165" t="s">
        <v>1343</v>
      </c>
      <c r="G570" s="2">
        <v>2</v>
      </c>
      <c r="H570" s="2">
        <v>9</v>
      </c>
      <c r="I570" s="126">
        <v>400</v>
      </c>
      <c r="J570" s="2" t="s">
        <v>766</v>
      </c>
      <c r="K570" s="109" t="s">
        <v>601</v>
      </c>
      <c r="L570" s="201">
        <v>30000</v>
      </c>
      <c r="M570" s="203">
        <v>30</v>
      </c>
      <c r="N570" s="39" t="s">
        <v>48</v>
      </c>
      <c r="O570" s="39" t="s">
        <v>49</v>
      </c>
      <c r="P570" s="134" t="s">
        <v>838</v>
      </c>
      <c r="Q570" s="19">
        <v>70</v>
      </c>
      <c r="R570" s="15">
        <f>Q570/I570</f>
        <v>0.17499999999999999</v>
      </c>
      <c r="S570" s="5">
        <f>($AC570*$AD570)/(($Z570/$Y570)+($AA570/$Z570)+($AB570/$AA570))</f>
        <v>72.897196261682254</v>
      </c>
      <c r="U570" s="109" t="s">
        <v>767</v>
      </c>
      <c r="V570" s="10" t="s">
        <v>649</v>
      </c>
      <c r="W570" s="10"/>
      <c r="Y570" s="2">
        <v>2</v>
      </c>
      <c r="Z570" s="2">
        <v>5</v>
      </c>
      <c r="AA570" s="2">
        <v>13</v>
      </c>
      <c r="AB570" s="2">
        <v>30</v>
      </c>
      <c r="AC570" s="2">
        <v>30</v>
      </c>
      <c r="AD570" s="2">
        <v>18</v>
      </c>
      <c r="AE570" s="2">
        <f>AC570*AD570</f>
        <v>540</v>
      </c>
      <c r="AF570" s="2">
        <f>Z570/Y570</f>
        <v>2.5</v>
      </c>
      <c r="AG570" s="2">
        <f>AA570/Z570</f>
        <v>2.6</v>
      </c>
      <c r="AH570" s="2">
        <f>AB570/AA570</f>
        <v>2.3076923076923075</v>
      </c>
    </row>
    <row r="571" spans="1:34">
      <c r="A571" s="103" t="s">
        <v>539</v>
      </c>
      <c r="B571" s="103" t="s">
        <v>540</v>
      </c>
      <c r="C571" s="191">
        <v>46183</v>
      </c>
      <c r="D571" s="42">
        <v>0.54166666666666663</v>
      </c>
      <c r="E571" s="8">
        <v>28</v>
      </c>
      <c r="F571" s="63" t="s">
        <v>542</v>
      </c>
      <c r="G571" s="2">
        <v>1</v>
      </c>
      <c r="H571" s="2">
        <v>9</v>
      </c>
      <c r="I571" s="151">
        <v>200</v>
      </c>
      <c r="J571" s="179" t="s">
        <v>766</v>
      </c>
      <c r="K571" s="179" t="s">
        <v>815</v>
      </c>
      <c r="L571" s="160">
        <v>30000</v>
      </c>
      <c r="M571" s="69">
        <v>30</v>
      </c>
      <c r="N571" s="39" t="s">
        <v>48</v>
      </c>
      <c r="O571" s="39" t="s">
        <v>49</v>
      </c>
      <c r="P571" s="135" t="s">
        <v>830</v>
      </c>
      <c r="Q571" s="19">
        <v>44</v>
      </c>
      <c r="R571" s="59">
        <f>Q571/I571</f>
        <v>0.22</v>
      </c>
      <c r="S571" s="5">
        <f>($AC571*$AD571)/(($Z571/$Y571)+($AA571/$Z571)+($AB571/$AA571))</f>
        <v>53.333333333333336</v>
      </c>
      <c r="U571" s="109" t="s">
        <v>767</v>
      </c>
      <c r="V571" s="21" t="s">
        <v>1395</v>
      </c>
      <c r="W571" s="10"/>
      <c r="Y571" s="2">
        <v>2</v>
      </c>
      <c r="Z571" s="2">
        <v>5</v>
      </c>
      <c r="AA571" s="2">
        <v>20</v>
      </c>
      <c r="AB571" s="2">
        <v>50</v>
      </c>
      <c r="AC571" s="2">
        <v>16</v>
      </c>
      <c r="AD571" s="2">
        <v>30</v>
      </c>
      <c r="AE571" s="2">
        <f>AC571*AD571</f>
        <v>480</v>
      </c>
      <c r="AF571" s="2">
        <f>Z571/Y571</f>
        <v>2.5</v>
      </c>
      <c r="AG571" s="2">
        <f>AA571/Z571</f>
        <v>4</v>
      </c>
      <c r="AH571" s="2">
        <f>AB571/AA571</f>
        <v>2.5</v>
      </c>
    </row>
    <row r="572" spans="1:34">
      <c r="A572" s="165" t="s">
        <v>1383</v>
      </c>
      <c r="B572" s="36" t="s">
        <v>63</v>
      </c>
      <c r="C572" s="41">
        <v>46183</v>
      </c>
      <c r="D572" s="144">
        <v>0.54166666666666663</v>
      </c>
      <c r="E572" s="8">
        <v>33</v>
      </c>
      <c r="F572" s="8" t="s">
        <v>1151</v>
      </c>
      <c r="G572" s="2">
        <v>4</v>
      </c>
      <c r="H572" s="2">
        <v>9</v>
      </c>
      <c r="I572" s="45">
        <v>10000</v>
      </c>
      <c r="J572" s="2" t="s">
        <v>762</v>
      </c>
      <c r="K572" s="109" t="s">
        <v>601</v>
      </c>
      <c r="L572" s="92">
        <v>60000</v>
      </c>
      <c r="M572" s="69">
        <v>60</v>
      </c>
      <c r="N572" s="39" t="s">
        <v>48</v>
      </c>
      <c r="O572" s="39" t="s">
        <v>359</v>
      </c>
      <c r="P572" s="19"/>
      <c r="Q572" s="38">
        <f>R572*I572</f>
        <v>700.00000000000011</v>
      </c>
      <c r="R572" s="15">
        <v>7.0000000000000007E-2</v>
      </c>
      <c r="S572" s="149" t="s">
        <v>110</v>
      </c>
      <c r="T572" s="149"/>
      <c r="U572" s="109" t="s">
        <v>767</v>
      </c>
      <c r="V572" s="10" t="s">
        <v>121</v>
      </c>
      <c r="W572" s="10"/>
      <c r="AB572" s="70"/>
      <c r="AE572" s="2" t="e">
        <f>AD572*#REF!</f>
        <v>#REF!</v>
      </c>
      <c r="AF572" s="2" t="e">
        <f>Z572/Y572</f>
        <v>#DIV/0!</v>
      </c>
      <c r="AG572" s="2" t="e">
        <f>AA572/Z572</f>
        <v>#DIV/0!</v>
      </c>
      <c r="AH572" s="2" t="e">
        <f>AC572/AA572</f>
        <v>#DIV/0!</v>
      </c>
    </row>
    <row r="573" spans="1:34">
      <c r="A573" s="165" t="s">
        <v>1383</v>
      </c>
      <c r="B573" s="72" t="s">
        <v>63</v>
      </c>
      <c r="C573" s="77">
        <v>46183</v>
      </c>
      <c r="D573" s="144">
        <v>0.54166666666666663</v>
      </c>
      <c r="E573" s="138"/>
      <c r="F573" s="8" t="s">
        <v>881</v>
      </c>
      <c r="G573" s="73">
        <v>1</v>
      </c>
      <c r="H573" s="73">
        <v>9</v>
      </c>
      <c r="I573" s="78">
        <v>250</v>
      </c>
      <c r="J573" s="2" t="s">
        <v>766</v>
      </c>
      <c r="K573" s="88" t="s">
        <v>787</v>
      </c>
      <c r="L573" s="154">
        <v>25000</v>
      </c>
      <c r="M573" s="79">
        <v>30</v>
      </c>
      <c r="N573" s="39" t="s">
        <v>817</v>
      </c>
      <c r="O573" s="39" t="s">
        <v>49</v>
      </c>
      <c r="P573" s="235"/>
      <c r="Q573" s="74">
        <v>50</v>
      </c>
      <c r="R573" s="75">
        <f>Q573/I573</f>
        <v>0.2</v>
      </c>
      <c r="S573" s="121">
        <v>44</v>
      </c>
      <c r="T573" s="121"/>
      <c r="U573" s="109" t="s">
        <v>767</v>
      </c>
      <c r="V573" s="76" t="s">
        <v>360</v>
      </c>
      <c r="W573" s="79"/>
      <c r="Y573" s="175"/>
      <c r="Z573" s="175"/>
      <c r="AA573" s="175"/>
      <c r="AB573" s="175"/>
      <c r="AC573" s="175"/>
      <c r="AD573" s="175"/>
      <c r="AE573" s="175"/>
      <c r="AF573" s="175"/>
      <c r="AG573" s="175"/>
      <c r="AH573" s="175"/>
    </row>
    <row r="574" spans="1:34">
      <c r="A574" s="165" t="s">
        <v>1383</v>
      </c>
      <c r="B574" s="39" t="s">
        <v>63</v>
      </c>
      <c r="C574" s="41">
        <v>46183</v>
      </c>
      <c r="D574" s="144">
        <v>0.625</v>
      </c>
      <c r="F574" s="8" t="s">
        <v>912</v>
      </c>
      <c r="G574" s="2">
        <v>1</v>
      </c>
      <c r="H574" s="2">
        <v>9</v>
      </c>
      <c r="I574" s="45">
        <v>240</v>
      </c>
      <c r="J574" s="2" t="s">
        <v>766</v>
      </c>
      <c r="K574" s="88" t="s">
        <v>784</v>
      </c>
      <c r="L574" s="92">
        <v>10000</v>
      </c>
      <c r="M574" s="69">
        <v>20</v>
      </c>
      <c r="N574" s="132" t="s">
        <v>821</v>
      </c>
      <c r="O574" s="39" t="s">
        <v>49</v>
      </c>
      <c r="P574" s="210"/>
      <c r="Q574" s="19">
        <v>40</v>
      </c>
      <c r="R574" s="15">
        <v>0.16666666666666666</v>
      </c>
      <c r="S574" s="5">
        <v>29</v>
      </c>
      <c r="U574" s="109" t="s">
        <v>767</v>
      </c>
      <c r="V574" s="21" t="s">
        <v>362</v>
      </c>
      <c r="W574" s="194" t="s">
        <v>367</v>
      </c>
      <c r="Y574" s="175"/>
      <c r="Z574" s="175"/>
      <c r="AA574" s="175"/>
      <c r="AB574" s="175"/>
      <c r="AC574" s="175"/>
      <c r="AD574" s="175"/>
      <c r="AE574" s="175"/>
      <c r="AF574" s="175"/>
      <c r="AG574" s="175"/>
      <c r="AH574" s="175"/>
    </row>
    <row r="575" spans="1:34">
      <c r="A575" s="165" t="s">
        <v>1383</v>
      </c>
      <c r="B575" s="39" t="s">
        <v>63</v>
      </c>
      <c r="C575" s="41">
        <v>46183</v>
      </c>
      <c r="D575" s="144">
        <v>0.625</v>
      </c>
      <c r="E575" s="8"/>
      <c r="F575" s="8" t="s">
        <v>126</v>
      </c>
      <c r="G575" s="2">
        <v>1</v>
      </c>
      <c r="I575" s="45">
        <v>250</v>
      </c>
      <c r="J575" s="2" t="s">
        <v>766</v>
      </c>
      <c r="K575" s="88" t="s">
        <v>793</v>
      </c>
      <c r="L575" s="92">
        <v>25000</v>
      </c>
      <c r="M575" s="10">
        <v>30</v>
      </c>
      <c r="N575" s="39" t="s">
        <v>822</v>
      </c>
      <c r="O575" s="39" t="s">
        <v>57</v>
      </c>
      <c r="P575" s="213"/>
      <c r="Q575" s="2">
        <v>50</v>
      </c>
      <c r="R575" s="15">
        <f>Q575/I575</f>
        <v>0.2</v>
      </c>
      <c r="S575" s="149" t="s">
        <v>110</v>
      </c>
      <c r="T575" s="149"/>
      <c r="U575" s="109" t="s">
        <v>767</v>
      </c>
      <c r="V575" s="21" t="s">
        <v>360</v>
      </c>
      <c r="W575" s="10"/>
      <c r="AE575" s="2" t="e">
        <f>AD575*#REF!</f>
        <v>#REF!</v>
      </c>
      <c r="AF575" s="2" t="e">
        <f>Z575/Y575</f>
        <v>#DIV/0!</v>
      </c>
      <c r="AG575" s="2" t="e">
        <f>AA575/Z575</f>
        <v>#DIV/0!</v>
      </c>
      <c r="AH575" s="2" t="e">
        <f>AC575/AA575</f>
        <v>#DIV/0!</v>
      </c>
    </row>
    <row r="576" spans="1:34">
      <c r="A576" s="165" t="s">
        <v>1383</v>
      </c>
      <c r="B576" s="72" t="s">
        <v>63</v>
      </c>
      <c r="C576" s="77">
        <v>46183</v>
      </c>
      <c r="D576" s="144">
        <v>0.66666666666666663</v>
      </c>
      <c r="E576" s="138"/>
      <c r="F576" s="8" t="s">
        <v>1024</v>
      </c>
      <c r="G576" s="73">
        <v>1</v>
      </c>
      <c r="H576" s="73">
        <v>9</v>
      </c>
      <c r="I576" s="78">
        <v>400</v>
      </c>
      <c r="J576" s="2" t="s">
        <v>766</v>
      </c>
      <c r="K576" s="88" t="s">
        <v>794</v>
      </c>
      <c r="L576" s="154">
        <v>30000</v>
      </c>
      <c r="M576" s="79">
        <v>20</v>
      </c>
      <c r="N576" s="39" t="s">
        <v>817</v>
      </c>
      <c r="O576" s="39" t="s">
        <v>49</v>
      </c>
      <c r="P576" s="235"/>
      <c r="Q576" s="74">
        <v>70</v>
      </c>
      <c r="R576" s="75">
        <f>Q576/I576</f>
        <v>0.17499999999999999</v>
      </c>
      <c r="S576" s="121">
        <v>37</v>
      </c>
      <c r="T576" s="121"/>
      <c r="U576" s="109" t="s">
        <v>129</v>
      </c>
      <c r="V576" s="76" t="s">
        <v>360</v>
      </c>
      <c r="W576" s="79"/>
      <c r="Y576" s="175"/>
      <c r="Z576" s="175"/>
      <c r="AA576" s="175"/>
      <c r="AB576" s="175"/>
      <c r="AC576" s="175"/>
      <c r="AD576" s="175"/>
      <c r="AE576" s="175"/>
      <c r="AF576" s="175"/>
      <c r="AG576" s="175"/>
      <c r="AH576" s="175"/>
    </row>
    <row r="577" spans="1:34">
      <c r="A577" s="52" t="s">
        <v>229</v>
      </c>
      <c r="B577" s="52" t="s">
        <v>230</v>
      </c>
      <c r="C577" s="190">
        <v>46183</v>
      </c>
      <c r="D577" s="42">
        <v>0.66666666666666663</v>
      </c>
      <c r="E577" s="193"/>
      <c r="F577" s="8" t="s">
        <v>251</v>
      </c>
      <c r="G577" s="2">
        <v>1</v>
      </c>
      <c r="I577" s="126">
        <v>240</v>
      </c>
      <c r="J577" s="2" t="s">
        <v>766</v>
      </c>
      <c r="K577" s="88" t="s">
        <v>795</v>
      </c>
      <c r="L577" s="91">
        <v>30000</v>
      </c>
      <c r="M577" s="194">
        <v>20</v>
      </c>
      <c r="N577" s="39" t="s">
        <v>48</v>
      </c>
      <c r="O577" s="39" t="s">
        <v>452</v>
      </c>
      <c r="P577" s="19">
        <v>10000</v>
      </c>
      <c r="Q577" s="2">
        <v>40</v>
      </c>
      <c r="R577" s="15">
        <f>IF(Q577&gt;0,Q577/I577,"")</f>
        <v>0.16666666666666666</v>
      </c>
      <c r="S577" s="149" t="s">
        <v>110</v>
      </c>
      <c r="T577" s="149"/>
      <c r="U577" s="109" t="s">
        <v>767</v>
      </c>
      <c r="V577" s="205" t="s">
        <v>719</v>
      </c>
      <c r="W577" s="10"/>
      <c r="AE577" s="2">
        <f>AC577*AD577</f>
        <v>0</v>
      </c>
      <c r="AF577" s="2" t="e">
        <f>Z577/Y577</f>
        <v>#DIV/0!</v>
      </c>
      <c r="AG577" s="2" t="e">
        <f>AA577/Z577</f>
        <v>#DIV/0!</v>
      </c>
      <c r="AH577" s="2" t="e">
        <f>AB577/AA577</f>
        <v>#DIV/0!</v>
      </c>
    </row>
    <row r="578" spans="1:34">
      <c r="A578" s="102" t="s">
        <v>475</v>
      </c>
      <c r="B578" s="102" t="s">
        <v>476</v>
      </c>
      <c r="C578" s="190">
        <v>46183</v>
      </c>
      <c r="D578" s="42">
        <v>0.75</v>
      </c>
      <c r="E578" s="8">
        <v>9</v>
      </c>
      <c r="F578" s="114" t="s">
        <v>495</v>
      </c>
      <c r="G578" s="2">
        <v>1</v>
      </c>
      <c r="H578" s="2">
        <v>8</v>
      </c>
      <c r="I578" s="126">
        <v>250</v>
      </c>
      <c r="J578" s="2" t="s">
        <v>766</v>
      </c>
      <c r="K578" s="109" t="s">
        <v>602</v>
      </c>
      <c r="L578" s="201">
        <v>25000</v>
      </c>
      <c r="M578" s="203">
        <v>30</v>
      </c>
      <c r="N578" s="39" t="s">
        <v>48</v>
      </c>
      <c r="O578" s="39" t="s">
        <v>359</v>
      </c>
      <c r="P578" s="63">
        <v>10000</v>
      </c>
      <c r="Q578" s="2">
        <v>45</v>
      </c>
      <c r="R578" s="15">
        <f>Q578/I578</f>
        <v>0.18</v>
      </c>
      <c r="S578" s="149" t="s">
        <v>110</v>
      </c>
      <c r="T578" s="149"/>
      <c r="U578" s="109" t="s">
        <v>767</v>
      </c>
      <c r="V578" s="2" t="s">
        <v>647</v>
      </c>
      <c r="W578" s="10"/>
      <c r="AE578" s="2">
        <f>AC578*AD578</f>
        <v>0</v>
      </c>
      <c r="AF578" s="2" t="e">
        <f>Z578/Y578</f>
        <v>#DIV/0!</v>
      </c>
      <c r="AG578" s="2" t="e">
        <f>AA578/Z578</f>
        <v>#DIV/0!</v>
      </c>
      <c r="AH578" s="2" t="e">
        <f>AB578/AA578</f>
        <v>#DIV/0!</v>
      </c>
    </row>
    <row r="579" spans="1:34">
      <c r="A579" s="52" t="s">
        <v>229</v>
      </c>
      <c r="B579" s="52" t="s">
        <v>230</v>
      </c>
      <c r="C579" s="190">
        <v>46183</v>
      </c>
      <c r="D579" s="42">
        <v>0.75</v>
      </c>
      <c r="E579" s="193"/>
      <c r="F579" s="8" t="s">
        <v>244</v>
      </c>
      <c r="G579" s="2">
        <v>1</v>
      </c>
      <c r="I579" s="126">
        <v>200</v>
      </c>
      <c r="J579" s="2" t="s">
        <v>766</v>
      </c>
      <c r="K579" s="88" t="s">
        <v>804</v>
      </c>
      <c r="L579" s="91">
        <v>30000</v>
      </c>
      <c r="M579" s="194">
        <v>20</v>
      </c>
      <c r="N579" s="39" t="s">
        <v>48</v>
      </c>
      <c r="O579" s="39" t="s">
        <v>49</v>
      </c>
      <c r="P579" s="135" t="s">
        <v>832</v>
      </c>
      <c r="Q579" s="19">
        <v>40</v>
      </c>
      <c r="R579" s="15">
        <f>IF(Q579&gt;0,Q579/I579,"")</f>
        <v>0.2</v>
      </c>
      <c r="S579" s="5">
        <f>($AC579*$AD579)/(($Z579/$Y579)+($AA579/$Z579)+($AB579/$AA579))</f>
        <v>35.555555555555557</v>
      </c>
      <c r="U579" s="109" t="s">
        <v>767</v>
      </c>
      <c r="V579" s="10" t="s">
        <v>719</v>
      </c>
      <c r="W579" s="10"/>
      <c r="Y579" s="2">
        <v>2</v>
      </c>
      <c r="Z579" s="2">
        <v>5</v>
      </c>
      <c r="AA579" s="2">
        <v>20</v>
      </c>
      <c r="AB579" s="2">
        <v>50</v>
      </c>
      <c r="AC579" s="2">
        <v>20</v>
      </c>
      <c r="AD579" s="2">
        <v>16</v>
      </c>
      <c r="AE579" s="2">
        <f>AC579*AD579</f>
        <v>320</v>
      </c>
      <c r="AF579" s="2">
        <f>Z579/Y579</f>
        <v>2.5</v>
      </c>
      <c r="AG579" s="2">
        <f>AA579/Z579</f>
        <v>4</v>
      </c>
      <c r="AH579" s="2">
        <f>AB579/AA579</f>
        <v>2.5</v>
      </c>
    </row>
    <row r="580" spans="1:34">
      <c r="A580" s="96" t="s">
        <v>461</v>
      </c>
      <c r="B580" s="96" t="s">
        <v>462</v>
      </c>
      <c r="C580" s="41">
        <v>46183</v>
      </c>
      <c r="D580" s="42">
        <v>0.75694444444444442</v>
      </c>
      <c r="F580" s="8" t="s">
        <v>472</v>
      </c>
      <c r="G580" s="2">
        <v>2</v>
      </c>
      <c r="I580" s="126">
        <v>300</v>
      </c>
      <c r="J580" s="2" t="s">
        <v>766</v>
      </c>
      <c r="K580" s="109" t="s">
        <v>598</v>
      </c>
      <c r="L580" s="194">
        <v>30000</v>
      </c>
      <c r="M580" s="69">
        <v>30</v>
      </c>
      <c r="N580" s="39" t="s">
        <v>48</v>
      </c>
      <c r="O580" s="39" t="s">
        <v>49</v>
      </c>
      <c r="P580" s="135" t="s">
        <v>842</v>
      </c>
      <c r="Q580" s="19">
        <v>65</v>
      </c>
      <c r="R580" s="15">
        <f>Q580/I580</f>
        <v>0.21666666666666667</v>
      </c>
      <c r="S580" s="5">
        <f>($AC580*$AD580)/(($Z580/$Y580)+($AA580/$Z580)+($AB580/$AA580))</f>
        <v>53.333333333333336</v>
      </c>
      <c r="U580" s="109" t="s">
        <v>767</v>
      </c>
      <c r="V580" s="205" t="s">
        <v>735</v>
      </c>
      <c r="W580" s="10"/>
      <c r="Y580" s="2">
        <v>2</v>
      </c>
      <c r="Z580" s="2">
        <v>5</v>
      </c>
      <c r="AA580" s="2">
        <v>20</v>
      </c>
      <c r="AB580" s="2">
        <v>50</v>
      </c>
      <c r="AC580" s="2">
        <v>16</v>
      </c>
      <c r="AD580" s="2">
        <v>30</v>
      </c>
      <c r="AE580" s="2">
        <f>AC580*AD580</f>
        <v>480</v>
      </c>
      <c r="AF580" s="2">
        <f>Z580/Y580</f>
        <v>2.5</v>
      </c>
      <c r="AG580" s="2">
        <f>AA580/Z580</f>
        <v>4</v>
      </c>
      <c r="AH580" s="2">
        <f>AB580/AA580</f>
        <v>2.5</v>
      </c>
    </row>
    <row r="581" spans="1:34">
      <c r="A581" s="68" t="s">
        <v>357</v>
      </c>
      <c r="B581" s="68" t="s">
        <v>358</v>
      </c>
      <c r="C581" s="191">
        <v>46183</v>
      </c>
      <c r="D581" s="42">
        <v>0.75694444444444442</v>
      </c>
      <c r="E581" s="8">
        <v>43</v>
      </c>
      <c r="F581" s="63" t="s">
        <v>290</v>
      </c>
      <c r="G581" s="2">
        <v>1</v>
      </c>
      <c r="H581" s="2">
        <v>9</v>
      </c>
      <c r="I581" s="126">
        <v>600</v>
      </c>
      <c r="J581" s="2" t="s">
        <v>766</v>
      </c>
      <c r="K581" s="137" t="s">
        <v>602</v>
      </c>
      <c r="L581" s="92">
        <v>25000</v>
      </c>
      <c r="M581" s="69">
        <v>30</v>
      </c>
      <c r="N581" s="39" t="s">
        <v>48</v>
      </c>
      <c r="O581" s="39" t="s">
        <v>49</v>
      </c>
      <c r="P581" s="212" t="s">
        <v>836</v>
      </c>
      <c r="Q581" s="19">
        <v>80</v>
      </c>
      <c r="R581" s="15">
        <f>Q581/I581</f>
        <v>0.13333333333333333</v>
      </c>
      <c r="S581" s="5">
        <f>($AC581*$AD581)/(($Z581/$Y581)+($AA581/$Z581)+($AB581/$AA581))</f>
        <v>55.03292568203198</v>
      </c>
      <c r="U581" s="109" t="s">
        <v>219</v>
      </c>
      <c r="V581" s="205" t="s">
        <v>662</v>
      </c>
      <c r="W581" s="86" t="s">
        <v>389</v>
      </c>
      <c r="Y581" s="2">
        <v>2.5</v>
      </c>
      <c r="Z581" s="2">
        <v>6.5</v>
      </c>
      <c r="AA581" s="2">
        <v>20</v>
      </c>
      <c r="AB581" s="2">
        <v>50</v>
      </c>
      <c r="AC581" s="2">
        <v>30</v>
      </c>
      <c r="AD581" s="2">
        <v>15</v>
      </c>
      <c r="AE581" s="2">
        <f>AC581*AD581</f>
        <v>450</v>
      </c>
      <c r="AF581" s="2">
        <f>Z581/Y581</f>
        <v>2.6</v>
      </c>
      <c r="AG581" s="2">
        <f>AA581/Z581</f>
        <v>3.0769230769230771</v>
      </c>
      <c r="AH581" s="2">
        <f>AB581/AA581</f>
        <v>2.5</v>
      </c>
    </row>
    <row r="582" spans="1:34">
      <c r="A582" s="95" t="s">
        <v>447</v>
      </c>
      <c r="B582" s="95" t="s">
        <v>448</v>
      </c>
      <c r="C582" s="190">
        <v>46183</v>
      </c>
      <c r="D582" s="42">
        <v>0.79166666666666663</v>
      </c>
      <c r="E582" s="193"/>
      <c r="F582" s="8" t="s">
        <v>403</v>
      </c>
      <c r="G582" s="2">
        <v>1</v>
      </c>
      <c r="H582" s="2">
        <v>9</v>
      </c>
      <c r="I582" s="126">
        <v>300</v>
      </c>
      <c r="J582" s="2" t="s">
        <v>766</v>
      </c>
      <c r="K582" s="109" t="s">
        <v>602</v>
      </c>
      <c r="L582" s="194">
        <v>25000</v>
      </c>
      <c r="M582" s="194">
        <v>25</v>
      </c>
      <c r="N582" s="39" t="s">
        <v>48</v>
      </c>
      <c r="O582" s="39" t="s">
        <v>49</v>
      </c>
      <c r="P582" s="134" t="s">
        <v>834</v>
      </c>
      <c r="Q582" s="19">
        <v>50</v>
      </c>
      <c r="R582" s="15">
        <f>Q582/I582</f>
        <v>0.16666666666666666</v>
      </c>
      <c r="S582" s="5">
        <f>($AC582*$AD582)/(($Z582/$Y582)+($AA582/$Z582)+($AB582/$AA582))</f>
        <v>37.5</v>
      </c>
      <c r="U582" s="109" t="s">
        <v>767</v>
      </c>
      <c r="V582" s="205" t="s">
        <v>741</v>
      </c>
      <c r="W582" s="10"/>
      <c r="Y582" s="2">
        <v>2.5</v>
      </c>
      <c r="Z582" s="2">
        <v>7.5</v>
      </c>
      <c r="AA582" s="2">
        <v>25</v>
      </c>
      <c r="AB582" s="2">
        <v>75</v>
      </c>
      <c r="AC582" s="2">
        <v>14</v>
      </c>
      <c r="AD582" s="2">
        <v>25</v>
      </c>
      <c r="AE582" s="2">
        <f>AC582*AD582</f>
        <v>350</v>
      </c>
      <c r="AF582" s="2">
        <f>Z582/Y582</f>
        <v>3</v>
      </c>
      <c r="AG582" s="2">
        <f>AA582/Z582</f>
        <v>3.3333333333333335</v>
      </c>
      <c r="AH582" s="2">
        <f>AB582/AA582</f>
        <v>3</v>
      </c>
    </row>
    <row r="583" spans="1:34">
      <c r="A583" s="103" t="s">
        <v>539</v>
      </c>
      <c r="B583" s="103" t="s">
        <v>540</v>
      </c>
      <c r="C583" s="191">
        <v>46183</v>
      </c>
      <c r="D583" s="42">
        <v>0.79166666666666663</v>
      </c>
      <c r="E583" s="8">
        <v>29</v>
      </c>
      <c r="F583" s="63" t="s">
        <v>544</v>
      </c>
      <c r="G583" s="2">
        <v>1</v>
      </c>
      <c r="H583" s="2">
        <v>9</v>
      </c>
      <c r="I583" s="126">
        <v>150</v>
      </c>
      <c r="J583" s="179" t="s">
        <v>766</v>
      </c>
      <c r="K583" s="179" t="s">
        <v>602</v>
      </c>
      <c r="L583" s="92">
        <v>30000</v>
      </c>
      <c r="M583" s="69">
        <v>15</v>
      </c>
      <c r="N583" s="39" t="s">
        <v>48</v>
      </c>
      <c r="O583" s="39" t="s">
        <v>49</v>
      </c>
      <c r="P583" s="135" t="s">
        <v>828</v>
      </c>
      <c r="Q583" s="19">
        <v>46</v>
      </c>
      <c r="R583" s="15">
        <f>Q583/I583</f>
        <v>0.30666666666666664</v>
      </c>
      <c r="S583" s="5">
        <f>($AC583*$AD583)/(($Z583/$Y583)+($AA583/$Z583)+($AB583/$AA583))</f>
        <v>19.534883720930232</v>
      </c>
      <c r="U583" s="109" t="s">
        <v>129</v>
      </c>
      <c r="V583" s="71" t="s">
        <v>1395</v>
      </c>
      <c r="W583" s="182" t="s">
        <v>1389</v>
      </c>
      <c r="Y583" s="2">
        <v>4</v>
      </c>
      <c r="Z583" s="2">
        <v>8</v>
      </c>
      <c r="AA583" s="2">
        <v>30</v>
      </c>
      <c r="AB583" s="2">
        <v>150</v>
      </c>
      <c r="AC583" s="2">
        <v>14</v>
      </c>
      <c r="AD583" s="2">
        <v>15</v>
      </c>
      <c r="AE583" s="2">
        <f>AC583*AD583</f>
        <v>210</v>
      </c>
      <c r="AF583" s="2">
        <f>Z583/Y583</f>
        <v>2</v>
      </c>
      <c r="AG583" s="2">
        <f>AA583/Z583</f>
        <v>3.75</v>
      </c>
      <c r="AH583" s="2">
        <f>AB583/AA583</f>
        <v>5</v>
      </c>
    </row>
    <row r="584" spans="1:34">
      <c r="A584" s="165" t="s">
        <v>1383</v>
      </c>
      <c r="B584" s="39" t="s">
        <v>63</v>
      </c>
      <c r="C584" s="41">
        <v>46183</v>
      </c>
      <c r="D584" s="144">
        <v>0.79166666666666663</v>
      </c>
      <c r="F584" s="8" t="s">
        <v>903</v>
      </c>
      <c r="G584" s="2">
        <v>1</v>
      </c>
      <c r="H584" s="2">
        <v>9</v>
      </c>
      <c r="I584" s="45">
        <v>1100</v>
      </c>
      <c r="J584" s="2" t="s">
        <v>766</v>
      </c>
      <c r="K584" s="88" t="s">
        <v>807</v>
      </c>
      <c r="L584" s="92">
        <v>15000</v>
      </c>
      <c r="M584" s="82">
        <v>30</v>
      </c>
      <c r="N584" s="132" t="s">
        <v>821</v>
      </c>
      <c r="O584" s="39" t="s">
        <v>372</v>
      </c>
      <c r="P584" s="213"/>
      <c r="Q584" s="2">
        <f>88+37</f>
        <v>125</v>
      </c>
      <c r="R584" s="15">
        <f>Q584/I584</f>
        <v>0.11363636363636363</v>
      </c>
      <c r="S584" s="149" t="s">
        <v>110</v>
      </c>
      <c r="T584" s="149"/>
      <c r="U584" s="109" t="s">
        <v>767</v>
      </c>
      <c r="V584" s="71" t="s">
        <v>362</v>
      </c>
      <c r="W584" s="194" t="s">
        <v>370</v>
      </c>
      <c r="AE584" s="2" t="e">
        <f>AD584*#REF!</f>
        <v>#REF!</v>
      </c>
      <c r="AF584" s="2" t="e">
        <f>Z584/Y584</f>
        <v>#DIV/0!</v>
      </c>
      <c r="AG584" s="2" t="e">
        <f>AA584/Z584</f>
        <v>#DIV/0!</v>
      </c>
      <c r="AH584" s="2" t="e">
        <f>AC584/AA584</f>
        <v>#DIV/0!</v>
      </c>
    </row>
    <row r="585" spans="1:34">
      <c r="A585" s="52" t="s">
        <v>220</v>
      </c>
      <c r="B585" s="52" t="s">
        <v>221</v>
      </c>
      <c r="C585" s="191">
        <v>46183</v>
      </c>
      <c r="D585" s="42">
        <v>0.79166666666666663</v>
      </c>
      <c r="E585" s="193"/>
      <c r="F585" s="8" t="s">
        <v>1043</v>
      </c>
      <c r="G585" s="2">
        <v>3</v>
      </c>
      <c r="H585" s="2">
        <v>9</v>
      </c>
      <c r="I585" s="126">
        <v>1600</v>
      </c>
      <c r="J585" s="2" t="s">
        <v>766</v>
      </c>
      <c r="K585" s="88" t="s">
        <v>805</v>
      </c>
      <c r="L585" s="91">
        <v>40000</v>
      </c>
      <c r="M585" s="203" t="s">
        <v>113</v>
      </c>
      <c r="N585" s="39" t="s">
        <v>48</v>
      </c>
      <c r="O585" s="39" t="s">
        <v>49</v>
      </c>
      <c r="P585" s="135" t="s">
        <v>846</v>
      </c>
      <c r="Q585" s="19">
        <v>170</v>
      </c>
      <c r="R585" s="15">
        <f>Q585/I585</f>
        <v>0.10625</v>
      </c>
      <c r="S585" s="5">
        <f>($AC585*$AD585)/(($Z585/$Y585)+($AA585/$Z585)+($AB585/$AA585))</f>
        <v>44.081632653061227</v>
      </c>
      <c r="U585" s="109" t="s">
        <v>129</v>
      </c>
      <c r="V585" s="10" t="s">
        <v>738</v>
      </c>
      <c r="W585" s="10"/>
      <c r="Y585" s="2">
        <v>2</v>
      </c>
      <c r="Z585" s="2">
        <v>5</v>
      </c>
      <c r="AA585" s="2">
        <v>15</v>
      </c>
      <c r="AB585" s="2">
        <v>40</v>
      </c>
      <c r="AC585" s="2">
        <v>18</v>
      </c>
      <c r="AD585" s="2">
        <v>20</v>
      </c>
      <c r="AE585" s="2">
        <f>AC585*AD585</f>
        <v>360</v>
      </c>
      <c r="AF585" s="2">
        <f>Z585/Y585</f>
        <v>2.5</v>
      </c>
      <c r="AG585" s="2">
        <f>AA585/Z585</f>
        <v>3</v>
      </c>
      <c r="AH585" s="2">
        <f>AB585/AA585</f>
        <v>2.6666666666666665</v>
      </c>
    </row>
    <row r="586" spans="1:34">
      <c r="A586" s="165" t="s">
        <v>1383</v>
      </c>
      <c r="B586" s="72" t="s">
        <v>63</v>
      </c>
      <c r="C586" s="77">
        <v>46183</v>
      </c>
      <c r="D586" s="144">
        <v>0.83333333333333337</v>
      </c>
      <c r="E586" s="138"/>
      <c r="F586" s="8" t="s">
        <v>1023</v>
      </c>
      <c r="G586" s="73">
        <v>1</v>
      </c>
      <c r="H586" s="73">
        <v>9</v>
      </c>
      <c r="I586" s="78">
        <v>200</v>
      </c>
      <c r="J586" s="2" t="s">
        <v>766</v>
      </c>
      <c r="K586" s="88" t="s">
        <v>806</v>
      </c>
      <c r="L586" s="154">
        <v>20000</v>
      </c>
      <c r="M586" s="79">
        <v>20</v>
      </c>
      <c r="N586" s="39" t="s">
        <v>817</v>
      </c>
      <c r="O586" s="39" t="s">
        <v>49</v>
      </c>
      <c r="P586" s="235"/>
      <c r="Q586" s="74">
        <v>45</v>
      </c>
      <c r="R586" s="75">
        <f>Q586/I586</f>
        <v>0.22500000000000001</v>
      </c>
      <c r="S586" s="121">
        <v>23</v>
      </c>
      <c r="T586" s="121"/>
      <c r="U586" s="109" t="s">
        <v>129</v>
      </c>
      <c r="V586" s="80" t="s">
        <v>360</v>
      </c>
      <c r="W586" s="79"/>
      <c r="Y586" s="175"/>
      <c r="Z586" s="175"/>
      <c r="AA586" s="175"/>
      <c r="AB586" s="175"/>
      <c r="AC586" s="175"/>
      <c r="AD586" s="175"/>
      <c r="AE586" s="175"/>
      <c r="AF586" s="175"/>
      <c r="AG586" s="175"/>
      <c r="AH586" s="175"/>
    </row>
    <row r="587" spans="1:34">
      <c r="A587" s="102" t="s">
        <v>475</v>
      </c>
      <c r="B587" s="102" t="s">
        <v>476</v>
      </c>
      <c r="C587" s="41">
        <v>46183</v>
      </c>
      <c r="D587" s="42">
        <v>0.88194444444444442</v>
      </c>
      <c r="E587" s="193"/>
      <c r="F587" s="8" t="s">
        <v>483</v>
      </c>
      <c r="G587" s="2">
        <v>1</v>
      </c>
      <c r="H587" s="2">
        <v>9</v>
      </c>
      <c r="I587" s="126">
        <v>160</v>
      </c>
      <c r="J587" s="2" t="s">
        <v>766</v>
      </c>
      <c r="K587" s="109" t="s">
        <v>603</v>
      </c>
      <c r="L587" s="201">
        <v>20000</v>
      </c>
      <c r="M587" s="203">
        <v>20</v>
      </c>
      <c r="N587" s="39" t="s">
        <v>48</v>
      </c>
      <c r="O587" s="39" t="s">
        <v>49</v>
      </c>
      <c r="P587" s="135" t="s">
        <v>828</v>
      </c>
      <c r="Q587" s="19">
        <v>30</v>
      </c>
      <c r="R587" s="15">
        <f>Q587/I587</f>
        <v>0.1875</v>
      </c>
      <c r="S587" s="5">
        <f>($AC587*$AD587)/(($Z587/$Y587)+($AA587/$Z587)+($AB587/$AA587))</f>
        <v>20</v>
      </c>
      <c r="U587" s="109" t="s">
        <v>767</v>
      </c>
      <c r="V587" s="21" t="s">
        <v>595</v>
      </c>
      <c r="W587" s="241" t="s">
        <v>604</v>
      </c>
      <c r="Y587" s="2">
        <v>2</v>
      </c>
      <c r="Z587" s="2">
        <v>5</v>
      </c>
      <c r="AA587" s="2">
        <v>40</v>
      </c>
      <c r="AB587" s="2">
        <v>100</v>
      </c>
      <c r="AC587" s="2">
        <v>20</v>
      </c>
      <c r="AD587" s="2">
        <v>13</v>
      </c>
      <c r="AE587" s="2">
        <f>AC587*AD587</f>
        <v>260</v>
      </c>
      <c r="AF587" s="2">
        <f>Z587/Y587</f>
        <v>2.5</v>
      </c>
      <c r="AG587" s="2">
        <f>AA587/Z587</f>
        <v>8</v>
      </c>
      <c r="AH587" s="2">
        <f>AB587/AA587</f>
        <v>2.5</v>
      </c>
    </row>
    <row r="588" spans="1:34">
      <c r="A588" s="103" t="s">
        <v>539</v>
      </c>
      <c r="B588" s="103" t="s">
        <v>540</v>
      </c>
      <c r="C588" s="191">
        <v>46183</v>
      </c>
      <c r="D588" s="42">
        <v>0.89583333333333337</v>
      </c>
      <c r="E588" s="8">
        <v>30</v>
      </c>
      <c r="F588" s="63" t="s">
        <v>563</v>
      </c>
      <c r="G588" s="2">
        <v>1</v>
      </c>
      <c r="H588" s="2">
        <v>9</v>
      </c>
      <c r="I588" s="126">
        <v>140</v>
      </c>
      <c r="J588" s="179" t="s">
        <v>766</v>
      </c>
      <c r="K588" s="179" t="s">
        <v>603</v>
      </c>
      <c r="L588" s="92">
        <v>25000</v>
      </c>
      <c r="M588" s="69">
        <v>12</v>
      </c>
      <c r="N588" s="39" t="s">
        <v>48</v>
      </c>
      <c r="O588" s="39" t="s">
        <v>49</v>
      </c>
      <c r="P588" s="135" t="s">
        <v>826</v>
      </c>
      <c r="Q588" s="19">
        <v>38</v>
      </c>
      <c r="R588" s="15">
        <f>Q588/I588</f>
        <v>0.27142857142857141</v>
      </c>
      <c r="S588" s="5">
        <f>($AC588*$AD588)/(($Z588/$Y588)+($AA588/$Z588)+($AB588/$AA588))</f>
        <v>10.153846153846153</v>
      </c>
      <c r="U588" s="109" t="s">
        <v>585</v>
      </c>
      <c r="V588" s="71" t="s">
        <v>1395</v>
      </c>
      <c r="W588" s="182" t="s">
        <v>1396</v>
      </c>
      <c r="Y588" s="2">
        <v>5</v>
      </c>
      <c r="Z588" s="2">
        <v>20</v>
      </c>
      <c r="AA588" s="2">
        <v>100</v>
      </c>
      <c r="AB588" s="2">
        <v>400</v>
      </c>
      <c r="AC588" s="2">
        <v>11</v>
      </c>
      <c r="AD588" s="2">
        <v>12</v>
      </c>
      <c r="AE588" s="2">
        <f>AC588*AD588</f>
        <v>132</v>
      </c>
      <c r="AF588" s="2">
        <f>Z588/Y588</f>
        <v>4</v>
      </c>
      <c r="AG588" s="2">
        <f>AA588/Z588</f>
        <v>5</v>
      </c>
      <c r="AH588" s="2">
        <f>AB588/AA588</f>
        <v>4</v>
      </c>
    </row>
    <row r="589" spans="1:34">
      <c r="A589" s="165" t="s">
        <v>1383</v>
      </c>
      <c r="B589" s="39" t="s">
        <v>63</v>
      </c>
      <c r="C589" s="41">
        <v>46183</v>
      </c>
      <c r="D589" s="144">
        <v>0.91666666666666663</v>
      </c>
      <c r="F589" s="8" t="s">
        <v>909</v>
      </c>
      <c r="G589" s="2">
        <v>1</v>
      </c>
      <c r="H589" s="2">
        <v>9</v>
      </c>
      <c r="I589" s="45">
        <v>135</v>
      </c>
      <c r="J589" s="2" t="s">
        <v>766</v>
      </c>
      <c r="K589" s="88" t="s">
        <v>813</v>
      </c>
      <c r="L589" s="92">
        <v>10000</v>
      </c>
      <c r="M589" s="69">
        <v>15</v>
      </c>
      <c r="N589" s="132" t="s">
        <v>821</v>
      </c>
      <c r="O589" s="39" t="s">
        <v>49</v>
      </c>
      <c r="P589" s="210"/>
      <c r="Q589" s="19">
        <v>35</v>
      </c>
      <c r="R589" s="15">
        <f>Q589/I589</f>
        <v>0.25925925925925924</v>
      </c>
      <c r="S589" s="5">
        <v>22</v>
      </c>
      <c r="U589" s="109" t="s">
        <v>767</v>
      </c>
      <c r="V589" s="21" t="s">
        <v>362</v>
      </c>
      <c r="W589" s="194" t="s">
        <v>369</v>
      </c>
      <c r="Y589" s="175"/>
      <c r="Z589" s="175"/>
      <c r="AA589" s="175"/>
      <c r="AB589" s="175"/>
      <c r="AC589" s="175"/>
      <c r="AD589" s="175"/>
      <c r="AE589" s="175"/>
      <c r="AF589" s="175"/>
      <c r="AG589" s="175"/>
      <c r="AH589" s="175"/>
    </row>
    <row r="590" spans="1:34">
      <c r="A590" s="165" t="s">
        <v>1383</v>
      </c>
      <c r="B590" s="36" t="s">
        <v>63</v>
      </c>
      <c r="C590" s="41">
        <v>46183</v>
      </c>
      <c r="D590" s="144" t="s">
        <v>117</v>
      </c>
      <c r="E590" s="14">
        <v>34</v>
      </c>
      <c r="F590" s="8" t="s">
        <v>957</v>
      </c>
      <c r="G590" s="2">
        <v>4</v>
      </c>
      <c r="H590" s="2">
        <v>9</v>
      </c>
      <c r="I590" s="45">
        <v>500</v>
      </c>
      <c r="J590" s="2" t="s">
        <v>761</v>
      </c>
      <c r="K590" s="109" t="s">
        <v>601</v>
      </c>
      <c r="L590" s="92">
        <v>50000</v>
      </c>
      <c r="M590" s="69">
        <v>40</v>
      </c>
      <c r="N590" s="39" t="s">
        <v>48</v>
      </c>
      <c r="O590" s="39" t="s">
        <v>49</v>
      </c>
      <c r="P590" s="210"/>
      <c r="Q590" s="19">
        <f>R590*I590</f>
        <v>0</v>
      </c>
      <c r="R590" s="15">
        <v>0</v>
      </c>
      <c r="S590" s="5">
        <f>($AC590*$AD590)/(($Z590/$Y590)+($AA590/$Z590)+($AB590/$AA590))</f>
        <v>107.99584631360334</v>
      </c>
      <c r="U590" s="109" t="s">
        <v>767</v>
      </c>
      <c r="V590" s="2" t="s">
        <v>121</v>
      </c>
      <c r="W590" s="10"/>
      <c r="Y590" s="2">
        <v>2</v>
      </c>
      <c r="Z590" s="2">
        <v>5</v>
      </c>
      <c r="AA590" s="2">
        <v>13</v>
      </c>
      <c r="AB590" s="2">
        <v>30</v>
      </c>
      <c r="AC590" s="2">
        <v>20</v>
      </c>
      <c r="AD590" s="2">
        <v>40</v>
      </c>
      <c r="AE590" s="2">
        <f>AC590*AD590</f>
        <v>800</v>
      </c>
      <c r="AF590" s="2">
        <f>Z590/Y590</f>
        <v>2.5</v>
      </c>
      <c r="AG590" s="2">
        <f>AA590/Z590</f>
        <v>2.6</v>
      </c>
      <c r="AH590" s="2">
        <f>AB590/AA590</f>
        <v>2.3076923076923075</v>
      </c>
    </row>
    <row r="591" spans="1:34">
      <c r="A591" s="165" t="s">
        <v>1383</v>
      </c>
      <c r="B591" s="36" t="s">
        <v>63</v>
      </c>
      <c r="C591" s="41">
        <v>46183</v>
      </c>
      <c r="D591" s="144" t="s">
        <v>115</v>
      </c>
      <c r="E591" s="8">
        <v>32</v>
      </c>
      <c r="F591" s="8" t="s">
        <v>1176</v>
      </c>
      <c r="G591" s="2">
        <v>4</v>
      </c>
      <c r="H591" s="2">
        <v>9</v>
      </c>
      <c r="I591" s="45">
        <v>3000</v>
      </c>
      <c r="J591" s="2" t="s">
        <v>760</v>
      </c>
      <c r="K591" s="109" t="s">
        <v>601</v>
      </c>
      <c r="L591" s="92">
        <v>40000</v>
      </c>
      <c r="M591" s="69">
        <v>60</v>
      </c>
      <c r="N591" s="39" t="s">
        <v>48</v>
      </c>
      <c r="O591" s="39" t="s">
        <v>49</v>
      </c>
      <c r="P591" s="210"/>
      <c r="Q591" s="19">
        <f>R591*I591</f>
        <v>330</v>
      </c>
      <c r="R591" s="15">
        <v>0.11</v>
      </c>
      <c r="S591" s="5">
        <f>($AC591*$AD591)/(($Z591/$Y591)+($AA591/$Z591)+($AB591/$AA591))</f>
        <v>142.5</v>
      </c>
      <c r="U591" s="109" t="s">
        <v>767</v>
      </c>
      <c r="V591" s="205" t="s">
        <v>121</v>
      </c>
      <c r="W591" s="10"/>
      <c r="Y591" s="2">
        <v>2</v>
      </c>
      <c r="Z591" s="2">
        <v>5</v>
      </c>
      <c r="AA591" s="2">
        <v>7.5</v>
      </c>
      <c r="AB591" s="2">
        <v>30</v>
      </c>
      <c r="AC591" s="2">
        <v>19</v>
      </c>
      <c r="AD591" s="2">
        <v>60</v>
      </c>
      <c r="AE591" s="2">
        <f>AC591*AD591</f>
        <v>1140</v>
      </c>
      <c r="AF591" s="2">
        <f>Z591/Y591</f>
        <v>2.5</v>
      </c>
      <c r="AG591" s="2">
        <f>AA591/Z591</f>
        <v>1.5</v>
      </c>
      <c r="AH591" s="2">
        <f>AB591/AA591</f>
        <v>4</v>
      </c>
    </row>
    <row r="592" spans="1:34">
      <c r="A592" s="165" t="s">
        <v>1383</v>
      </c>
      <c r="B592" s="36" t="s">
        <v>63</v>
      </c>
      <c r="C592" s="41">
        <v>46183</v>
      </c>
      <c r="D592" s="144" t="s">
        <v>115</v>
      </c>
      <c r="E592" s="14">
        <v>35</v>
      </c>
      <c r="F592" s="8" t="s">
        <v>188</v>
      </c>
      <c r="G592" s="2">
        <v>3</v>
      </c>
      <c r="H592" s="2">
        <v>9</v>
      </c>
      <c r="I592" s="45">
        <v>1500</v>
      </c>
      <c r="J592" s="2" t="s">
        <v>763</v>
      </c>
      <c r="K592" s="109" t="s">
        <v>598</v>
      </c>
      <c r="L592" s="92">
        <v>25000</v>
      </c>
      <c r="M592" s="69" t="s">
        <v>97</v>
      </c>
      <c r="N592" s="39" t="s">
        <v>48</v>
      </c>
      <c r="O592" s="39" t="s">
        <v>57</v>
      </c>
      <c r="P592" s="213"/>
      <c r="Q592" s="38">
        <f>R592*I592</f>
        <v>172.5</v>
      </c>
      <c r="R592" s="15">
        <v>0.115</v>
      </c>
      <c r="S592" s="149" t="s">
        <v>110</v>
      </c>
      <c r="T592" s="149"/>
      <c r="U592" s="109" t="s">
        <v>767</v>
      </c>
      <c r="V592" s="205" t="s">
        <v>121</v>
      </c>
      <c r="W592" s="10"/>
      <c r="AE592" s="2" t="e">
        <f>AD592*#REF!</f>
        <v>#REF!</v>
      </c>
      <c r="AF592" s="2" t="e">
        <f>Z592/Y592</f>
        <v>#DIV/0!</v>
      </c>
      <c r="AG592" s="2" t="e">
        <f>AA592/Z592</f>
        <v>#DIV/0!</v>
      </c>
      <c r="AH592" s="2" t="e">
        <f>AC592/AA592</f>
        <v>#DIV/0!</v>
      </c>
    </row>
    <row r="593" spans="1:34">
      <c r="A593" s="165" t="s">
        <v>1383</v>
      </c>
      <c r="B593" s="36" t="s">
        <v>63</v>
      </c>
      <c r="C593" s="41">
        <v>46183</v>
      </c>
      <c r="D593" s="144" t="s">
        <v>119</v>
      </c>
      <c r="E593" s="8">
        <v>36</v>
      </c>
      <c r="F593" s="8" t="s">
        <v>961</v>
      </c>
      <c r="G593" s="2">
        <v>3</v>
      </c>
      <c r="H593" s="2">
        <v>8</v>
      </c>
      <c r="I593" s="45">
        <v>100000</v>
      </c>
      <c r="J593" s="2" t="s">
        <v>760</v>
      </c>
      <c r="K593" s="109" t="s">
        <v>601</v>
      </c>
      <c r="L593" s="92">
        <v>600000</v>
      </c>
      <c r="M593" s="69">
        <v>60</v>
      </c>
      <c r="N593" s="39" t="s">
        <v>48</v>
      </c>
      <c r="O593" s="39" t="s">
        <v>49</v>
      </c>
      <c r="Q593" s="19">
        <f>R593*I593</f>
        <v>4000</v>
      </c>
      <c r="R593" s="15">
        <v>0.04</v>
      </c>
      <c r="S593" s="5">
        <f>($AC593*$AD593)/(($Z593/$Y593)+($AA593/$Z593)+($AB593/$AA593))</f>
        <v>170.27027027027026</v>
      </c>
      <c r="U593" s="109" t="s">
        <v>767</v>
      </c>
      <c r="V593" s="10" t="s">
        <v>121</v>
      </c>
      <c r="W593" s="10"/>
      <c r="Y593" s="2">
        <v>20</v>
      </c>
      <c r="Z593" s="2">
        <v>50</v>
      </c>
      <c r="AA593" s="2">
        <v>125</v>
      </c>
      <c r="AB593" s="2">
        <v>300</v>
      </c>
      <c r="AC593" s="2">
        <v>21</v>
      </c>
      <c r="AD593" s="2">
        <v>60</v>
      </c>
      <c r="AE593" s="2">
        <f>AC593*AD593</f>
        <v>1260</v>
      </c>
      <c r="AF593" s="2">
        <f>Z593/Y593</f>
        <v>2.5</v>
      </c>
      <c r="AG593" s="2">
        <f>AA593/Z593</f>
        <v>2.5</v>
      </c>
      <c r="AH593" s="2">
        <f>AB593/AA593</f>
        <v>2.4</v>
      </c>
    </row>
    <row r="594" spans="1:34">
      <c r="A594" s="165" t="s">
        <v>1383</v>
      </c>
      <c r="B594" s="36" t="s">
        <v>63</v>
      </c>
      <c r="C594" s="41">
        <v>46183</v>
      </c>
      <c r="D594" s="144" t="s">
        <v>116</v>
      </c>
      <c r="E594" s="8">
        <v>37</v>
      </c>
      <c r="F594" s="8" t="s">
        <v>962</v>
      </c>
      <c r="G594" s="2">
        <v>3</v>
      </c>
      <c r="H594" s="2">
        <v>9</v>
      </c>
      <c r="I594" s="45">
        <v>1500</v>
      </c>
      <c r="J594" s="2" t="s">
        <v>110</v>
      </c>
      <c r="K594" s="109" t="s">
        <v>598</v>
      </c>
      <c r="L594" s="92">
        <v>25000</v>
      </c>
      <c r="M594" s="69" t="s">
        <v>97</v>
      </c>
      <c r="N594" s="39" t="s">
        <v>48</v>
      </c>
      <c r="O594" s="39" t="s">
        <v>122</v>
      </c>
      <c r="P594" s="213"/>
      <c r="Q594" s="38">
        <f>R594*I594</f>
        <v>172.5</v>
      </c>
      <c r="R594" s="15">
        <v>0.115</v>
      </c>
      <c r="S594" s="149" t="s">
        <v>110</v>
      </c>
      <c r="T594" s="149"/>
      <c r="U594" s="109" t="s">
        <v>767</v>
      </c>
      <c r="V594" s="10" t="s">
        <v>121</v>
      </c>
      <c r="W594" s="10"/>
      <c r="AE594" s="2" t="e">
        <f>AD594*#REF!</f>
        <v>#REF!</v>
      </c>
      <c r="AF594" s="2" t="e">
        <f>Z594/Y594</f>
        <v>#DIV/0!</v>
      </c>
      <c r="AG594" s="2" t="e">
        <f>AA594/Z594</f>
        <v>#DIV/0!</v>
      </c>
      <c r="AH594" s="2" t="e">
        <f>AC594/AA594</f>
        <v>#DIV/0!</v>
      </c>
    </row>
    <row r="595" spans="1:34">
      <c r="A595" s="165" t="s">
        <v>1383</v>
      </c>
      <c r="B595" s="36" t="s">
        <v>63</v>
      </c>
      <c r="C595" s="41">
        <v>46183</v>
      </c>
      <c r="D595" s="144" t="s">
        <v>876</v>
      </c>
      <c r="E595" s="14">
        <v>18</v>
      </c>
      <c r="F595" s="8" t="s">
        <v>1105</v>
      </c>
      <c r="G595" s="2">
        <v>5</v>
      </c>
      <c r="H595" s="2">
        <v>9</v>
      </c>
      <c r="I595" s="45">
        <v>1500</v>
      </c>
      <c r="J595" s="2" t="s">
        <v>761</v>
      </c>
      <c r="K595" s="109" t="s">
        <v>816</v>
      </c>
      <c r="L595" s="92">
        <v>50000</v>
      </c>
      <c r="M595" s="69">
        <v>60</v>
      </c>
      <c r="N595" s="39" t="s">
        <v>48</v>
      </c>
      <c r="O595" s="39" t="s">
        <v>49</v>
      </c>
      <c r="P595" s="210"/>
      <c r="Q595" s="19">
        <f>R595*I595</f>
        <v>172.5</v>
      </c>
      <c r="R595" s="15">
        <v>0.115</v>
      </c>
      <c r="S595" s="5">
        <f>($AC595*$AD595)/(($Z595/$Y595)+($AA595/$Z595)+($AB595/$AA595))</f>
        <v>161.993769470405</v>
      </c>
      <c r="U595" s="109" t="s">
        <v>767</v>
      </c>
      <c r="V595" s="205" t="s">
        <v>121</v>
      </c>
      <c r="W595" s="10"/>
      <c r="Y595" s="2">
        <v>2</v>
      </c>
      <c r="Z595" s="2">
        <v>5</v>
      </c>
      <c r="AA595" s="2">
        <v>13</v>
      </c>
      <c r="AB595" s="2">
        <v>30</v>
      </c>
      <c r="AC595" s="2">
        <v>20</v>
      </c>
      <c r="AD595" s="2">
        <v>60</v>
      </c>
      <c r="AE595" s="2">
        <f>AC595*AD595</f>
        <v>1200</v>
      </c>
      <c r="AF595" s="2">
        <f>Z595/Y595</f>
        <v>2.5</v>
      </c>
      <c r="AG595" s="2">
        <f>AA595/Z595</f>
        <v>2.6</v>
      </c>
      <c r="AH595" s="2">
        <f>AB595/AA595</f>
        <v>2.3076923076923075</v>
      </c>
    </row>
    <row r="596" spans="1:34">
      <c r="A596" s="165" t="s">
        <v>1383</v>
      </c>
      <c r="B596" s="36" t="s">
        <v>63</v>
      </c>
      <c r="C596" s="41">
        <v>46183</v>
      </c>
      <c r="D596" s="144" t="s">
        <v>876</v>
      </c>
      <c r="E596" s="8">
        <v>29</v>
      </c>
      <c r="F596" s="8" t="s">
        <v>1284</v>
      </c>
      <c r="G596" s="2">
        <v>3</v>
      </c>
      <c r="H596" s="2">
        <v>8</v>
      </c>
      <c r="I596" s="45">
        <v>50000</v>
      </c>
      <c r="J596" s="2" t="s">
        <v>760</v>
      </c>
      <c r="K596" s="109" t="s">
        <v>815</v>
      </c>
      <c r="L596" s="92">
        <v>300000</v>
      </c>
      <c r="M596" s="69">
        <v>60</v>
      </c>
      <c r="N596" s="39" t="s">
        <v>48</v>
      </c>
      <c r="O596" s="39" t="s">
        <v>49</v>
      </c>
      <c r="P596" s="210"/>
      <c r="Q596" s="19">
        <f>R596*I596</f>
        <v>2500</v>
      </c>
      <c r="R596" s="15">
        <v>0.05</v>
      </c>
      <c r="S596" s="5">
        <f>($AC596*$AD596)/(($Z596/$Y596)+($AA596/$Z596)+($AB596/$AA596))</f>
        <v>145.94594594594594</v>
      </c>
      <c r="U596" s="109" t="s">
        <v>767</v>
      </c>
      <c r="V596" s="2" t="s">
        <v>121</v>
      </c>
      <c r="W596" s="10"/>
      <c r="Y596" s="2">
        <v>20</v>
      </c>
      <c r="Z596" s="2">
        <v>50</v>
      </c>
      <c r="AA596" s="2">
        <v>125</v>
      </c>
      <c r="AB596" s="2">
        <v>300</v>
      </c>
      <c r="AC596" s="2">
        <v>18</v>
      </c>
      <c r="AD596" s="2">
        <v>60</v>
      </c>
      <c r="AE596" s="2">
        <f>AC596*AD596</f>
        <v>1080</v>
      </c>
      <c r="AF596" s="2">
        <f>Z596/Y596</f>
        <v>2.5</v>
      </c>
      <c r="AG596" s="2">
        <f>AA596/Z596</f>
        <v>2.5</v>
      </c>
      <c r="AH596" s="2">
        <f>AB596/AA596</f>
        <v>2.4</v>
      </c>
    </row>
    <row r="597" spans="1:34">
      <c r="A597" s="165" t="s">
        <v>1383</v>
      </c>
      <c r="B597" s="36" t="s">
        <v>63</v>
      </c>
      <c r="C597" s="41">
        <v>46183</v>
      </c>
      <c r="D597" s="144" t="s">
        <v>876</v>
      </c>
      <c r="E597" s="8">
        <v>30</v>
      </c>
      <c r="F597" s="8" t="s">
        <v>1222</v>
      </c>
      <c r="G597" s="2">
        <v>3</v>
      </c>
      <c r="H597" s="2">
        <v>7</v>
      </c>
      <c r="I597" s="45">
        <v>1500</v>
      </c>
      <c r="J597" s="2" t="s">
        <v>110</v>
      </c>
      <c r="K597" s="109" t="s">
        <v>598</v>
      </c>
      <c r="L597" s="92">
        <v>25000</v>
      </c>
      <c r="M597" s="69" t="s">
        <v>97</v>
      </c>
      <c r="N597" s="39" t="s">
        <v>48</v>
      </c>
      <c r="O597" s="39" t="s">
        <v>372</v>
      </c>
      <c r="P597" s="213"/>
      <c r="Q597" s="38">
        <f>R597*I597</f>
        <v>172.5</v>
      </c>
      <c r="R597" s="15">
        <v>0.115</v>
      </c>
      <c r="S597" s="149" t="s">
        <v>110</v>
      </c>
      <c r="T597" s="149"/>
      <c r="U597" s="109" t="s">
        <v>767</v>
      </c>
      <c r="V597" s="205" t="s">
        <v>121</v>
      </c>
      <c r="W597" s="10"/>
      <c r="AE597" s="2" t="e">
        <f>AD597*#REF!</f>
        <v>#REF!</v>
      </c>
      <c r="AF597" s="2" t="e">
        <f>Z597/Y597</f>
        <v>#DIV/0!</v>
      </c>
      <c r="AG597" s="2" t="e">
        <f>AA597/Z597</f>
        <v>#DIV/0!</v>
      </c>
      <c r="AH597" s="2" t="e">
        <f>AC597/AA597</f>
        <v>#DIV/0!</v>
      </c>
    </row>
    <row r="598" spans="1:34">
      <c r="A598" s="95" t="s">
        <v>447</v>
      </c>
      <c r="B598" s="95" t="s">
        <v>448</v>
      </c>
      <c r="C598" s="190">
        <v>46184</v>
      </c>
      <c r="D598" s="42">
        <v>0.375</v>
      </c>
      <c r="E598" s="193"/>
      <c r="F598" s="8" t="s">
        <v>415</v>
      </c>
      <c r="G598" s="2">
        <v>1</v>
      </c>
      <c r="H598" s="2">
        <v>9</v>
      </c>
      <c r="I598" s="126">
        <v>240</v>
      </c>
      <c r="J598" s="2" t="s">
        <v>766</v>
      </c>
      <c r="K598" s="109" t="s">
        <v>602</v>
      </c>
      <c r="L598" s="194">
        <v>20000</v>
      </c>
      <c r="M598" s="194">
        <v>15</v>
      </c>
      <c r="N598" s="39" t="s">
        <v>61</v>
      </c>
      <c r="O598" s="39" t="s">
        <v>49</v>
      </c>
      <c r="P598" s="131" t="s">
        <v>228</v>
      </c>
      <c r="Q598" s="19">
        <v>40</v>
      </c>
      <c r="R598" s="15">
        <f>Q598/I598</f>
        <v>0.16666666666666666</v>
      </c>
      <c r="S598" s="5">
        <f>($AC598*$AD598)/(($Z598/$Y598)+($AA598/$Z598)+($AB598/$AA598))</f>
        <v>23.333333333333332</v>
      </c>
      <c r="U598" s="109" t="s">
        <v>129</v>
      </c>
      <c r="V598" s="205" t="s">
        <v>741</v>
      </c>
      <c r="W598" s="238" t="s">
        <v>745</v>
      </c>
      <c r="Y598" s="2">
        <v>2</v>
      </c>
      <c r="Z598" s="2">
        <v>5</v>
      </c>
      <c r="AA598" s="2">
        <v>20</v>
      </c>
      <c r="AB598" s="2">
        <v>50</v>
      </c>
      <c r="AC598" s="2">
        <v>14</v>
      </c>
      <c r="AD598" s="2">
        <v>15</v>
      </c>
      <c r="AE598" s="2">
        <f>AC598*AD598</f>
        <v>210</v>
      </c>
      <c r="AF598" s="2">
        <f>Z598/Y598</f>
        <v>2.5</v>
      </c>
      <c r="AG598" s="2">
        <f>AA598/Z598</f>
        <v>4</v>
      </c>
      <c r="AH598" s="2">
        <f>AB598/AA598</f>
        <v>2.5</v>
      </c>
    </row>
    <row r="599" spans="1:34">
      <c r="A599" s="165" t="s">
        <v>1383</v>
      </c>
      <c r="B599" s="39" t="s">
        <v>63</v>
      </c>
      <c r="C599" s="41">
        <v>46184</v>
      </c>
      <c r="D599" s="144">
        <v>0.375</v>
      </c>
      <c r="E599" s="8"/>
      <c r="F599" s="8" t="s">
        <v>925</v>
      </c>
      <c r="G599" s="2">
        <v>1</v>
      </c>
      <c r="H599" s="2">
        <v>9</v>
      </c>
      <c r="I599" s="45">
        <v>250</v>
      </c>
      <c r="J599" s="2" t="s">
        <v>766</v>
      </c>
      <c r="K599" s="88" t="s">
        <v>772</v>
      </c>
      <c r="L599" s="92">
        <v>25000</v>
      </c>
      <c r="M599" s="10">
        <v>30</v>
      </c>
      <c r="N599" s="39" t="s">
        <v>823</v>
      </c>
      <c r="O599" s="39" t="s">
        <v>49</v>
      </c>
      <c r="P599" s="210"/>
      <c r="Q599" s="19">
        <v>50</v>
      </c>
      <c r="R599" s="15">
        <v>0.2</v>
      </c>
      <c r="S599" s="5">
        <v>44</v>
      </c>
      <c r="U599" s="109" t="s">
        <v>54</v>
      </c>
      <c r="V599" s="71" t="s">
        <v>360</v>
      </c>
      <c r="W599" s="10"/>
      <c r="Y599" s="175"/>
      <c r="Z599" s="175"/>
      <c r="AA599" s="175"/>
      <c r="AB599" s="175"/>
      <c r="AC599" s="175"/>
      <c r="AD599" s="175"/>
      <c r="AE599" s="175"/>
      <c r="AF599" s="175"/>
      <c r="AG599" s="175"/>
      <c r="AH599" s="175"/>
    </row>
    <row r="600" spans="1:34">
      <c r="A600" s="96" t="s">
        <v>461</v>
      </c>
      <c r="B600" s="96" t="s">
        <v>462</v>
      </c>
      <c r="C600" s="41">
        <v>46184</v>
      </c>
      <c r="D600" s="42">
        <v>0.4236111111111111</v>
      </c>
      <c r="E600" s="193"/>
      <c r="F600" s="8" t="s">
        <v>457</v>
      </c>
      <c r="G600" s="2">
        <v>1</v>
      </c>
      <c r="I600" s="126">
        <v>120</v>
      </c>
      <c r="J600" s="2" t="s">
        <v>766</v>
      </c>
      <c r="K600" s="109" t="s">
        <v>602</v>
      </c>
      <c r="L600" s="194">
        <v>20000</v>
      </c>
      <c r="M600" s="69">
        <v>20</v>
      </c>
      <c r="N600" s="39" t="s">
        <v>48</v>
      </c>
      <c r="O600" s="39" t="s">
        <v>49</v>
      </c>
      <c r="P600" s="135" t="s">
        <v>832</v>
      </c>
      <c r="Q600" s="19">
        <v>24</v>
      </c>
      <c r="R600" s="15">
        <f>Q600/I600</f>
        <v>0.2</v>
      </c>
      <c r="S600" s="5">
        <f>($AC600*$AD600)/(($Z600/$Y600)+($AA600/$Z600)+($AB600/$AA600))</f>
        <v>25.161290322580644</v>
      </c>
      <c r="U600" s="109" t="s">
        <v>767</v>
      </c>
      <c r="V600" s="10" t="s">
        <v>735</v>
      </c>
      <c r="W600" s="10"/>
      <c r="Y600" s="2">
        <v>2.5</v>
      </c>
      <c r="Z600" s="2">
        <v>7.5</v>
      </c>
      <c r="AA600" s="2">
        <v>30</v>
      </c>
      <c r="AB600" s="2">
        <v>100</v>
      </c>
      <c r="AC600" s="2">
        <v>13</v>
      </c>
      <c r="AD600" s="2">
        <v>20</v>
      </c>
      <c r="AE600" s="2">
        <f>AC600*AD600</f>
        <v>260</v>
      </c>
      <c r="AF600" s="2">
        <f>Z600/Y600</f>
        <v>3</v>
      </c>
      <c r="AG600" s="2">
        <f>AA600/Z600</f>
        <v>4</v>
      </c>
      <c r="AH600" s="2">
        <f>AB600/AA600</f>
        <v>3.3333333333333335</v>
      </c>
    </row>
    <row r="601" spans="1:34">
      <c r="A601" s="68" t="s">
        <v>357</v>
      </c>
      <c r="B601" s="68" t="s">
        <v>358</v>
      </c>
      <c r="C601" s="191">
        <v>46184</v>
      </c>
      <c r="D601" s="42">
        <v>0.4236111111111111</v>
      </c>
      <c r="E601" s="8">
        <v>44</v>
      </c>
      <c r="F601" s="63" t="s">
        <v>306</v>
      </c>
      <c r="G601" s="2">
        <v>2</v>
      </c>
      <c r="H601" s="2">
        <v>9</v>
      </c>
      <c r="I601" s="126">
        <v>1100</v>
      </c>
      <c r="J601" s="2" t="s">
        <v>766</v>
      </c>
      <c r="K601" s="137" t="s">
        <v>598</v>
      </c>
      <c r="L601" s="92">
        <v>40000</v>
      </c>
      <c r="M601" s="69">
        <v>40</v>
      </c>
      <c r="N601" s="39" t="s">
        <v>48</v>
      </c>
      <c r="O601" s="39" t="s">
        <v>49</v>
      </c>
      <c r="P601" s="135" t="s">
        <v>848</v>
      </c>
      <c r="Q601" s="19">
        <v>140</v>
      </c>
      <c r="R601" s="15">
        <f>Q601/I601</f>
        <v>0.12727272727272726</v>
      </c>
      <c r="S601" s="5">
        <f>($AC601*$AD601)/(($Z601/$Y601)+($AA601/$Z601)+($AB601/$AA601))</f>
        <v>102.59605399792316</v>
      </c>
      <c r="U601" s="109" t="s">
        <v>54</v>
      </c>
      <c r="V601" s="2" t="s">
        <v>674</v>
      </c>
      <c r="W601" s="10"/>
      <c r="Y601" s="2">
        <v>2</v>
      </c>
      <c r="Z601" s="2">
        <v>5</v>
      </c>
      <c r="AA601" s="2">
        <v>13</v>
      </c>
      <c r="AB601" s="2">
        <v>30</v>
      </c>
      <c r="AC601" s="2">
        <v>40</v>
      </c>
      <c r="AD601" s="2">
        <v>19</v>
      </c>
      <c r="AE601" s="2">
        <f>AC601*AD601</f>
        <v>760</v>
      </c>
      <c r="AF601" s="2">
        <f>Z601/Y601</f>
        <v>2.5</v>
      </c>
      <c r="AG601" s="2">
        <f>AA601/Z601</f>
        <v>2.6</v>
      </c>
      <c r="AH601" s="2">
        <f>AB601/AA601</f>
        <v>2.3076923076923075</v>
      </c>
    </row>
    <row r="602" spans="1:34">
      <c r="A602" s="103" t="s">
        <v>539</v>
      </c>
      <c r="B602" s="103" t="s">
        <v>540</v>
      </c>
      <c r="C602" s="191">
        <v>46184</v>
      </c>
      <c r="D602" s="42">
        <v>0.45833333333333331</v>
      </c>
      <c r="E602" s="8">
        <v>31</v>
      </c>
      <c r="F602" s="197" t="s">
        <v>542</v>
      </c>
      <c r="G602" s="2">
        <v>1</v>
      </c>
      <c r="H602" s="2">
        <v>9</v>
      </c>
      <c r="I602" s="126">
        <v>200</v>
      </c>
      <c r="J602" s="179" t="s">
        <v>766</v>
      </c>
      <c r="K602" s="179" t="s">
        <v>815</v>
      </c>
      <c r="L602" s="92">
        <v>30000</v>
      </c>
      <c r="M602" s="69">
        <v>30</v>
      </c>
      <c r="N602" s="39" t="s">
        <v>48</v>
      </c>
      <c r="O602" s="39" t="s">
        <v>49</v>
      </c>
      <c r="P602" s="212" t="s">
        <v>833</v>
      </c>
      <c r="Q602" s="19">
        <v>44</v>
      </c>
      <c r="R602" s="15">
        <f>Q602/I602</f>
        <v>0.22</v>
      </c>
      <c r="S602" s="5">
        <f>($AC602*$AD602)/(($Z602/$Y602)+($AA602/$Z602)+($AB602/$AA602))</f>
        <v>53.333333333333336</v>
      </c>
      <c r="U602" s="109" t="s">
        <v>767</v>
      </c>
      <c r="V602" s="71" t="s">
        <v>1395</v>
      </c>
      <c r="W602" s="10"/>
      <c r="Y602" s="2">
        <v>2</v>
      </c>
      <c r="Z602" s="2">
        <v>5</v>
      </c>
      <c r="AA602" s="2">
        <v>20</v>
      </c>
      <c r="AB602" s="2">
        <v>50</v>
      </c>
      <c r="AC602" s="2">
        <v>16</v>
      </c>
      <c r="AD602" s="2">
        <v>30</v>
      </c>
      <c r="AE602" s="2">
        <f>AC602*AD602</f>
        <v>480</v>
      </c>
      <c r="AF602" s="2">
        <f>Z602/Y602</f>
        <v>2.5</v>
      </c>
      <c r="AG602" s="2">
        <f>AA602/Z602</f>
        <v>4</v>
      </c>
      <c r="AH602" s="2">
        <f>AB602/AA602</f>
        <v>2.5</v>
      </c>
    </row>
    <row r="603" spans="1:34">
      <c r="A603" s="165" t="s">
        <v>1383</v>
      </c>
      <c r="B603" s="36" t="s">
        <v>63</v>
      </c>
      <c r="C603" s="41">
        <v>46184</v>
      </c>
      <c r="D603" s="144">
        <v>0.45833333333333331</v>
      </c>
      <c r="E603" s="14">
        <v>34</v>
      </c>
      <c r="F603" s="194" t="s">
        <v>1193</v>
      </c>
      <c r="G603" s="2">
        <v>4</v>
      </c>
      <c r="H603" s="2">
        <v>9</v>
      </c>
      <c r="I603" s="45">
        <v>500</v>
      </c>
      <c r="J603" s="2" t="s">
        <v>761</v>
      </c>
      <c r="K603" s="109" t="s">
        <v>601</v>
      </c>
      <c r="L603" s="92">
        <v>50000</v>
      </c>
      <c r="M603" s="69">
        <v>40</v>
      </c>
      <c r="N603" s="39" t="s">
        <v>48</v>
      </c>
      <c r="O603" s="39" t="s">
        <v>49</v>
      </c>
      <c r="Q603" s="19">
        <f>R603*I603</f>
        <v>0</v>
      </c>
      <c r="R603" s="15">
        <v>0</v>
      </c>
      <c r="S603" s="5">
        <f>($AC603*$AD603)/(($Z603/$Y603)+($AA603/$Z603)+($AB603/$AA603))</f>
        <v>107.99584631360334</v>
      </c>
      <c r="U603" s="109" t="s">
        <v>767</v>
      </c>
      <c r="V603" s="10" t="s">
        <v>121</v>
      </c>
      <c r="W603" s="10"/>
      <c r="Y603" s="2">
        <v>2</v>
      </c>
      <c r="Z603" s="2">
        <v>5</v>
      </c>
      <c r="AA603" s="2">
        <v>13</v>
      </c>
      <c r="AB603" s="2">
        <v>30</v>
      </c>
      <c r="AC603" s="2">
        <v>20</v>
      </c>
      <c r="AD603" s="2">
        <v>40</v>
      </c>
      <c r="AE603" s="2">
        <f>AC603*AD603</f>
        <v>800</v>
      </c>
      <c r="AF603" s="2">
        <f>Z603/Y603</f>
        <v>2.5</v>
      </c>
      <c r="AG603" s="2">
        <f>AA603/Z603</f>
        <v>2.6</v>
      </c>
      <c r="AH603" s="2">
        <f>AB603/AA603</f>
        <v>2.3076923076923075</v>
      </c>
    </row>
    <row r="604" spans="1:34">
      <c r="A604" s="102" t="s">
        <v>475</v>
      </c>
      <c r="B604" s="102" t="s">
        <v>476</v>
      </c>
      <c r="C604" s="190">
        <v>46184</v>
      </c>
      <c r="D604" s="42">
        <v>0.45833333333333331</v>
      </c>
      <c r="E604" s="8">
        <v>10</v>
      </c>
      <c r="F604" s="157" t="s">
        <v>496</v>
      </c>
      <c r="G604" s="2">
        <v>1</v>
      </c>
      <c r="H604" s="2">
        <v>9</v>
      </c>
      <c r="I604" s="126">
        <v>400</v>
      </c>
      <c r="J604" s="2" t="s">
        <v>766</v>
      </c>
      <c r="K604" s="109" t="s">
        <v>601</v>
      </c>
      <c r="L604" s="105">
        <v>30000</v>
      </c>
      <c r="M604" s="64">
        <v>30</v>
      </c>
      <c r="N604" s="39" t="s">
        <v>48</v>
      </c>
      <c r="O604" s="39" t="s">
        <v>49</v>
      </c>
      <c r="P604" s="134" t="s">
        <v>834</v>
      </c>
      <c r="Q604" s="19">
        <v>70</v>
      </c>
      <c r="R604" s="15">
        <f>Q604/I604</f>
        <v>0.17499999999999999</v>
      </c>
      <c r="S604" s="5">
        <f>($AC604*$AD604)/(($Z604/$Y604)+($AA604/$Z604)+($AB604/$AA604))</f>
        <v>72.897196261682254</v>
      </c>
      <c r="U604" s="109" t="s">
        <v>767</v>
      </c>
      <c r="V604" s="205" t="s">
        <v>646</v>
      </c>
      <c r="Y604" s="2">
        <v>2</v>
      </c>
      <c r="Z604" s="2">
        <v>5</v>
      </c>
      <c r="AA604" s="2">
        <v>13</v>
      </c>
      <c r="AB604" s="2">
        <v>30</v>
      </c>
      <c r="AC604" s="2">
        <v>30</v>
      </c>
      <c r="AD604" s="2">
        <v>18</v>
      </c>
      <c r="AE604" s="2">
        <f>AC604*AD604</f>
        <v>540</v>
      </c>
      <c r="AF604" s="2">
        <f>Z604/Y604</f>
        <v>2.5</v>
      </c>
      <c r="AG604" s="2">
        <f>AA604/Z604</f>
        <v>2.6</v>
      </c>
      <c r="AH604" s="2">
        <f>AB604/AA604</f>
        <v>2.3076923076923075</v>
      </c>
    </row>
    <row r="605" spans="1:34">
      <c r="A605" s="52" t="s">
        <v>229</v>
      </c>
      <c r="B605" s="52" t="s">
        <v>230</v>
      </c>
      <c r="C605" s="190">
        <v>46184</v>
      </c>
      <c r="D605" s="42">
        <v>0.45833333333333331</v>
      </c>
      <c r="E605" s="193"/>
      <c r="F605" s="194" t="s">
        <v>240</v>
      </c>
      <c r="G605" s="2">
        <v>1</v>
      </c>
      <c r="I605" s="126">
        <v>400</v>
      </c>
      <c r="J605" s="2" t="s">
        <v>766</v>
      </c>
      <c r="K605" s="88" t="s">
        <v>788</v>
      </c>
      <c r="L605" s="91">
        <v>40000</v>
      </c>
      <c r="M605" s="194" t="s">
        <v>22</v>
      </c>
      <c r="N605" s="39" t="s">
        <v>48</v>
      </c>
      <c r="O605" s="39" t="s">
        <v>49</v>
      </c>
      <c r="P605" s="134" t="s">
        <v>836</v>
      </c>
      <c r="Q605" s="19">
        <v>60</v>
      </c>
      <c r="R605" s="15">
        <f>IF(Q605&gt;0,Q605/I605,"")</f>
        <v>0.15</v>
      </c>
      <c r="S605" s="5">
        <f>($AC605*$AD605)/(($Z605/$Y605)+($AA605/$Z605)+($AB605/$AA605))</f>
        <v>76.947040498442377</v>
      </c>
      <c r="U605" s="109" t="s">
        <v>767</v>
      </c>
      <c r="V605" s="10" t="s">
        <v>719</v>
      </c>
      <c r="W605" s="10"/>
      <c r="Y605" s="2">
        <v>2</v>
      </c>
      <c r="Z605" s="2">
        <v>5</v>
      </c>
      <c r="AA605" s="2">
        <v>13</v>
      </c>
      <c r="AB605" s="2">
        <v>30</v>
      </c>
      <c r="AC605" s="2">
        <v>19</v>
      </c>
      <c r="AD605" s="2">
        <v>30</v>
      </c>
      <c r="AE605" s="2">
        <f>AC605*AD605</f>
        <v>570</v>
      </c>
      <c r="AF605" s="2">
        <f>Z605/Y605</f>
        <v>2.5</v>
      </c>
      <c r="AG605" s="2">
        <f>AA605/Z605</f>
        <v>2.6</v>
      </c>
      <c r="AH605" s="2">
        <f>AB605/AA605</f>
        <v>2.3076923076923075</v>
      </c>
    </row>
    <row r="606" spans="1:34">
      <c r="A606" s="95" t="s">
        <v>447</v>
      </c>
      <c r="B606" s="95" t="s">
        <v>448</v>
      </c>
      <c r="C606" s="190">
        <v>46184</v>
      </c>
      <c r="D606" s="42">
        <v>0.5</v>
      </c>
      <c r="E606" s="193"/>
      <c r="F606" s="194" t="s">
        <v>435</v>
      </c>
      <c r="G606" s="2">
        <v>1</v>
      </c>
      <c r="H606" s="2">
        <v>8</v>
      </c>
      <c r="I606" s="126">
        <v>1600</v>
      </c>
      <c r="J606" s="2" t="s">
        <v>766</v>
      </c>
      <c r="K606" s="109" t="s">
        <v>598</v>
      </c>
      <c r="L606" s="194">
        <v>40000</v>
      </c>
      <c r="M606" s="194">
        <v>30</v>
      </c>
      <c r="N606" s="39" t="s">
        <v>48</v>
      </c>
      <c r="O606" s="39" t="s">
        <v>49</v>
      </c>
      <c r="P606" s="135" t="s">
        <v>843</v>
      </c>
      <c r="Q606" s="19">
        <v>180</v>
      </c>
      <c r="R606" s="15">
        <f>Q606/I606</f>
        <v>0.1125</v>
      </c>
      <c r="S606" s="5">
        <f>($AC606*$AD606)/(($Z606/$Y606)+($AA606/$Z606)+($AB606/$AA606))</f>
        <v>76.947040498442377</v>
      </c>
      <c r="U606" s="109" t="s">
        <v>767</v>
      </c>
      <c r="V606" s="2" t="s">
        <v>741</v>
      </c>
      <c r="W606" s="10"/>
      <c r="Y606" s="2">
        <v>2</v>
      </c>
      <c r="Z606" s="2">
        <v>5</v>
      </c>
      <c r="AA606" s="2">
        <v>13</v>
      </c>
      <c r="AB606" s="2">
        <v>30</v>
      </c>
      <c r="AC606" s="2">
        <v>19</v>
      </c>
      <c r="AD606" s="2">
        <v>30</v>
      </c>
      <c r="AE606" s="2">
        <f>AC606*AD606</f>
        <v>570</v>
      </c>
      <c r="AF606" s="2">
        <f>Z606/Y606</f>
        <v>2.5</v>
      </c>
      <c r="AG606" s="2">
        <f>AA606/Z606</f>
        <v>2.6</v>
      </c>
      <c r="AH606" s="2">
        <f>AB606/AA606</f>
        <v>2.3076923076923075</v>
      </c>
    </row>
    <row r="607" spans="1:34">
      <c r="A607" s="103" t="s">
        <v>539</v>
      </c>
      <c r="B607" s="103" t="s">
        <v>540</v>
      </c>
      <c r="C607" s="191">
        <v>46184</v>
      </c>
      <c r="D607" s="42">
        <v>0.5</v>
      </c>
      <c r="E607" s="8">
        <v>22</v>
      </c>
      <c r="F607" s="197" t="s">
        <v>1335</v>
      </c>
      <c r="G607" s="2">
        <v>3</v>
      </c>
      <c r="H607" s="2">
        <v>9</v>
      </c>
      <c r="I607" s="126">
        <v>0</v>
      </c>
      <c r="J607" s="2" t="s">
        <v>767</v>
      </c>
      <c r="K607" s="109" t="s">
        <v>767</v>
      </c>
      <c r="L607" s="92"/>
      <c r="M607" s="69"/>
      <c r="N607" s="39" t="s">
        <v>819</v>
      </c>
      <c r="O607" s="39" t="s">
        <v>49</v>
      </c>
      <c r="P607" s="131"/>
      <c r="U607" s="109" t="s">
        <v>854</v>
      </c>
      <c r="V607" s="71"/>
      <c r="W607" s="10"/>
      <c r="AE607" s="2" t="e">
        <f>AD607*#REF!</f>
        <v>#REF!</v>
      </c>
      <c r="AF607" s="2" t="e">
        <f>Z607/Y607</f>
        <v>#DIV/0!</v>
      </c>
      <c r="AG607" s="2" t="e">
        <f>AA607/Z607</f>
        <v>#DIV/0!</v>
      </c>
      <c r="AH607" s="2" t="e">
        <f>AC607/AA607</f>
        <v>#DIV/0!</v>
      </c>
    </row>
    <row r="608" spans="1:34">
      <c r="A608" s="103" t="s">
        <v>539</v>
      </c>
      <c r="B608" s="103" t="s">
        <v>540</v>
      </c>
      <c r="C608" s="191">
        <v>46184</v>
      </c>
      <c r="D608" s="42">
        <v>0.5</v>
      </c>
      <c r="E608" s="8">
        <v>32</v>
      </c>
      <c r="F608" s="197" t="s">
        <v>557</v>
      </c>
      <c r="G608" s="2">
        <v>1</v>
      </c>
      <c r="H608" s="2">
        <v>6</v>
      </c>
      <c r="I608" s="126">
        <v>400</v>
      </c>
      <c r="J608" s="179" t="s">
        <v>766</v>
      </c>
      <c r="K608" s="179" t="s">
        <v>602</v>
      </c>
      <c r="L608" s="92">
        <v>30000</v>
      </c>
      <c r="M608" s="181" t="s">
        <v>22</v>
      </c>
      <c r="N608" s="39" t="s">
        <v>48</v>
      </c>
      <c r="O608" s="39" t="s">
        <v>860</v>
      </c>
      <c r="P608" s="63">
        <v>20000</v>
      </c>
      <c r="Q608" s="2">
        <v>65</v>
      </c>
      <c r="R608" s="15">
        <f>Q608/I608</f>
        <v>0.16250000000000001</v>
      </c>
      <c r="S608" s="142"/>
      <c r="U608" s="109" t="s">
        <v>767</v>
      </c>
      <c r="V608" s="71" t="s">
        <v>1395</v>
      </c>
      <c r="W608" s="10"/>
      <c r="AE608" s="2">
        <f>AC608*AD608</f>
        <v>0</v>
      </c>
      <c r="AF608" s="2" t="e">
        <f>Z608/Y608</f>
        <v>#DIV/0!</v>
      </c>
      <c r="AG608" s="2" t="e">
        <f>AA608/Z608</f>
        <v>#DIV/0!</v>
      </c>
      <c r="AH608" s="2" t="e">
        <f>AB608/AA608</f>
        <v>#DIV/0!</v>
      </c>
    </row>
    <row r="609" spans="1:34">
      <c r="A609" s="165" t="s">
        <v>1383</v>
      </c>
      <c r="B609" s="39" t="s">
        <v>63</v>
      </c>
      <c r="C609" s="190">
        <v>46184</v>
      </c>
      <c r="D609" s="144">
        <v>0.5</v>
      </c>
      <c r="E609" s="193"/>
      <c r="F609" s="194" t="s">
        <v>923</v>
      </c>
      <c r="G609" s="2">
        <v>1</v>
      </c>
      <c r="H609" s="2">
        <v>9</v>
      </c>
      <c r="I609" s="126">
        <v>70</v>
      </c>
      <c r="J609" s="2" t="s">
        <v>766</v>
      </c>
      <c r="K609" s="88" t="s">
        <v>771</v>
      </c>
      <c r="L609" s="91">
        <v>10000</v>
      </c>
      <c r="M609" s="194">
        <v>10</v>
      </c>
      <c r="N609" s="132" t="s">
        <v>821</v>
      </c>
      <c r="O609" s="39" t="s">
        <v>49</v>
      </c>
      <c r="P609" s="210"/>
      <c r="Q609" s="19">
        <v>20</v>
      </c>
      <c r="R609" s="15">
        <f>Q609/I609</f>
        <v>0.2857142857142857</v>
      </c>
      <c r="S609" s="5">
        <v>15</v>
      </c>
      <c r="U609" s="109" t="s">
        <v>767</v>
      </c>
      <c r="V609" s="21" t="s">
        <v>362</v>
      </c>
      <c r="W609" s="195" t="s">
        <v>363</v>
      </c>
      <c r="Y609" s="175"/>
      <c r="Z609" s="175"/>
      <c r="AA609" s="175"/>
      <c r="AB609" s="175"/>
      <c r="AC609" s="175"/>
      <c r="AD609" s="175"/>
      <c r="AE609" s="175"/>
      <c r="AF609" s="175"/>
      <c r="AG609" s="175"/>
      <c r="AH609" s="175"/>
    </row>
    <row r="610" spans="1:34">
      <c r="A610" s="52" t="s">
        <v>229</v>
      </c>
      <c r="B610" s="52" t="s">
        <v>230</v>
      </c>
      <c r="C610" s="190">
        <v>46184</v>
      </c>
      <c r="D610" s="42">
        <v>0.5</v>
      </c>
      <c r="F610" s="8" t="s">
        <v>256</v>
      </c>
      <c r="G610" s="2">
        <v>1</v>
      </c>
      <c r="I610" s="45">
        <v>600</v>
      </c>
      <c r="J610" s="2" t="s">
        <v>766</v>
      </c>
      <c r="K610" s="88" t="s">
        <v>788</v>
      </c>
      <c r="L610" s="91">
        <v>40000</v>
      </c>
      <c r="M610" s="195" t="s">
        <v>22</v>
      </c>
      <c r="N610" s="39" t="s">
        <v>48</v>
      </c>
      <c r="O610" s="39" t="s">
        <v>374</v>
      </c>
      <c r="P610" s="19">
        <v>30000</v>
      </c>
      <c r="Q610" s="2">
        <v>85</v>
      </c>
      <c r="R610" s="15">
        <f>IF(Q610&gt;0,Q610/I610,"")</f>
        <v>0.14166666666666666</v>
      </c>
      <c r="S610" s="149" t="s">
        <v>110</v>
      </c>
      <c r="T610" s="149"/>
      <c r="U610" s="109" t="s">
        <v>767</v>
      </c>
      <c r="V610" s="205" t="s">
        <v>719</v>
      </c>
      <c r="W610" s="10"/>
      <c r="AE610" s="2">
        <f>AC610*AD610</f>
        <v>0</v>
      </c>
      <c r="AF610" s="2" t="e">
        <f>Z610/Y610</f>
        <v>#DIV/0!</v>
      </c>
      <c r="AG610" s="2" t="e">
        <f>AA610/Z610</f>
        <v>#DIV/0!</v>
      </c>
      <c r="AH610" s="2" t="e">
        <f>AB610/AA610</f>
        <v>#DIV/0!</v>
      </c>
    </row>
    <row r="611" spans="1:34">
      <c r="A611" s="52" t="s">
        <v>220</v>
      </c>
      <c r="B611" s="52" t="s">
        <v>221</v>
      </c>
      <c r="C611" s="51">
        <v>46184</v>
      </c>
      <c r="D611" s="42">
        <v>0.5</v>
      </c>
      <c r="E611" s="193"/>
      <c r="F611" s="8" t="s">
        <v>1044</v>
      </c>
      <c r="G611" s="2">
        <v>3</v>
      </c>
      <c r="H611" s="2">
        <v>9</v>
      </c>
      <c r="I611" s="126">
        <v>3500</v>
      </c>
      <c r="J611" s="2" t="s">
        <v>766</v>
      </c>
      <c r="K611" s="88" t="s">
        <v>793</v>
      </c>
      <c r="L611" s="91">
        <v>40000</v>
      </c>
      <c r="M611" s="203" t="s">
        <v>97</v>
      </c>
      <c r="N611" s="39" t="s">
        <v>48</v>
      </c>
      <c r="O611" s="39" t="s">
        <v>49</v>
      </c>
      <c r="P611" s="135" t="s">
        <v>849</v>
      </c>
      <c r="Q611" s="19">
        <v>325</v>
      </c>
      <c r="R611" s="15">
        <f>Q611/I611</f>
        <v>9.285714285714286E-2</v>
      </c>
      <c r="S611" s="5">
        <f>($AC611*$AD611)/(($Z611/$Y611)+($AA611/$Z611)+($AB611/$AA611))</f>
        <v>88.052681091251188</v>
      </c>
      <c r="U611" s="109" t="s">
        <v>767</v>
      </c>
      <c r="V611" s="10" t="s">
        <v>738</v>
      </c>
      <c r="W611" s="10"/>
      <c r="Y611" s="2">
        <v>2</v>
      </c>
      <c r="Z611" s="2">
        <v>5</v>
      </c>
      <c r="AA611" s="2">
        <v>13</v>
      </c>
      <c r="AB611" s="2">
        <v>40</v>
      </c>
      <c r="AC611" s="2">
        <v>18</v>
      </c>
      <c r="AD611" s="2">
        <v>40</v>
      </c>
      <c r="AE611" s="2">
        <f>AC611*AD611</f>
        <v>720</v>
      </c>
      <c r="AF611" s="2">
        <f>Z611/Y611</f>
        <v>2.5</v>
      </c>
      <c r="AG611" s="2">
        <f>AA611/Z611</f>
        <v>2.6</v>
      </c>
      <c r="AH611" s="2">
        <f>AB611/AA611</f>
        <v>3.0769230769230771</v>
      </c>
    </row>
    <row r="612" spans="1:34">
      <c r="A612" s="165" t="s">
        <v>1383</v>
      </c>
      <c r="B612" s="36" t="s">
        <v>63</v>
      </c>
      <c r="C612" s="41">
        <v>46184</v>
      </c>
      <c r="D612" s="144">
        <v>0.54166666666666663</v>
      </c>
      <c r="E612" s="8">
        <v>37</v>
      </c>
      <c r="F612" s="8" t="s">
        <v>1122</v>
      </c>
      <c r="G612" s="2">
        <v>3</v>
      </c>
      <c r="H612" s="2">
        <v>9</v>
      </c>
      <c r="I612" s="45">
        <v>1500</v>
      </c>
      <c r="J612" s="2" t="s">
        <v>110</v>
      </c>
      <c r="K612" s="109" t="s">
        <v>598</v>
      </c>
      <c r="L612" s="92">
        <v>25000</v>
      </c>
      <c r="M612" s="69" t="s">
        <v>97</v>
      </c>
      <c r="N612" s="39" t="s">
        <v>48</v>
      </c>
      <c r="O612" s="39" t="s">
        <v>122</v>
      </c>
      <c r="P612" s="19"/>
      <c r="Q612" s="38">
        <f>R612*I612</f>
        <v>172.5</v>
      </c>
      <c r="R612" s="15">
        <v>0.115</v>
      </c>
      <c r="S612" s="149" t="s">
        <v>110</v>
      </c>
      <c r="T612" s="149"/>
      <c r="U612" s="109" t="s">
        <v>767</v>
      </c>
      <c r="V612" s="205" t="s">
        <v>121</v>
      </c>
      <c r="W612" s="10"/>
      <c r="AE612" s="2" t="e">
        <f>AD612*#REF!</f>
        <v>#REF!</v>
      </c>
      <c r="AF612" s="2" t="e">
        <f>Z612/Y612</f>
        <v>#DIV/0!</v>
      </c>
      <c r="AG612" s="2" t="e">
        <f>AA612/Z612</f>
        <v>#DIV/0!</v>
      </c>
      <c r="AH612" s="2" t="e">
        <f>AC612/AA612</f>
        <v>#DIV/0!</v>
      </c>
    </row>
    <row r="613" spans="1:34">
      <c r="A613" s="165" t="s">
        <v>1383</v>
      </c>
      <c r="B613" s="36" t="s">
        <v>63</v>
      </c>
      <c r="C613" s="41">
        <v>46184</v>
      </c>
      <c r="D613" s="144">
        <v>0.54166666666666663</v>
      </c>
      <c r="E613" s="8">
        <v>33</v>
      </c>
      <c r="F613" s="8" t="s">
        <v>1252</v>
      </c>
      <c r="G613" s="2">
        <v>4</v>
      </c>
      <c r="H613" s="2">
        <v>9</v>
      </c>
      <c r="I613" s="45">
        <v>10000</v>
      </c>
      <c r="J613" s="2" t="s">
        <v>762</v>
      </c>
      <c r="K613" s="109" t="s">
        <v>601</v>
      </c>
      <c r="L613" s="92">
        <v>60000</v>
      </c>
      <c r="M613" s="69">
        <v>60</v>
      </c>
      <c r="N613" s="39" t="s">
        <v>48</v>
      </c>
      <c r="O613" s="39" t="s">
        <v>359</v>
      </c>
      <c r="P613" s="213"/>
      <c r="Q613" s="38">
        <f>R613*I613</f>
        <v>700.00000000000011</v>
      </c>
      <c r="R613" s="15">
        <v>7.0000000000000007E-2</v>
      </c>
      <c r="S613" s="149" t="s">
        <v>110</v>
      </c>
      <c r="T613" s="149"/>
      <c r="U613" s="109" t="s">
        <v>767</v>
      </c>
      <c r="V613" s="205" t="s">
        <v>121</v>
      </c>
      <c r="W613" s="10"/>
      <c r="AE613" s="2" t="e">
        <f>AD613*#REF!</f>
        <v>#REF!</v>
      </c>
      <c r="AF613" s="2" t="e">
        <f>Z613/Y613</f>
        <v>#DIV/0!</v>
      </c>
      <c r="AG613" s="2" t="e">
        <f>AA613/Z613</f>
        <v>#DIV/0!</v>
      </c>
      <c r="AH613" s="2" t="e">
        <f>AC613/AA613</f>
        <v>#DIV/0!</v>
      </c>
    </row>
    <row r="614" spans="1:34">
      <c r="A614" s="165" t="s">
        <v>1383</v>
      </c>
      <c r="B614" s="72" t="s">
        <v>63</v>
      </c>
      <c r="C614" s="77">
        <v>46184</v>
      </c>
      <c r="D614" s="144">
        <v>0.54166666666666663</v>
      </c>
      <c r="E614" s="138"/>
      <c r="F614" s="8" t="s">
        <v>881</v>
      </c>
      <c r="G614" s="73">
        <v>1</v>
      </c>
      <c r="H614" s="73">
        <v>9</v>
      </c>
      <c r="I614" s="78">
        <v>250</v>
      </c>
      <c r="J614" s="2" t="s">
        <v>766</v>
      </c>
      <c r="K614" s="88" t="s">
        <v>787</v>
      </c>
      <c r="L614" s="154">
        <v>25000</v>
      </c>
      <c r="M614" s="79">
        <v>30</v>
      </c>
      <c r="N614" s="39" t="s">
        <v>817</v>
      </c>
      <c r="O614" s="39" t="s">
        <v>49</v>
      </c>
      <c r="P614" s="235"/>
      <c r="Q614" s="74">
        <v>50</v>
      </c>
      <c r="R614" s="75">
        <f>Q614/I614</f>
        <v>0.2</v>
      </c>
      <c r="S614" s="121">
        <v>44</v>
      </c>
      <c r="T614" s="121"/>
      <c r="U614" s="109" t="s">
        <v>767</v>
      </c>
      <c r="V614" s="80" t="s">
        <v>360</v>
      </c>
      <c r="W614" s="79"/>
      <c r="Y614" s="175"/>
      <c r="Z614" s="175"/>
      <c r="AA614" s="175"/>
      <c r="AB614" s="175"/>
      <c r="AC614" s="175"/>
      <c r="AD614" s="175"/>
      <c r="AE614" s="175"/>
      <c r="AF614" s="175"/>
      <c r="AG614" s="175"/>
      <c r="AH614" s="175"/>
    </row>
    <row r="615" spans="1:34">
      <c r="A615" s="52" t="s">
        <v>220</v>
      </c>
      <c r="B615" s="52" t="s">
        <v>221</v>
      </c>
      <c r="C615" s="191">
        <v>46184</v>
      </c>
      <c r="D615" s="42">
        <v>0.54166666666666663</v>
      </c>
      <c r="E615" s="193"/>
      <c r="F615" s="8" t="s">
        <v>1300</v>
      </c>
      <c r="G615" s="2">
        <v>3</v>
      </c>
      <c r="H615" s="2">
        <v>9</v>
      </c>
      <c r="I615" s="126">
        <v>1600</v>
      </c>
      <c r="J615" s="2" t="s">
        <v>766</v>
      </c>
      <c r="K615" s="109" t="s">
        <v>767</v>
      </c>
      <c r="L615" s="91">
        <v>40000</v>
      </c>
      <c r="M615" s="203" t="s">
        <v>113</v>
      </c>
      <c r="N615" s="39" t="s">
        <v>48</v>
      </c>
      <c r="O615" s="39" t="s">
        <v>49</v>
      </c>
      <c r="P615" s="135" t="s">
        <v>846</v>
      </c>
      <c r="Q615" s="19">
        <v>170</v>
      </c>
      <c r="R615" s="15">
        <f>Q615/I615</f>
        <v>0.10625</v>
      </c>
      <c r="S615" s="5">
        <f>($AC615*$AD615)/(($Z615/$Y615)+($AA615/$Z615)+($AB615/$AA615))</f>
        <v>66.122448979591837</v>
      </c>
      <c r="U615" s="109" t="s">
        <v>767</v>
      </c>
      <c r="V615" s="10" t="s">
        <v>738</v>
      </c>
      <c r="W615" s="10"/>
      <c r="X615" s="70"/>
      <c r="Y615" s="2">
        <v>2</v>
      </c>
      <c r="Z615" s="2">
        <v>5</v>
      </c>
      <c r="AA615" s="2">
        <v>15</v>
      </c>
      <c r="AB615" s="2">
        <v>40</v>
      </c>
      <c r="AC615" s="2">
        <v>18</v>
      </c>
      <c r="AD615" s="2">
        <v>30</v>
      </c>
      <c r="AE615" s="2">
        <f>AC615*AD615</f>
        <v>540</v>
      </c>
      <c r="AF615" s="2">
        <f>Z615/Y615</f>
        <v>2.5</v>
      </c>
      <c r="AG615" s="2">
        <f>AA615/Z615</f>
        <v>3</v>
      </c>
      <c r="AH615" s="2">
        <f>AB615/AA615</f>
        <v>2.6666666666666665</v>
      </c>
    </row>
    <row r="616" spans="1:34">
      <c r="A616" s="52" t="s">
        <v>220</v>
      </c>
      <c r="B616" s="52" t="s">
        <v>221</v>
      </c>
      <c r="C616" s="51">
        <v>46184</v>
      </c>
      <c r="D616" s="42">
        <v>0.58333333333333337</v>
      </c>
      <c r="E616" s="193"/>
      <c r="F616" s="8" t="s">
        <v>1087</v>
      </c>
      <c r="G616" s="2">
        <v>1</v>
      </c>
      <c r="H616" s="2">
        <v>9</v>
      </c>
      <c r="I616" s="126">
        <v>500</v>
      </c>
      <c r="J616" s="2" t="s">
        <v>766</v>
      </c>
      <c r="K616" s="88" t="s">
        <v>783</v>
      </c>
      <c r="L616" s="91">
        <v>20000</v>
      </c>
      <c r="M616" s="194">
        <v>20</v>
      </c>
      <c r="N616" s="39" t="s">
        <v>61</v>
      </c>
      <c r="O616" s="39" t="s">
        <v>49</v>
      </c>
      <c r="P616" s="131" t="s">
        <v>225</v>
      </c>
      <c r="Q616" s="19">
        <v>77</v>
      </c>
      <c r="R616" s="15">
        <f>Q616/I616</f>
        <v>0.154</v>
      </c>
      <c r="S616" s="5">
        <f>($AC616*$AD616)/(($Z616/$Y616)+($AA616/$Z616)+($AB616/$AA616))</f>
        <v>31.111111111111111</v>
      </c>
      <c r="U616" s="109" t="s">
        <v>767</v>
      </c>
      <c r="V616" s="10" t="s">
        <v>738</v>
      </c>
      <c r="W616" s="10"/>
      <c r="Y616" s="2">
        <v>2</v>
      </c>
      <c r="Z616" s="2">
        <v>5</v>
      </c>
      <c r="AA616" s="2">
        <v>20</v>
      </c>
      <c r="AB616" s="2">
        <v>50</v>
      </c>
      <c r="AC616" s="2">
        <v>14</v>
      </c>
      <c r="AD616" s="2">
        <v>20</v>
      </c>
      <c r="AE616" s="2">
        <f>AC616*AD616</f>
        <v>280</v>
      </c>
      <c r="AF616" s="2">
        <f>Z616/Y616</f>
        <v>2.5</v>
      </c>
      <c r="AG616" s="2">
        <f>AA616/Z616</f>
        <v>4</v>
      </c>
      <c r="AH616" s="2">
        <f>AB616/AA616</f>
        <v>2.5</v>
      </c>
    </row>
    <row r="617" spans="1:34">
      <c r="A617" s="96" t="s">
        <v>461</v>
      </c>
      <c r="B617" s="96" t="s">
        <v>462</v>
      </c>
      <c r="C617" s="41">
        <v>46184</v>
      </c>
      <c r="D617" s="42">
        <v>0.59027777777777779</v>
      </c>
      <c r="E617" s="193"/>
      <c r="F617" s="8" t="s">
        <v>1334</v>
      </c>
      <c r="G617" s="2">
        <v>2</v>
      </c>
      <c r="I617" s="126">
        <v>300</v>
      </c>
      <c r="J617" s="2" t="s">
        <v>766</v>
      </c>
      <c r="K617" s="109" t="s">
        <v>598</v>
      </c>
      <c r="L617" s="194">
        <v>30000</v>
      </c>
      <c r="M617" s="69">
        <v>30</v>
      </c>
      <c r="N617" s="39" t="s">
        <v>48</v>
      </c>
      <c r="O617" s="39" t="s">
        <v>49</v>
      </c>
      <c r="P617" s="135" t="s">
        <v>842</v>
      </c>
      <c r="Q617" s="19">
        <v>65</v>
      </c>
      <c r="R617" s="15">
        <f>Q617/I617</f>
        <v>0.21666666666666667</v>
      </c>
      <c r="S617" s="5">
        <f>($AC617*$AD617)/(($Z617/$Y617)+($AA617/$Z617)+($AB617/$AA617))</f>
        <v>53.333333333333336</v>
      </c>
      <c r="U617" s="109" t="s">
        <v>767</v>
      </c>
      <c r="V617" s="10" t="s">
        <v>735</v>
      </c>
      <c r="W617" s="10"/>
      <c r="Y617" s="2">
        <v>2</v>
      </c>
      <c r="Z617" s="2">
        <v>5</v>
      </c>
      <c r="AA617" s="2">
        <v>20</v>
      </c>
      <c r="AB617" s="2">
        <v>50</v>
      </c>
      <c r="AC617" s="2">
        <v>16</v>
      </c>
      <c r="AD617" s="2">
        <v>30</v>
      </c>
      <c r="AE617" s="2">
        <f>AC617*AD617</f>
        <v>480</v>
      </c>
      <c r="AF617" s="2">
        <f>Z617/Y617</f>
        <v>2.5</v>
      </c>
      <c r="AG617" s="2">
        <f>AA617/Z617</f>
        <v>4</v>
      </c>
      <c r="AH617" s="2">
        <f>AB617/AA617</f>
        <v>2.5</v>
      </c>
    </row>
    <row r="618" spans="1:34">
      <c r="A618" s="165" t="s">
        <v>1383</v>
      </c>
      <c r="B618" s="39" t="s">
        <v>63</v>
      </c>
      <c r="C618" s="41">
        <v>46184</v>
      </c>
      <c r="D618" s="144">
        <v>0.625</v>
      </c>
      <c r="E618" s="193"/>
      <c r="F618" s="8" t="s">
        <v>912</v>
      </c>
      <c r="G618" s="2">
        <v>1</v>
      </c>
      <c r="H618" s="2">
        <v>9</v>
      </c>
      <c r="I618" s="45">
        <v>240</v>
      </c>
      <c r="J618" s="2" t="s">
        <v>766</v>
      </c>
      <c r="K618" s="88" t="s">
        <v>784</v>
      </c>
      <c r="L618" s="92">
        <v>10000</v>
      </c>
      <c r="M618" s="69">
        <v>20</v>
      </c>
      <c r="N618" s="132" t="s">
        <v>821</v>
      </c>
      <c r="O618" s="39" t="s">
        <v>49</v>
      </c>
      <c r="P618" s="210"/>
      <c r="Q618" s="19">
        <v>40</v>
      </c>
      <c r="R618" s="15">
        <v>0.16666666666666666</v>
      </c>
      <c r="S618" s="5">
        <v>29</v>
      </c>
      <c r="U618" s="109" t="s">
        <v>767</v>
      </c>
      <c r="V618" s="71" t="s">
        <v>362</v>
      </c>
      <c r="W618" s="194" t="s">
        <v>367</v>
      </c>
      <c r="Y618" s="175"/>
      <c r="Z618" s="175"/>
      <c r="AA618" s="175"/>
      <c r="AB618" s="175"/>
      <c r="AC618" s="175"/>
      <c r="AD618" s="175"/>
      <c r="AE618" s="175"/>
      <c r="AF618" s="175"/>
      <c r="AG618" s="175"/>
      <c r="AH618" s="175"/>
    </row>
    <row r="619" spans="1:34">
      <c r="A619" s="186" t="s">
        <v>1397</v>
      </c>
      <c r="B619" s="186" t="s">
        <v>1398</v>
      </c>
      <c r="C619" s="41">
        <v>46184</v>
      </c>
      <c r="D619" s="42">
        <v>0.625</v>
      </c>
      <c r="F619" s="230" t="s">
        <v>1399</v>
      </c>
      <c r="G619" s="2">
        <v>1</v>
      </c>
      <c r="H619" s="2">
        <v>8</v>
      </c>
      <c r="I619" s="45">
        <v>15000</v>
      </c>
      <c r="J619" s="2" t="s">
        <v>766</v>
      </c>
      <c r="K619" s="56">
        <v>0.8125</v>
      </c>
      <c r="L619" s="92">
        <v>125000</v>
      </c>
      <c r="M619" s="69">
        <v>30</v>
      </c>
      <c r="N619" s="39" t="s">
        <v>48</v>
      </c>
      <c r="O619" s="187" t="s">
        <v>49</v>
      </c>
      <c r="Q619" s="19">
        <v>100</v>
      </c>
      <c r="R619" s="15">
        <f>Q619/I619</f>
        <v>6.6666666666666671E-3</v>
      </c>
      <c r="S619" s="5">
        <f>($AC619*$AD619)/(($Z619/$Y619)+($AA619/$Z619)+($AB619/$AA619))</f>
        <v>77.142857142857139</v>
      </c>
      <c r="V619" s="10" t="s">
        <v>1409</v>
      </c>
      <c r="W619" s="199" t="s">
        <v>1410</v>
      </c>
      <c r="Y619" s="2">
        <v>10</v>
      </c>
      <c r="Z619" s="2">
        <v>20</v>
      </c>
      <c r="AA619" s="2">
        <v>50</v>
      </c>
      <c r="AB619" s="2">
        <v>125</v>
      </c>
      <c r="AC619" s="2">
        <v>18</v>
      </c>
      <c r="AD619" s="2">
        <v>30</v>
      </c>
      <c r="AE619" s="2">
        <f>AC619*AD619</f>
        <v>540</v>
      </c>
      <c r="AF619" s="2">
        <f>Z619/Y619</f>
        <v>2</v>
      </c>
      <c r="AG619" s="2">
        <f>AA619/Z619</f>
        <v>2.5</v>
      </c>
      <c r="AH619" s="2">
        <f>AB619/AA619</f>
        <v>2.5</v>
      </c>
    </row>
    <row r="620" spans="1:34">
      <c r="A620" s="165" t="s">
        <v>1383</v>
      </c>
      <c r="B620" s="72" t="s">
        <v>63</v>
      </c>
      <c r="C620" s="77">
        <v>46184</v>
      </c>
      <c r="D620" s="144">
        <v>0.66666666666666663</v>
      </c>
      <c r="E620" s="138"/>
      <c r="F620" s="8" t="s">
        <v>1024</v>
      </c>
      <c r="G620" s="73">
        <v>1</v>
      </c>
      <c r="H620" s="73">
        <v>9</v>
      </c>
      <c r="I620" s="78">
        <v>400</v>
      </c>
      <c r="J620" s="2" t="s">
        <v>766</v>
      </c>
      <c r="K620" s="88" t="s">
        <v>794</v>
      </c>
      <c r="L620" s="154">
        <v>30000</v>
      </c>
      <c r="M620" s="79">
        <v>20</v>
      </c>
      <c r="N620" s="39" t="s">
        <v>817</v>
      </c>
      <c r="O620" s="39" t="s">
        <v>49</v>
      </c>
      <c r="P620" s="235"/>
      <c r="Q620" s="74">
        <v>70</v>
      </c>
      <c r="R620" s="75">
        <f>Q620/I620</f>
        <v>0.17499999999999999</v>
      </c>
      <c r="S620" s="121">
        <v>37</v>
      </c>
      <c r="T620" s="121"/>
      <c r="U620" s="109" t="s">
        <v>129</v>
      </c>
      <c r="V620" s="76" t="s">
        <v>360</v>
      </c>
      <c r="W620" s="79"/>
      <c r="Y620" s="175"/>
      <c r="Z620" s="175"/>
      <c r="AA620" s="175"/>
      <c r="AB620" s="175"/>
      <c r="AC620" s="175"/>
      <c r="AD620" s="175"/>
      <c r="AE620" s="175"/>
      <c r="AF620" s="175"/>
      <c r="AG620" s="175"/>
      <c r="AH620" s="175"/>
    </row>
    <row r="621" spans="1:34">
      <c r="A621" s="52" t="s">
        <v>229</v>
      </c>
      <c r="B621" s="52" t="s">
        <v>230</v>
      </c>
      <c r="C621" s="190">
        <v>46184</v>
      </c>
      <c r="D621" s="42">
        <v>0.66666666666666663</v>
      </c>
      <c r="E621" s="193"/>
      <c r="F621" s="8" t="s">
        <v>57</v>
      </c>
      <c r="G621" s="2">
        <v>1</v>
      </c>
      <c r="I621" s="126">
        <v>240</v>
      </c>
      <c r="J621" s="2" t="s">
        <v>766</v>
      </c>
      <c r="K621" s="88" t="s">
        <v>795</v>
      </c>
      <c r="L621" s="90">
        <v>30000</v>
      </c>
      <c r="M621" s="194">
        <v>20</v>
      </c>
      <c r="N621" s="39" t="s">
        <v>48</v>
      </c>
      <c r="O621" s="39" t="s">
        <v>57</v>
      </c>
      <c r="P621" s="19">
        <v>10000</v>
      </c>
      <c r="Q621" s="2">
        <v>40</v>
      </c>
      <c r="R621" s="15">
        <f>IF(Q621&gt;0,Q621/I621,"")</f>
        <v>0.16666666666666666</v>
      </c>
      <c r="S621" s="149" t="s">
        <v>110</v>
      </c>
      <c r="T621" s="149"/>
      <c r="U621" s="109" t="s">
        <v>767</v>
      </c>
      <c r="V621" s="205" t="s">
        <v>719</v>
      </c>
      <c r="W621" s="10"/>
      <c r="Y621" s="70"/>
      <c r="Z621" s="70"/>
      <c r="AA621" s="70"/>
      <c r="AB621" s="70"/>
      <c r="AC621" s="70"/>
      <c r="AD621" s="70"/>
      <c r="AE621" s="2">
        <f>AC621*AD621</f>
        <v>0</v>
      </c>
      <c r="AF621" s="2" t="e">
        <f>Z621/Y621</f>
        <v>#DIV/0!</v>
      </c>
      <c r="AG621" s="2" t="e">
        <f>AA621/Z621</f>
        <v>#DIV/0!</v>
      </c>
      <c r="AH621" s="2" t="e">
        <f>AB621/AA621</f>
        <v>#DIV/0!</v>
      </c>
    </row>
    <row r="622" spans="1:34">
      <c r="A622" s="102" t="s">
        <v>475</v>
      </c>
      <c r="B622" s="102" t="s">
        <v>476</v>
      </c>
      <c r="C622" s="47">
        <v>46184</v>
      </c>
      <c r="D622" s="42">
        <v>0.75</v>
      </c>
      <c r="E622" s="8">
        <v>11</v>
      </c>
      <c r="F622" s="114" t="s">
        <v>497</v>
      </c>
      <c r="G622" s="2">
        <v>1</v>
      </c>
      <c r="H622" s="2">
        <v>8</v>
      </c>
      <c r="I622" s="126">
        <v>250</v>
      </c>
      <c r="J622" s="2" t="s">
        <v>766</v>
      </c>
      <c r="K622" s="109" t="s">
        <v>602</v>
      </c>
      <c r="L622" s="105">
        <v>25000</v>
      </c>
      <c r="M622" s="203">
        <v>30</v>
      </c>
      <c r="N622" s="39" t="s">
        <v>48</v>
      </c>
      <c r="O622" s="39" t="s">
        <v>373</v>
      </c>
      <c r="P622" s="63">
        <v>10000</v>
      </c>
      <c r="Q622" s="2">
        <v>45</v>
      </c>
      <c r="R622" s="15">
        <f>Q622/I622</f>
        <v>0.18</v>
      </c>
      <c r="S622" s="149" t="s">
        <v>110</v>
      </c>
      <c r="T622" s="149"/>
      <c r="U622" s="109" t="s">
        <v>767</v>
      </c>
      <c r="V622" s="2" t="s">
        <v>645</v>
      </c>
      <c r="W622" s="10"/>
      <c r="AE622" s="2">
        <f>AC622*AD622</f>
        <v>0</v>
      </c>
      <c r="AF622" s="2" t="e">
        <f>Z622/Y622</f>
        <v>#DIV/0!</v>
      </c>
      <c r="AG622" s="2" t="e">
        <f>AA622/Z622</f>
        <v>#DIV/0!</v>
      </c>
      <c r="AH622" s="2" t="e">
        <f>AB622/AA622</f>
        <v>#DIV/0!</v>
      </c>
    </row>
    <row r="623" spans="1:34">
      <c r="A623" s="52" t="s">
        <v>229</v>
      </c>
      <c r="B623" s="52" t="s">
        <v>230</v>
      </c>
      <c r="C623" s="190">
        <v>46184</v>
      </c>
      <c r="D623" s="42">
        <v>0.75</v>
      </c>
      <c r="E623" s="193"/>
      <c r="F623" s="8" t="s">
        <v>244</v>
      </c>
      <c r="G623" s="2">
        <v>1</v>
      </c>
      <c r="I623" s="126">
        <v>200</v>
      </c>
      <c r="J623" s="2" t="s">
        <v>766</v>
      </c>
      <c r="K623" s="88" t="s">
        <v>804</v>
      </c>
      <c r="L623" s="90">
        <v>30000</v>
      </c>
      <c r="M623" s="194">
        <v>20</v>
      </c>
      <c r="N623" s="39" t="s">
        <v>48</v>
      </c>
      <c r="O623" s="39" t="s">
        <v>49</v>
      </c>
      <c r="P623" s="135" t="s">
        <v>832</v>
      </c>
      <c r="Q623" s="19">
        <v>40</v>
      </c>
      <c r="R623" s="15">
        <f>IF(Q623&gt;0,Q623/I623,"")</f>
        <v>0.2</v>
      </c>
      <c r="S623" s="5">
        <f>($AC623*$AD623)/(($Z623/$Y623)+($AA623/$Z623)+($AB623/$AA623))</f>
        <v>35.555555555555557</v>
      </c>
      <c r="U623" s="109" t="s">
        <v>767</v>
      </c>
      <c r="V623" s="205" t="s">
        <v>719</v>
      </c>
      <c r="W623" s="10"/>
      <c r="X623" s="70"/>
      <c r="Y623" s="2">
        <v>2</v>
      </c>
      <c r="Z623" s="2">
        <v>5</v>
      </c>
      <c r="AA623" s="2">
        <v>20</v>
      </c>
      <c r="AB623" s="2">
        <v>50</v>
      </c>
      <c r="AC623" s="2">
        <v>20</v>
      </c>
      <c r="AD623" s="2">
        <v>16</v>
      </c>
      <c r="AE623" s="2">
        <f>AC623*AD623</f>
        <v>320</v>
      </c>
      <c r="AF623" s="2">
        <f>Z623/Y623</f>
        <v>2.5</v>
      </c>
      <c r="AG623" s="2">
        <f>AA623/Z623</f>
        <v>4</v>
      </c>
      <c r="AH623" s="2">
        <f>AB623/AA623</f>
        <v>2.5</v>
      </c>
    </row>
    <row r="624" spans="1:34">
      <c r="A624" s="52" t="s">
        <v>220</v>
      </c>
      <c r="B624" s="52" t="s">
        <v>221</v>
      </c>
      <c r="C624" s="191">
        <v>46184</v>
      </c>
      <c r="D624" s="42">
        <v>0.75</v>
      </c>
      <c r="E624" s="193"/>
      <c r="F624" s="8" t="s">
        <v>1073</v>
      </c>
      <c r="G624" s="2">
        <v>1</v>
      </c>
      <c r="H624" s="2">
        <v>9</v>
      </c>
      <c r="I624" s="126">
        <v>1100</v>
      </c>
      <c r="J624" s="2" t="s">
        <v>766</v>
      </c>
      <c r="K624" s="88" t="s">
        <v>799</v>
      </c>
      <c r="L624" s="90">
        <v>30000</v>
      </c>
      <c r="M624" s="203">
        <v>20</v>
      </c>
      <c r="N624" s="39" t="s">
        <v>48</v>
      </c>
      <c r="O624" s="39" t="s">
        <v>49</v>
      </c>
      <c r="P624" s="212" t="s">
        <v>838</v>
      </c>
      <c r="Q624" s="19">
        <v>125</v>
      </c>
      <c r="R624" s="15">
        <f>Q624/I624</f>
        <v>0.11363636363636363</v>
      </c>
      <c r="S624" s="5">
        <f>($AC624*$AD624)/(($Z624/$Y624)+($AA624/$Z624)+($AB624/$AA624))</f>
        <v>62.448979591836739</v>
      </c>
      <c r="U624" s="109" t="s">
        <v>129</v>
      </c>
      <c r="V624" s="205" t="s">
        <v>738</v>
      </c>
      <c r="W624" s="10"/>
      <c r="Y624" s="2">
        <v>2</v>
      </c>
      <c r="Z624" s="2">
        <v>5</v>
      </c>
      <c r="AA624" s="2">
        <v>15</v>
      </c>
      <c r="AB624" s="2">
        <v>40</v>
      </c>
      <c r="AC624" s="2">
        <v>17</v>
      </c>
      <c r="AD624" s="2">
        <v>30</v>
      </c>
      <c r="AE624" s="2">
        <f>AC624*AD624</f>
        <v>510</v>
      </c>
      <c r="AF624" s="2">
        <f>Z624/Y624</f>
        <v>2.5</v>
      </c>
      <c r="AG624" s="2">
        <f>AA624/Z624</f>
        <v>3</v>
      </c>
      <c r="AH624" s="2">
        <f>AB624/AA624</f>
        <v>2.6666666666666665</v>
      </c>
    </row>
    <row r="625" spans="1:34">
      <c r="A625" s="96" t="s">
        <v>461</v>
      </c>
      <c r="B625" s="96" t="s">
        <v>462</v>
      </c>
      <c r="C625" s="41">
        <v>46184</v>
      </c>
      <c r="D625" s="42">
        <v>0.75694444444444442</v>
      </c>
      <c r="F625" s="8" t="s">
        <v>458</v>
      </c>
      <c r="G625" s="2">
        <v>1</v>
      </c>
      <c r="I625" s="126">
        <v>200</v>
      </c>
      <c r="J625" s="2" t="s">
        <v>766</v>
      </c>
      <c r="K625" s="109" t="s">
        <v>602</v>
      </c>
      <c r="L625" s="8">
        <v>30000</v>
      </c>
      <c r="M625" s="69">
        <v>20</v>
      </c>
      <c r="N625" s="39" t="s">
        <v>48</v>
      </c>
      <c r="O625" s="39" t="s">
        <v>49</v>
      </c>
      <c r="P625" s="212" t="s">
        <v>833</v>
      </c>
      <c r="Q625" s="19">
        <v>40</v>
      </c>
      <c r="R625" s="15">
        <f>Q625/I625</f>
        <v>0.2</v>
      </c>
      <c r="S625" s="5">
        <f>($AC625*$AD625)/(($Z625/$Y625)+($AA625/$Z625)+($AB625/$AA625))</f>
        <v>41.632653061224495</v>
      </c>
      <c r="U625" s="109" t="s">
        <v>767</v>
      </c>
      <c r="V625" s="205" t="s">
        <v>735</v>
      </c>
      <c r="W625" s="10"/>
      <c r="Y625" s="2">
        <v>2</v>
      </c>
      <c r="Z625" s="2">
        <v>5</v>
      </c>
      <c r="AA625" s="2">
        <v>15</v>
      </c>
      <c r="AB625" s="2">
        <v>40</v>
      </c>
      <c r="AC625" s="2">
        <v>17</v>
      </c>
      <c r="AD625" s="2">
        <v>20</v>
      </c>
      <c r="AE625" s="2">
        <f>AC625*AD625</f>
        <v>340</v>
      </c>
      <c r="AF625" s="2">
        <f>Z625/Y625</f>
        <v>2.5</v>
      </c>
      <c r="AG625" s="2">
        <f>AA625/Z625</f>
        <v>3</v>
      </c>
      <c r="AH625" s="2">
        <f>AB625/AA625</f>
        <v>2.6666666666666665</v>
      </c>
    </row>
    <row r="626" spans="1:34">
      <c r="A626" s="68" t="s">
        <v>357</v>
      </c>
      <c r="B626" s="68" t="s">
        <v>358</v>
      </c>
      <c r="C626" s="191">
        <v>46184</v>
      </c>
      <c r="D626" s="42">
        <v>0.75694444444444442</v>
      </c>
      <c r="E626" s="8">
        <v>45</v>
      </c>
      <c r="F626" s="197" t="s">
        <v>290</v>
      </c>
      <c r="G626" s="2">
        <v>1</v>
      </c>
      <c r="H626" s="2">
        <v>9</v>
      </c>
      <c r="I626" s="126">
        <v>600</v>
      </c>
      <c r="J626" s="2" t="s">
        <v>766</v>
      </c>
      <c r="K626" s="137" t="s">
        <v>602</v>
      </c>
      <c r="L626" s="89">
        <v>25000</v>
      </c>
      <c r="M626" s="69">
        <v>30</v>
      </c>
      <c r="N626" s="39" t="s">
        <v>48</v>
      </c>
      <c r="O626" s="39" t="s">
        <v>49</v>
      </c>
      <c r="P626" s="212" t="s">
        <v>836</v>
      </c>
      <c r="Q626" s="19">
        <v>80</v>
      </c>
      <c r="R626" s="15">
        <f>Q626/I626</f>
        <v>0.13333333333333333</v>
      </c>
      <c r="S626" s="5">
        <f>($AC626*$AD626)/(($Z626/$Y626)+($AA626/$Z626)+($AB626/$AA626))</f>
        <v>55.03292568203198</v>
      </c>
      <c r="U626" s="109" t="s">
        <v>219</v>
      </c>
      <c r="V626" s="205" t="s">
        <v>662</v>
      </c>
      <c r="W626" s="86" t="s">
        <v>389</v>
      </c>
      <c r="Y626" s="2">
        <v>2.5</v>
      </c>
      <c r="Z626" s="2">
        <v>6.5</v>
      </c>
      <c r="AA626" s="2">
        <v>20</v>
      </c>
      <c r="AB626" s="2">
        <v>50</v>
      </c>
      <c r="AC626" s="2">
        <v>30</v>
      </c>
      <c r="AD626" s="2">
        <v>15</v>
      </c>
      <c r="AE626" s="2">
        <f>AC626*AD626</f>
        <v>450</v>
      </c>
      <c r="AF626" s="2">
        <f>Z626/Y626</f>
        <v>2.6</v>
      </c>
      <c r="AG626" s="2">
        <f>AA626/Z626</f>
        <v>3.0769230769230771</v>
      </c>
      <c r="AH626" s="2">
        <f>AB626/AA626</f>
        <v>2.5</v>
      </c>
    </row>
    <row r="627" spans="1:34">
      <c r="A627" s="95" t="s">
        <v>447</v>
      </c>
      <c r="B627" s="95" t="s">
        <v>448</v>
      </c>
      <c r="C627" s="190">
        <v>46184</v>
      </c>
      <c r="D627" s="42">
        <v>0.79166666666666663</v>
      </c>
      <c r="E627" s="193"/>
      <c r="F627" s="194" t="s">
        <v>403</v>
      </c>
      <c r="G627" s="2">
        <v>1</v>
      </c>
      <c r="H627" s="2">
        <v>9</v>
      </c>
      <c r="I627" s="126">
        <v>300</v>
      </c>
      <c r="J627" s="2" t="s">
        <v>766</v>
      </c>
      <c r="K627" s="109" t="s">
        <v>602</v>
      </c>
      <c r="L627" s="8">
        <v>25000</v>
      </c>
      <c r="M627" s="194">
        <v>25</v>
      </c>
      <c r="N627" s="39" t="s">
        <v>48</v>
      </c>
      <c r="O627" s="39" t="s">
        <v>49</v>
      </c>
      <c r="P627" s="212" t="s">
        <v>834</v>
      </c>
      <c r="Q627" s="19">
        <v>50</v>
      </c>
      <c r="R627" s="15">
        <f>Q627/I627</f>
        <v>0.16666666666666666</v>
      </c>
      <c r="S627" s="5">
        <f>($AC627*$AD627)/(($Z627/$Y627)+($AA627/$Z627)+($AB627/$AA627))</f>
        <v>37.5</v>
      </c>
      <c r="U627" s="109" t="s">
        <v>767</v>
      </c>
      <c r="V627" s="205" t="s">
        <v>741</v>
      </c>
      <c r="W627" s="10"/>
      <c r="Y627" s="2">
        <v>2.5</v>
      </c>
      <c r="Z627" s="2">
        <v>7.5</v>
      </c>
      <c r="AA627" s="2">
        <v>25</v>
      </c>
      <c r="AB627" s="2">
        <v>75</v>
      </c>
      <c r="AC627" s="2">
        <v>14</v>
      </c>
      <c r="AD627" s="2">
        <v>25</v>
      </c>
      <c r="AE627" s="2">
        <f>AC627*AD627</f>
        <v>350</v>
      </c>
      <c r="AF627" s="2">
        <f>Z627/Y627</f>
        <v>3</v>
      </c>
      <c r="AG627" s="2">
        <f>AA627/Z627</f>
        <v>3.3333333333333335</v>
      </c>
      <c r="AH627" s="2">
        <f>AB627/AA627</f>
        <v>3</v>
      </c>
    </row>
    <row r="628" spans="1:34">
      <c r="A628" s="103" t="s">
        <v>539</v>
      </c>
      <c r="B628" s="103" t="s">
        <v>540</v>
      </c>
      <c r="C628" s="191">
        <v>46184</v>
      </c>
      <c r="D628" s="42">
        <v>0.79166666666666663</v>
      </c>
      <c r="E628" s="8">
        <v>33</v>
      </c>
      <c r="F628" s="197" t="s">
        <v>558</v>
      </c>
      <c r="G628" s="2">
        <v>1</v>
      </c>
      <c r="H628" s="2">
        <v>9</v>
      </c>
      <c r="I628" s="151">
        <v>150</v>
      </c>
      <c r="J628" s="179" t="s">
        <v>766</v>
      </c>
      <c r="K628" s="179" t="s">
        <v>602</v>
      </c>
      <c r="L628" s="112">
        <v>20000</v>
      </c>
      <c r="M628" s="69">
        <v>20</v>
      </c>
      <c r="N628" s="39" t="s">
        <v>48</v>
      </c>
      <c r="O628" s="39" t="s">
        <v>49</v>
      </c>
      <c r="P628" s="135" t="s">
        <v>828</v>
      </c>
      <c r="Q628" s="19">
        <v>42</v>
      </c>
      <c r="R628" s="59">
        <f>Q628/I628</f>
        <v>0.28000000000000003</v>
      </c>
      <c r="S628" s="5">
        <f>($AC628*$AD628)/(($Z628/$Y628)+($AA628/$Z628)+($AB628/$AA628))</f>
        <v>24.186046511627907</v>
      </c>
      <c r="U628" s="109" t="s">
        <v>219</v>
      </c>
      <c r="V628" s="71" t="s">
        <v>1395</v>
      </c>
      <c r="W628" s="252" t="s">
        <v>464</v>
      </c>
      <c r="Y628" s="2">
        <v>4</v>
      </c>
      <c r="Z628" s="2">
        <v>8</v>
      </c>
      <c r="AA628" s="2">
        <v>30</v>
      </c>
      <c r="AB628" s="2">
        <v>150</v>
      </c>
      <c r="AC628" s="2">
        <v>13</v>
      </c>
      <c r="AD628" s="2">
        <v>20</v>
      </c>
      <c r="AE628" s="2">
        <f>AC628*AD628</f>
        <v>260</v>
      </c>
      <c r="AF628" s="2">
        <f>Z628/Y628</f>
        <v>2</v>
      </c>
      <c r="AG628" s="2">
        <f>AA628/Z628</f>
        <v>3.75</v>
      </c>
      <c r="AH628" s="2">
        <f>AB628/AA628</f>
        <v>5</v>
      </c>
    </row>
    <row r="629" spans="1:34">
      <c r="A629" s="165" t="s">
        <v>1383</v>
      </c>
      <c r="B629" s="39" t="s">
        <v>63</v>
      </c>
      <c r="C629" s="41">
        <v>46184</v>
      </c>
      <c r="D629" s="144">
        <v>0.79166666666666663</v>
      </c>
      <c r="E629" s="193"/>
      <c r="F629" s="194" t="s">
        <v>919</v>
      </c>
      <c r="G629" s="2">
        <v>1</v>
      </c>
      <c r="H629" s="2">
        <v>9</v>
      </c>
      <c r="I629" s="81">
        <v>585</v>
      </c>
      <c r="J629" s="2" t="s">
        <v>766</v>
      </c>
      <c r="K629" s="88" t="s">
        <v>800</v>
      </c>
      <c r="L629" s="89">
        <v>10000</v>
      </c>
      <c r="M629" s="69">
        <v>20</v>
      </c>
      <c r="N629" s="165" t="s">
        <v>1093</v>
      </c>
      <c r="O629" s="39" t="s">
        <v>49</v>
      </c>
      <c r="P629" s="210"/>
      <c r="Q629" s="19">
        <v>89</v>
      </c>
      <c r="R629" s="59">
        <f>Q629/I629</f>
        <v>0.15213675213675212</v>
      </c>
      <c r="S629" s="5">
        <v>29</v>
      </c>
      <c r="U629" s="109" t="s">
        <v>767</v>
      </c>
      <c r="V629" s="83" t="s">
        <v>362</v>
      </c>
      <c r="W629" s="194" t="s">
        <v>368</v>
      </c>
      <c r="Y629" s="175"/>
      <c r="Z629" s="175"/>
      <c r="AA629" s="175"/>
      <c r="AB629" s="175"/>
      <c r="AC629" s="175"/>
      <c r="AD629" s="175"/>
      <c r="AE629" s="175"/>
      <c r="AF629" s="175"/>
      <c r="AG629" s="175"/>
      <c r="AH629" s="175"/>
    </row>
    <row r="630" spans="1:34">
      <c r="A630" s="165" t="s">
        <v>1383</v>
      </c>
      <c r="B630" s="72" t="s">
        <v>63</v>
      </c>
      <c r="C630" s="77">
        <v>46184</v>
      </c>
      <c r="D630" s="144">
        <v>0.83333333333333337</v>
      </c>
      <c r="E630" s="138"/>
      <c r="F630" t="s">
        <v>1023</v>
      </c>
      <c r="G630" s="73">
        <v>1</v>
      </c>
      <c r="H630" s="73">
        <v>9</v>
      </c>
      <c r="I630" s="78">
        <v>200</v>
      </c>
      <c r="J630" s="2" t="s">
        <v>766</v>
      </c>
      <c r="K630" s="88" t="s">
        <v>806</v>
      </c>
      <c r="L630" s="100">
        <v>20000</v>
      </c>
      <c r="M630" s="79">
        <v>20</v>
      </c>
      <c r="N630" s="39" t="s">
        <v>817</v>
      </c>
      <c r="O630" s="39" t="s">
        <v>49</v>
      </c>
      <c r="P630" s="235"/>
      <c r="Q630" s="74">
        <v>45</v>
      </c>
      <c r="R630" s="75">
        <f>Q630/I630</f>
        <v>0.22500000000000001</v>
      </c>
      <c r="S630" s="121">
        <v>23</v>
      </c>
      <c r="T630" s="121"/>
      <c r="U630" s="109" t="s">
        <v>129</v>
      </c>
      <c r="V630" s="80" t="s">
        <v>360</v>
      </c>
      <c r="W630" s="79"/>
      <c r="Y630" s="175"/>
      <c r="Z630" s="175"/>
      <c r="AA630" s="175"/>
      <c r="AB630" s="175"/>
      <c r="AC630" s="175"/>
      <c r="AD630" s="175"/>
      <c r="AE630" s="175"/>
      <c r="AF630" s="175"/>
      <c r="AG630" s="175"/>
      <c r="AH630" s="175"/>
    </row>
    <row r="631" spans="1:34">
      <c r="A631" s="102" t="s">
        <v>475</v>
      </c>
      <c r="B631" s="102" t="s">
        <v>476</v>
      </c>
      <c r="C631" s="41">
        <v>46184</v>
      </c>
      <c r="D631" s="42">
        <v>0.88194444444444442</v>
      </c>
      <c r="E631" s="193"/>
      <c r="F631" s="194" t="s">
        <v>483</v>
      </c>
      <c r="G631" s="2">
        <v>1</v>
      </c>
      <c r="H631" s="2">
        <v>9</v>
      </c>
      <c r="I631" s="126">
        <v>160</v>
      </c>
      <c r="J631" s="2" t="s">
        <v>766</v>
      </c>
      <c r="K631" s="109" t="s">
        <v>603</v>
      </c>
      <c r="L631" s="105">
        <v>20000</v>
      </c>
      <c r="M631" s="203">
        <v>20</v>
      </c>
      <c r="N631" s="39" t="s">
        <v>48</v>
      </c>
      <c r="O631" s="39" t="s">
        <v>49</v>
      </c>
      <c r="P631" s="135" t="s">
        <v>828</v>
      </c>
      <c r="Q631" s="19">
        <v>30</v>
      </c>
      <c r="R631" s="15">
        <f>Q631/I631</f>
        <v>0.1875</v>
      </c>
      <c r="S631" s="5">
        <f>($AC631*$AD631)/(($Z631/$Y631)+($AA631/$Z631)+($AB631/$AA631))</f>
        <v>20</v>
      </c>
      <c r="U631" s="109" t="s">
        <v>767</v>
      </c>
      <c r="V631" s="71" t="s">
        <v>595</v>
      </c>
      <c r="W631" s="241" t="s">
        <v>604</v>
      </c>
      <c r="Y631" s="2">
        <v>2</v>
      </c>
      <c r="Z631" s="2">
        <v>5</v>
      </c>
      <c r="AA631" s="2">
        <v>40</v>
      </c>
      <c r="AB631" s="2">
        <v>100</v>
      </c>
      <c r="AC631" s="2">
        <v>20</v>
      </c>
      <c r="AD631" s="2">
        <v>13</v>
      </c>
      <c r="AE631" s="2">
        <f>AC631*AD631</f>
        <v>260</v>
      </c>
      <c r="AF631" s="2">
        <f>Z631/Y631</f>
        <v>2.5</v>
      </c>
      <c r="AG631" s="2">
        <f>AA631/Z631</f>
        <v>8</v>
      </c>
      <c r="AH631" s="2">
        <f>AB631/AA631</f>
        <v>2.5</v>
      </c>
    </row>
    <row r="632" spans="1:34">
      <c r="A632" s="103" t="s">
        <v>539</v>
      </c>
      <c r="B632" s="103" t="s">
        <v>540</v>
      </c>
      <c r="C632" s="191">
        <v>46184</v>
      </c>
      <c r="D632" s="42">
        <v>0.89583333333333337</v>
      </c>
      <c r="E632" s="8">
        <v>34</v>
      </c>
      <c r="F632" s="197" t="s">
        <v>563</v>
      </c>
      <c r="G632" s="2">
        <v>1</v>
      </c>
      <c r="H632" s="2">
        <v>9</v>
      </c>
      <c r="I632" s="126">
        <v>140</v>
      </c>
      <c r="J632" s="179" t="s">
        <v>766</v>
      </c>
      <c r="K632" s="179" t="s">
        <v>603</v>
      </c>
      <c r="L632" s="89">
        <v>25000</v>
      </c>
      <c r="M632" s="69">
        <v>12</v>
      </c>
      <c r="N632" s="39" t="s">
        <v>48</v>
      </c>
      <c r="O632" s="39" t="s">
        <v>49</v>
      </c>
      <c r="P632" s="135" t="s">
        <v>826</v>
      </c>
      <c r="Q632" s="19">
        <v>38</v>
      </c>
      <c r="R632" s="15">
        <f>Q632/I632</f>
        <v>0.27142857142857141</v>
      </c>
      <c r="S632" s="5">
        <f>($AC632*$AD632)/(($Z632/$Y632)+($AA632/$Z632)+($AB632/$AA632))</f>
        <v>10.153846153846153</v>
      </c>
      <c r="U632" s="109" t="s">
        <v>585</v>
      </c>
      <c r="V632" s="71" t="s">
        <v>1395</v>
      </c>
      <c r="W632" s="182" t="s">
        <v>1396</v>
      </c>
      <c r="Y632" s="2">
        <v>5</v>
      </c>
      <c r="Z632" s="2">
        <v>20</v>
      </c>
      <c r="AA632" s="2">
        <v>100</v>
      </c>
      <c r="AB632" s="2">
        <v>400</v>
      </c>
      <c r="AC632" s="2">
        <v>11</v>
      </c>
      <c r="AD632" s="2">
        <v>12</v>
      </c>
      <c r="AE632" s="2">
        <f>AC632*AD632</f>
        <v>132</v>
      </c>
      <c r="AF632" s="2">
        <f>Z632/Y632</f>
        <v>4</v>
      </c>
      <c r="AG632" s="2">
        <f>AA632/Z632</f>
        <v>5</v>
      </c>
      <c r="AH632" s="2">
        <f>AB632/AA632</f>
        <v>4</v>
      </c>
    </row>
    <row r="633" spans="1:34">
      <c r="A633" s="165" t="s">
        <v>1383</v>
      </c>
      <c r="B633" s="39" t="s">
        <v>63</v>
      </c>
      <c r="C633" s="41">
        <v>46184</v>
      </c>
      <c r="D633" s="144">
        <v>0.91666666666666663</v>
      </c>
      <c r="E633" s="193"/>
      <c r="F633" s="194" t="s">
        <v>909</v>
      </c>
      <c r="G633" s="2">
        <v>1</v>
      </c>
      <c r="H633" s="2">
        <v>9</v>
      </c>
      <c r="I633" s="45">
        <v>135</v>
      </c>
      <c r="J633" s="2" t="s">
        <v>766</v>
      </c>
      <c r="K633" s="88" t="s">
        <v>813</v>
      </c>
      <c r="L633" s="89">
        <v>10000</v>
      </c>
      <c r="M633" s="69">
        <v>15</v>
      </c>
      <c r="N633" s="132" t="s">
        <v>821</v>
      </c>
      <c r="O633" s="39" t="s">
        <v>49</v>
      </c>
      <c r="P633" s="210"/>
      <c r="Q633" s="19">
        <v>35</v>
      </c>
      <c r="R633" s="15">
        <f>Q633/I633</f>
        <v>0.25925925925925924</v>
      </c>
      <c r="S633" s="5">
        <v>22</v>
      </c>
      <c r="U633" s="109" t="s">
        <v>767</v>
      </c>
      <c r="V633" s="71" t="s">
        <v>362</v>
      </c>
      <c r="W633" s="194" t="s">
        <v>369</v>
      </c>
      <c r="Y633" s="175"/>
      <c r="Z633" s="175"/>
      <c r="AA633" s="175"/>
      <c r="AB633" s="175"/>
      <c r="AC633" s="175"/>
      <c r="AD633" s="175"/>
      <c r="AE633" s="175"/>
      <c r="AF633" s="175"/>
      <c r="AG633" s="175"/>
      <c r="AH633" s="175"/>
    </row>
    <row r="634" spans="1:34">
      <c r="A634" s="96" t="s">
        <v>461</v>
      </c>
      <c r="B634" s="96" t="s">
        <v>462</v>
      </c>
      <c r="C634" s="41">
        <v>46184</v>
      </c>
      <c r="D634" s="42">
        <v>0.92361111111111116</v>
      </c>
      <c r="F634" s="194" t="s">
        <v>456</v>
      </c>
      <c r="G634" s="2">
        <v>1</v>
      </c>
      <c r="I634" s="126">
        <v>120</v>
      </c>
      <c r="J634" s="2" t="s">
        <v>766</v>
      </c>
      <c r="K634" s="109" t="s">
        <v>737</v>
      </c>
      <c r="L634" s="8">
        <v>20000</v>
      </c>
      <c r="M634" s="69">
        <v>15</v>
      </c>
      <c r="N634" s="39" t="s">
        <v>48</v>
      </c>
      <c r="O634" s="39" t="s">
        <v>49</v>
      </c>
      <c r="P634" s="135" t="s">
        <v>827</v>
      </c>
      <c r="Q634" s="19">
        <v>24</v>
      </c>
      <c r="R634" s="15">
        <f>Q634/I634</f>
        <v>0.2</v>
      </c>
      <c r="S634" s="5">
        <f>($AC634*$AD634)/(($Z634/$Y634)+($AA634/$Z634)+($AB634/$AA634))</f>
        <v>25.161290322580644</v>
      </c>
      <c r="U634" s="109" t="s">
        <v>463</v>
      </c>
      <c r="V634" s="2" t="s">
        <v>735</v>
      </c>
      <c r="W634" s="10" t="s">
        <v>464</v>
      </c>
      <c r="Y634" s="2">
        <v>2.5</v>
      </c>
      <c r="Z634" s="2">
        <v>7.5</v>
      </c>
      <c r="AA634" s="2">
        <v>30</v>
      </c>
      <c r="AB634" s="2">
        <v>100</v>
      </c>
      <c r="AC634" s="2">
        <v>13</v>
      </c>
      <c r="AD634" s="2">
        <v>20</v>
      </c>
      <c r="AE634" s="2">
        <f>AC634*AD634</f>
        <v>260</v>
      </c>
      <c r="AF634" s="2">
        <f>Z634/Y634</f>
        <v>3</v>
      </c>
      <c r="AG634" s="2">
        <f>AA634/Z634</f>
        <v>4</v>
      </c>
      <c r="AH634" s="2">
        <f>AB634/AA634</f>
        <v>3.3333333333333335</v>
      </c>
    </row>
    <row r="635" spans="1:34">
      <c r="A635" s="165" t="s">
        <v>1383</v>
      </c>
      <c r="B635" s="36" t="s">
        <v>63</v>
      </c>
      <c r="C635" s="41">
        <v>46184</v>
      </c>
      <c r="D635" s="144" t="s">
        <v>117</v>
      </c>
      <c r="E635" s="14">
        <v>34</v>
      </c>
      <c r="F635" s="194" t="s">
        <v>958</v>
      </c>
      <c r="G635" s="2">
        <v>4</v>
      </c>
      <c r="H635" s="2">
        <v>9</v>
      </c>
      <c r="I635" s="45">
        <v>500</v>
      </c>
      <c r="J635" s="2" t="s">
        <v>761</v>
      </c>
      <c r="K635" s="109" t="s">
        <v>601</v>
      </c>
      <c r="L635" s="89">
        <v>50000</v>
      </c>
      <c r="M635" s="69">
        <v>40</v>
      </c>
      <c r="N635" s="39" t="s">
        <v>48</v>
      </c>
      <c r="O635" s="39" t="s">
        <v>49</v>
      </c>
      <c r="Q635" s="19">
        <f>R635*I635</f>
        <v>0</v>
      </c>
      <c r="R635" s="15">
        <v>0</v>
      </c>
      <c r="S635" s="5">
        <f>($AC635*$AD635)/(($Z635/$Y635)+($AA635/$Z635)+($AB635/$AA635))</f>
        <v>107.99584631360334</v>
      </c>
      <c r="U635" s="109" t="s">
        <v>767</v>
      </c>
      <c r="V635" s="2" t="s">
        <v>121</v>
      </c>
      <c r="W635" s="10"/>
      <c r="Y635" s="2">
        <v>2</v>
      </c>
      <c r="Z635" s="2">
        <v>5</v>
      </c>
      <c r="AA635" s="2">
        <v>13</v>
      </c>
      <c r="AB635" s="2">
        <v>30</v>
      </c>
      <c r="AC635" s="2">
        <v>20</v>
      </c>
      <c r="AD635" s="2">
        <v>40</v>
      </c>
      <c r="AE635" s="2">
        <f>AC635*AD635</f>
        <v>800</v>
      </c>
      <c r="AF635" s="2">
        <f>Z635/Y635</f>
        <v>2.5</v>
      </c>
      <c r="AG635" s="2">
        <f>AA635/Z635</f>
        <v>2.6</v>
      </c>
      <c r="AH635" s="2">
        <f>AB635/AA635</f>
        <v>2.3076923076923075</v>
      </c>
    </row>
    <row r="636" spans="1:34">
      <c r="A636" s="165" t="s">
        <v>1383</v>
      </c>
      <c r="B636" s="36" t="s">
        <v>63</v>
      </c>
      <c r="C636" s="41">
        <v>46184</v>
      </c>
      <c r="D636" s="144" t="s">
        <v>115</v>
      </c>
      <c r="E636" s="8">
        <v>32</v>
      </c>
      <c r="F636" s="194" t="s">
        <v>1273</v>
      </c>
      <c r="G636" s="2">
        <v>4</v>
      </c>
      <c r="H636" s="2">
        <v>9</v>
      </c>
      <c r="I636" s="45">
        <v>3000</v>
      </c>
      <c r="J636" s="2" t="s">
        <v>760</v>
      </c>
      <c r="K636" s="109" t="s">
        <v>601</v>
      </c>
      <c r="L636" s="92">
        <v>40000</v>
      </c>
      <c r="M636" s="69">
        <v>60</v>
      </c>
      <c r="N636" s="39" t="s">
        <v>48</v>
      </c>
      <c r="O636" s="39" t="s">
        <v>49</v>
      </c>
      <c r="P636" s="210"/>
      <c r="Q636" s="19">
        <f>R636*I636</f>
        <v>330</v>
      </c>
      <c r="R636" s="15">
        <v>0.11</v>
      </c>
      <c r="S636" s="5">
        <f>($AC636*$AD636)/(($Z636/$Y636)+($AA636/$Z636)+($AB636/$AA636))</f>
        <v>142.5</v>
      </c>
      <c r="U636" s="109" t="s">
        <v>767</v>
      </c>
      <c r="V636" s="2" t="s">
        <v>121</v>
      </c>
      <c r="W636" s="10"/>
      <c r="Y636" s="2">
        <v>2</v>
      </c>
      <c r="Z636" s="2">
        <v>5</v>
      </c>
      <c r="AA636" s="2">
        <v>7.5</v>
      </c>
      <c r="AB636" s="2">
        <v>30</v>
      </c>
      <c r="AC636" s="2">
        <v>19</v>
      </c>
      <c r="AD636" s="2">
        <v>60</v>
      </c>
      <c r="AE636" s="2">
        <f>AC636*AD636</f>
        <v>1140</v>
      </c>
      <c r="AF636" s="2">
        <f>Z636/Y636</f>
        <v>2.5</v>
      </c>
      <c r="AG636" s="2">
        <f>AA636/Z636</f>
        <v>1.5</v>
      </c>
      <c r="AH636" s="2">
        <f>AB636/AA636</f>
        <v>4</v>
      </c>
    </row>
    <row r="637" spans="1:34">
      <c r="A637" s="165" t="s">
        <v>1383</v>
      </c>
      <c r="B637" s="36" t="s">
        <v>63</v>
      </c>
      <c r="C637" s="41">
        <v>46184</v>
      </c>
      <c r="D637" s="144" t="s">
        <v>115</v>
      </c>
      <c r="E637" s="14">
        <v>35</v>
      </c>
      <c r="F637" s="194" t="s">
        <v>189</v>
      </c>
      <c r="G637" s="2">
        <v>3</v>
      </c>
      <c r="H637" s="2">
        <v>9</v>
      </c>
      <c r="I637" s="45">
        <v>1500</v>
      </c>
      <c r="J637" s="2" t="s">
        <v>763</v>
      </c>
      <c r="K637" s="109" t="s">
        <v>598</v>
      </c>
      <c r="L637" s="89">
        <v>25000</v>
      </c>
      <c r="M637" s="69" t="s">
        <v>97</v>
      </c>
      <c r="N637" s="39" t="s">
        <v>48</v>
      </c>
      <c r="O637" s="39" t="s">
        <v>57</v>
      </c>
      <c r="P637" s="213"/>
      <c r="Q637" s="38">
        <f>R637*I637</f>
        <v>172.5</v>
      </c>
      <c r="R637" s="15">
        <v>0.115</v>
      </c>
      <c r="S637" s="149" t="s">
        <v>110</v>
      </c>
      <c r="T637" s="149"/>
      <c r="U637" s="109" t="s">
        <v>767</v>
      </c>
      <c r="V637" s="2" t="s">
        <v>121</v>
      </c>
      <c r="W637" s="10"/>
      <c r="AE637" s="2" t="e">
        <f>AD637*#REF!</f>
        <v>#REF!</v>
      </c>
      <c r="AF637" s="2" t="e">
        <f>Z637/Y637</f>
        <v>#DIV/0!</v>
      </c>
      <c r="AG637" s="2" t="e">
        <f>AA637/Z637</f>
        <v>#DIV/0!</v>
      </c>
      <c r="AH637" s="2" t="e">
        <f>AC637/AA637</f>
        <v>#DIV/0!</v>
      </c>
    </row>
    <row r="638" spans="1:34">
      <c r="A638" s="165" t="s">
        <v>1383</v>
      </c>
      <c r="B638" s="36" t="s">
        <v>63</v>
      </c>
      <c r="C638" s="41">
        <v>46184</v>
      </c>
      <c r="D638" s="144" t="s">
        <v>119</v>
      </c>
      <c r="E638" s="8">
        <v>36</v>
      </c>
      <c r="F638" s="194" t="s">
        <v>1162</v>
      </c>
      <c r="G638" s="2">
        <v>3</v>
      </c>
      <c r="H638" s="2">
        <v>8</v>
      </c>
      <c r="I638" s="45">
        <v>100000</v>
      </c>
      <c r="J638" s="2" t="s">
        <v>760</v>
      </c>
      <c r="K638" s="109" t="s">
        <v>601</v>
      </c>
      <c r="L638" s="89">
        <v>600000</v>
      </c>
      <c r="M638" s="69">
        <v>60</v>
      </c>
      <c r="N638" s="39" t="s">
        <v>48</v>
      </c>
      <c r="O638" s="39" t="s">
        <v>49</v>
      </c>
      <c r="P638" s="210"/>
      <c r="Q638" s="19">
        <f>R638*I638</f>
        <v>4000</v>
      </c>
      <c r="R638" s="15">
        <v>0.04</v>
      </c>
      <c r="S638" s="5">
        <f>($AC638*$AD638)/(($Z638/$Y638)+($AA638/$Z638)+($AB638/$AA638))</f>
        <v>170.27027027027026</v>
      </c>
      <c r="U638" s="109" t="s">
        <v>767</v>
      </c>
      <c r="V638" s="2" t="s">
        <v>121</v>
      </c>
      <c r="W638" s="10"/>
      <c r="Y638" s="2">
        <v>20</v>
      </c>
      <c r="Z638" s="2">
        <v>50</v>
      </c>
      <c r="AA638" s="2">
        <v>125</v>
      </c>
      <c r="AB638" s="2">
        <v>300</v>
      </c>
      <c r="AC638" s="2">
        <v>21</v>
      </c>
      <c r="AD638" s="2">
        <v>60</v>
      </c>
      <c r="AE638" s="2">
        <f>AC638*AD638</f>
        <v>1260</v>
      </c>
      <c r="AF638" s="2">
        <f>Z638/Y638</f>
        <v>2.5</v>
      </c>
      <c r="AG638" s="2">
        <f>AA638/Z638</f>
        <v>2.5</v>
      </c>
      <c r="AH638" s="2">
        <f>AB638/AA638</f>
        <v>2.4</v>
      </c>
    </row>
    <row r="639" spans="1:34">
      <c r="A639" s="165" t="s">
        <v>1383</v>
      </c>
      <c r="B639" s="36" t="s">
        <v>63</v>
      </c>
      <c r="C639" s="41">
        <v>46184</v>
      </c>
      <c r="D639" s="144" t="s">
        <v>116</v>
      </c>
      <c r="E639" s="8">
        <v>38</v>
      </c>
      <c r="F639" s="194" t="s">
        <v>963</v>
      </c>
      <c r="G639" s="2">
        <v>3</v>
      </c>
      <c r="H639" s="2">
        <v>7</v>
      </c>
      <c r="I639" s="45">
        <v>10000</v>
      </c>
      <c r="J639" s="2" t="s">
        <v>110</v>
      </c>
      <c r="K639" s="109" t="s">
        <v>816</v>
      </c>
      <c r="L639" s="89">
        <v>60000</v>
      </c>
      <c r="M639" s="69" t="s">
        <v>111</v>
      </c>
      <c r="N639" s="39" t="s">
        <v>48</v>
      </c>
      <c r="O639" s="39" t="s">
        <v>372</v>
      </c>
      <c r="P639" s="213"/>
      <c r="Q639" s="38">
        <f>R639*I639</f>
        <v>700.00000000000011</v>
      </c>
      <c r="R639" s="15">
        <v>7.0000000000000007E-2</v>
      </c>
      <c r="S639" s="149" t="s">
        <v>110</v>
      </c>
      <c r="T639" s="149"/>
      <c r="U639" s="109" t="s">
        <v>767</v>
      </c>
      <c r="V639" s="2" t="s">
        <v>121</v>
      </c>
      <c r="W639" s="10"/>
      <c r="AE639" s="2" t="e">
        <f>AD639*#REF!</f>
        <v>#REF!</v>
      </c>
      <c r="AF639" s="2" t="e">
        <f>Z639/Y639</f>
        <v>#DIV/0!</v>
      </c>
      <c r="AG639" s="2" t="e">
        <f>AA639/Z639</f>
        <v>#DIV/0!</v>
      </c>
      <c r="AH639" s="2" t="e">
        <f>AC639/AA639</f>
        <v>#DIV/0!</v>
      </c>
    </row>
    <row r="640" spans="1:34">
      <c r="A640" s="95" t="s">
        <v>447</v>
      </c>
      <c r="B640" s="95" t="s">
        <v>448</v>
      </c>
      <c r="C640" s="190">
        <v>46185</v>
      </c>
      <c r="D640" s="42">
        <v>0.375</v>
      </c>
      <c r="E640" s="193"/>
      <c r="F640" s="194" t="s">
        <v>415</v>
      </c>
      <c r="G640" s="2">
        <v>1</v>
      </c>
      <c r="H640" s="2">
        <v>9</v>
      </c>
      <c r="I640" s="126">
        <v>240</v>
      </c>
      <c r="J640" s="2" t="s">
        <v>766</v>
      </c>
      <c r="K640" s="109" t="s">
        <v>602</v>
      </c>
      <c r="L640" s="8">
        <v>20000</v>
      </c>
      <c r="M640" s="194">
        <v>15</v>
      </c>
      <c r="N640" s="39" t="s">
        <v>61</v>
      </c>
      <c r="O640" s="39" t="s">
        <v>49</v>
      </c>
      <c r="P640" s="131" t="s">
        <v>228</v>
      </c>
      <c r="Q640" s="19">
        <v>40</v>
      </c>
      <c r="R640" s="15">
        <f>Q640/I640</f>
        <v>0.16666666666666666</v>
      </c>
      <c r="S640" s="5">
        <f>($AC640*$AD640)/(($Z640/$Y640)+($AA640/$Z640)+($AB640/$AA640))</f>
        <v>23.333333333333332</v>
      </c>
      <c r="U640" s="109" t="s">
        <v>129</v>
      </c>
      <c r="V640" s="2" t="s">
        <v>741</v>
      </c>
      <c r="W640" s="238" t="s">
        <v>745</v>
      </c>
      <c r="Y640" s="2">
        <v>2</v>
      </c>
      <c r="Z640" s="2">
        <v>5</v>
      </c>
      <c r="AA640" s="2">
        <v>20</v>
      </c>
      <c r="AB640" s="2">
        <v>50</v>
      </c>
      <c r="AC640" s="2">
        <v>14</v>
      </c>
      <c r="AD640" s="2">
        <v>15</v>
      </c>
      <c r="AE640" s="2">
        <f>AC640*AD640</f>
        <v>210</v>
      </c>
      <c r="AF640" s="2">
        <f>Z640/Y640</f>
        <v>2.5</v>
      </c>
      <c r="AG640" s="2">
        <f>AA640/Z640</f>
        <v>4</v>
      </c>
      <c r="AH640" s="2">
        <f>AB640/AA640</f>
        <v>2.5</v>
      </c>
    </row>
    <row r="641" spans="1:34">
      <c r="A641" s="96" t="s">
        <v>461</v>
      </c>
      <c r="B641" s="96" t="s">
        <v>462</v>
      </c>
      <c r="C641" s="41">
        <v>46185</v>
      </c>
      <c r="D641" s="42">
        <v>0.4236111111111111</v>
      </c>
      <c r="E641" s="193"/>
      <c r="F641" s="194" t="s">
        <v>457</v>
      </c>
      <c r="G641" s="2">
        <v>1</v>
      </c>
      <c r="I641" s="126">
        <v>120</v>
      </c>
      <c r="J641" s="2" t="s">
        <v>766</v>
      </c>
      <c r="K641" s="109" t="s">
        <v>602</v>
      </c>
      <c r="L641" s="8">
        <v>20000</v>
      </c>
      <c r="M641" s="69">
        <v>20</v>
      </c>
      <c r="N641" s="39" t="s">
        <v>48</v>
      </c>
      <c r="O641" s="39" t="s">
        <v>49</v>
      </c>
      <c r="P641" s="135" t="s">
        <v>832</v>
      </c>
      <c r="Q641" s="19">
        <v>24</v>
      </c>
      <c r="R641" s="15">
        <f>Q641/I641</f>
        <v>0.2</v>
      </c>
      <c r="S641" s="5">
        <f>($AC641*$AD641)/(($Z641/$Y641)+($AA641/$Z641)+($AB641/$AA641))</f>
        <v>25.161290322580644</v>
      </c>
      <c r="U641" s="109" t="s">
        <v>767</v>
      </c>
      <c r="V641" s="2" t="s">
        <v>735</v>
      </c>
      <c r="W641" s="10"/>
      <c r="Y641" s="2">
        <v>2.5</v>
      </c>
      <c r="Z641" s="2">
        <v>7.5</v>
      </c>
      <c r="AA641" s="2">
        <v>30</v>
      </c>
      <c r="AB641" s="2">
        <v>100</v>
      </c>
      <c r="AC641" s="2">
        <v>13</v>
      </c>
      <c r="AD641" s="2">
        <v>20</v>
      </c>
      <c r="AE641" s="2">
        <f>AC641*AD641</f>
        <v>260</v>
      </c>
      <c r="AF641" s="2">
        <f>Z641/Y641</f>
        <v>3</v>
      </c>
      <c r="AG641" s="2">
        <f>AA641/Z641</f>
        <v>4</v>
      </c>
      <c r="AH641" s="2">
        <f>AB641/AA641</f>
        <v>3.3333333333333335</v>
      </c>
    </row>
    <row r="642" spans="1:34">
      <c r="A642" s="68" t="s">
        <v>357</v>
      </c>
      <c r="B642" s="68" t="s">
        <v>358</v>
      </c>
      <c r="C642" s="191">
        <v>46185</v>
      </c>
      <c r="D642" s="42">
        <v>0.4236111111111111</v>
      </c>
      <c r="E642" s="8">
        <v>44</v>
      </c>
      <c r="F642" s="197" t="s">
        <v>307</v>
      </c>
      <c r="G642" s="2">
        <v>2</v>
      </c>
      <c r="H642" s="2">
        <v>9</v>
      </c>
      <c r="I642" s="126">
        <v>1100</v>
      </c>
      <c r="J642" s="2" t="s">
        <v>766</v>
      </c>
      <c r="K642" s="137" t="s">
        <v>598</v>
      </c>
      <c r="L642" s="89">
        <v>40000</v>
      </c>
      <c r="M642" s="54">
        <v>40</v>
      </c>
      <c r="N642" s="39" t="s">
        <v>48</v>
      </c>
      <c r="O642" s="39" t="s">
        <v>49</v>
      </c>
      <c r="P642" s="135" t="s">
        <v>848</v>
      </c>
      <c r="Q642" s="19">
        <v>140</v>
      </c>
      <c r="R642" s="15">
        <f>Q642/I642</f>
        <v>0.12727272727272726</v>
      </c>
      <c r="S642" s="5">
        <f>($AC642*$AD642)/(($Z642/$Y642)+($AA642/$Z642)+($AB642/$AA642))</f>
        <v>102.59605399792316</v>
      </c>
      <c r="U642" s="109" t="s">
        <v>54</v>
      </c>
      <c r="V642" s="2" t="s">
        <v>674</v>
      </c>
      <c r="W642" s="10"/>
      <c r="Y642" s="2">
        <v>2</v>
      </c>
      <c r="Z642" s="2">
        <v>5</v>
      </c>
      <c r="AA642" s="2">
        <v>13</v>
      </c>
      <c r="AB642" s="2">
        <v>30</v>
      </c>
      <c r="AC642" s="2">
        <v>40</v>
      </c>
      <c r="AD642" s="2">
        <v>19</v>
      </c>
      <c r="AE642" s="2">
        <f>AC642*AD642</f>
        <v>760</v>
      </c>
      <c r="AF642" s="2">
        <f>Z642/Y642</f>
        <v>2.5</v>
      </c>
      <c r="AG642" s="2">
        <f>AA642/Z642</f>
        <v>2.6</v>
      </c>
      <c r="AH642" s="2">
        <f>AB642/AA642</f>
        <v>2.3076923076923075</v>
      </c>
    </row>
    <row r="643" spans="1:34">
      <c r="A643" s="103" t="s">
        <v>539</v>
      </c>
      <c r="B643" s="103" t="s">
        <v>540</v>
      </c>
      <c r="C643" s="191">
        <v>46185</v>
      </c>
      <c r="D643" s="42">
        <v>0.45833333333333331</v>
      </c>
      <c r="E643" s="8">
        <v>35</v>
      </c>
      <c r="F643" s="63" t="s">
        <v>542</v>
      </c>
      <c r="G643" s="2">
        <v>1</v>
      </c>
      <c r="H643" s="2">
        <v>9</v>
      </c>
      <c r="I643" s="126">
        <v>200</v>
      </c>
      <c r="J643" s="179" t="s">
        <v>766</v>
      </c>
      <c r="K643" s="179" t="s">
        <v>815</v>
      </c>
      <c r="L643" s="92">
        <v>30000</v>
      </c>
      <c r="M643" s="69">
        <v>30</v>
      </c>
      <c r="N643" s="39" t="s">
        <v>48</v>
      </c>
      <c r="O643" s="39" t="s">
        <v>49</v>
      </c>
      <c r="P643" s="212" t="s">
        <v>833</v>
      </c>
      <c r="Q643" s="19">
        <v>44</v>
      </c>
      <c r="R643" s="15">
        <f>Q643/I643</f>
        <v>0.22</v>
      </c>
      <c r="S643" s="5">
        <f>($AC643*$AD643)/(($Z643/$Y643)+($AA643/$Z643)+($AB643/$AA643))</f>
        <v>53.333333333333336</v>
      </c>
      <c r="U643" s="109" t="s">
        <v>767</v>
      </c>
      <c r="V643" s="21" t="s">
        <v>1395</v>
      </c>
      <c r="W643" s="10"/>
      <c r="Y643" s="2">
        <v>2</v>
      </c>
      <c r="Z643" s="2">
        <v>5</v>
      </c>
      <c r="AA643" s="2">
        <v>20</v>
      </c>
      <c r="AB643" s="2">
        <v>50</v>
      </c>
      <c r="AC643" s="2">
        <v>16</v>
      </c>
      <c r="AD643" s="2">
        <v>30</v>
      </c>
      <c r="AE643" s="2">
        <f>AC643*AD643</f>
        <v>480</v>
      </c>
      <c r="AF643" s="2">
        <f>Z643/Y643</f>
        <v>2.5</v>
      </c>
      <c r="AG643" s="2">
        <f>AA643/Z643</f>
        <v>4</v>
      </c>
      <c r="AH643" s="2">
        <f>AB643/AA643</f>
        <v>2.5</v>
      </c>
    </row>
    <row r="644" spans="1:34">
      <c r="A644" s="165" t="s">
        <v>1383</v>
      </c>
      <c r="B644" s="36" t="s">
        <v>63</v>
      </c>
      <c r="C644" s="41">
        <v>46185</v>
      </c>
      <c r="D644" s="144">
        <v>0.45833333333333331</v>
      </c>
      <c r="E644" s="14">
        <v>34</v>
      </c>
      <c r="F644" s="8" t="s">
        <v>1194</v>
      </c>
      <c r="G644" s="2">
        <v>4</v>
      </c>
      <c r="H644" s="2">
        <v>9</v>
      </c>
      <c r="I644" s="45">
        <v>500</v>
      </c>
      <c r="J644" s="2" t="s">
        <v>761</v>
      </c>
      <c r="K644" s="109" t="s">
        <v>601</v>
      </c>
      <c r="L644" s="89">
        <v>50000</v>
      </c>
      <c r="M644" s="69">
        <v>40</v>
      </c>
      <c r="N644" s="39" t="s">
        <v>48</v>
      </c>
      <c r="O644" s="39" t="s">
        <v>49</v>
      </c>
      <c r="Q644" s="19">
        <f>R644*I644</f>
        <v>0</v>
      </c>
      <c r="R644" s="15">
        <v>0</v>
      </c>
      <c r="S644" s="5">
        <f>($AC644*$AD644)/(($Z644/$Y644)+($AA644/$Z644)+($AB644/$AA644))</f>
        <v>107.99584631360334</v>
      </c>
      <c r="U644" s="109" t="s">
        <v>767</v>
      </c>
      <c r="V644" s="2" t="s">
        <v>121</v>
      </c>
      <c r="W644" s="10"/>
      <c r="Y644" s="2">
        <v>2</v>
      </c>
      <c r="Z644" s="2">
        <v>5</v>
      </c>
      <c r="AA644" s="2">
        <v>13</v>
      </c>
      <c r="AB644" s="2">
        <v>30</v>
      </c>
      <c r="AC644" s="2">
        <v>20</v>
      </c>
      <c r="AD644" s="2">
        <v>40</v>
      </c>
      <c r="AE644" s="2">
        <f>AC644*AD644</f>
        <v>800</v>
      </c>
      <c r="AF644" s="2">
        <f>Z644/Y644</f>
        <v>2.5</v>
      </c>
      <c r="AG644" s="2">
        <f>AA644/Z644</f>
        <v>2.6</v>
      </c>
      <c r="AH644" s="2">
        <f>AB644/AA644</f>
        <v>2.3076923076923075</v>
      </c>
    </row>
    <row r="645" spans="1:34">
      <c r="A645" s="102" t="s">
        <v>475</v>
      </c>
      <c r="B645" s="102" t="s">
        <v>476</v>
      </c>
      <c r="C645" s="190">
        <v>46185</v>
      </c>
      <c r="D645" s="42">
        <v>0.45833333333333331</v>
      </c>
      <c r="E645" s="8">
        <v>12</v>
      </c>
      <c r="F645" s="114" t="s">
        <v>498</v>
      </c>
      <c r="G645" s="2">
        <v>1</v>
      </c>
      <c r="H645" s="2">
        <v>9</v>
      </c>
      <c r="I645" s="126">
        <v>400</v>
      </c>
      <c r="J645" s="2" t="s">
        <v>766</v>
      </c>
      <c r="K645" s="109" t="s">
        <v>601</v>
      </c>
      <c r="L645" s="105">
        <v>30000</v>
      </c>
      <c r="M645" s="203">
        <v>30</v>
      </c>
      <c r="N645" s="39" t="s">
        <v>48</v>
      </c>
      <c r="O645" s="39" t="s">
        <v>49</v>
      </c>
      <c r="P645" s="134" t="s">
        <v>834</v>
      </c>
      <c r="Q645" s="19">
        <v>70</v>
      </c>
      <c r="R645" s="15">
        <f>Q645/I645</f>
        <v>0.17499999999999999</v>
      </c>
      <c r="S645" s="5">
        <f>($AC645*$AD645)/(($Z645/$Y645)+($AA645/$Z645)+($AB645/$AA645))</f>
        <v>72.897196261682254</v>
      </c>
      <c r="U645" s="109" t="s">
        <v>55</v>
      </c>
      <c r="V645" s="2" t="s">
        <v>644</v>
      </c>
      <c r="W645" s="10"/>
      <c r="Y645" s="2">
        <v>2</v>
      </c>
      <c r="Z645" s="2">
        <v>5</v>
      </c>
      <c r="AA645" s="2">
        <v>13</v>
      </c>
      <c r="AB645" s="2">
        <v>30</v>
      </c>
      <c r="AC645" s="2">
        <v>30</v>
      </c>
      <c r="AD645" s="2">
        <v>18</v>
      </c>
      <c r="AE645" s="2">
        <f>AC645*AD645</f>
        <v>540</v>
      </c>
      <c r="AF645" s="2">
        <f>Z645/Y645</f>
        <v>2.5</v>
      </c>
      <c r="AG645" s="2">
        <f>AA645/Z645</f>
        <v>2.6</v>
      </c>
      <c r="AH645" s="2">
        <f>AB645/AA645</f>
        <v>2.3076923076923075</v>
      </c>
    </row>
    <row r="646" spans="1:34">
      <c r="A646" s="52" t="s">
        <v>229</v>
      </c>
      <c r="B646" s="52" t="s">
        <v>230</v>
      </c>
      <c r="C646" s="190">
        <v>46185</v>
      </c>
      <c r="D646" s="42">
        <v>0.45833333333333331</v>
      </c>
      <c r="E646" s="193"/>
      <c r="F646" s="8" t="s">
        <v>240</v>
      </c>
      <c r="G646" s="2">
        <v>1</v>
      </c>
      <c r="I646" s="126">
        <v>400</v>
      </c>
      <c r="J646" s="2" t="s">
        <v>766</v>
      </c>
      <c r="K646" s="88" t="s">
        <v>788</v>
      </c>
      <c r="L646" s="90">
        <v>40000</v>
      </c>
      <c r="M646" s="194" t="s">
        <v>22</v>
      </c>
      <c r="N646" s="39" t="s">
        <v>48</v>
      </c>
      <c r="O646" s="39" t="s">
        <v>49</v>
      </c>
      <c r="P646" s="134" t="s">
        <v>836</v>
      </c>
      <c r="Q646" s="19">
        <v>60</v>
      </c>
      <c r="R646" s="15">
        <f>IF(Q646&gt;0,Q646/I646,"")</f>
        <v>0.15</v>
      </c>
      <c r="S646" s="5">
        <f>($AC646*$AD646)/(($Z646/$Y646)+($AA646/$Z646)+($AB646/$AA646))</f>
        <v>76.947040498442377</v>
      </c>
      <c r="U646" s="109" t="s">
        <v>767</v>
      </c>
      <c r="V646" s="205" t="s">
        <v>719</v>
      </c>
      <c r="W646" s="10"/>
      <c r="Y646" s="2">
        <v>2</v>
      </c>
      <c r="Z646" s="2">
        <v>5</v>
      </c>
      <c r="AA646" s="2">
        <v>13</v>
      </c>
      <c r="AB646" s="2">
        <v>30</v>
      </c>
      <c r="AC646" s="2">
        <v>19</v>
      </c>
      <c r="AD646" s="2">
        <v>30</v>
      </c>
      <c r="AE646" s="2">
        <f>AC646*AD646</f>
        <v>570</v>
      </c>
      <c r="AF646" s="2">
        <f>Z646/Y646</f>
        <v>2.5</v>
      </c>
      <c r="AG646" s="2">
        <f>AA646/Z646</f>
        <v>2.6</v>
      </c>
      <c r="AH646" s="2">
        <f>AB646/AA646</f>
        <v>2.3076923076923075</v>
      </c>
    </row>
    <row r="647" spans="1:34" ht="15" thickBot="1">
      <c r="A647" s="95" t="s">
        <v>447</v>
      </c>
      <c r="B647" s="95" t="s">
        <v>448</v>
      </c>
      <c r="C647" s="190">
        <v>46185</v>
      </c>
      <c r="D647" s="42">
        <v>0.5</v>
      </c>
      <c r="E647" s="193"/>
      <c r="F647" s="8" t="s">
        <v>435</v>
      </c>
      <c r="G647" s="2">
        <v>1</v>
      </c>
      <c r="H647" s="2">
        <v>8</v>
      </c>
      <c r="I647" s="126">
        <v>1600</v>
      </c>
      <c r="J647" s="2" t="s">
        <v>766</v>
      </c>
      <c r="K647" s="109" t="s">
        <v>598</v>
      </c>
      <c r="L647" s="8">
        <v>40000</v>
      </c>
      <c r="M647" s="194">
        <v>30</v>
      </c>
      <c r="N647" s="39" t="s">
        <v>48</v>
      </c>
      <c r="O647" s="39" t="s">
        <v>49</v>
      </c>
      <c r="P647" s="135" t="s">
        <v>843</v>
      </c>
      <c r="Q647" s="19">
        <v>180</v>
      </c>
      <c r="R647" s="15">
        <f>Q647/I647</f>
        <v>0.1125</v>
      </c>
      <c r="S647" s="5">
        <f>($AC647*$AD647)/(($Z647/$Y647)+($AA647/$Z647)+($AB647/$AA647))</f>
        <v>76.947040498442377</v>
      </c>
      <c r="U647" s="109" t="s">
        <v>767</v>
      </c>
      <c r="V647" s="205" t="s">
        <v>741</v>
      </c>
      <c r="W647" s="10"/>
      <c r="Y647" s="2">
        <v>2</v>
      </c>
      <c r="Z647" s="2">
        <v>5</v>
      </c>
      <c r="AA647" s="2">
        <v>13</v>
      </c>
      <c r="AB647" s="2">
        <v>30</v>
      </c>
      <c r="AC647" s="2">
        <v>19</v>
      </c>
      <c r="AD647" s="2">
        <v>30</v>
      </c>
      <c r="AE647" s="2">
        <f>AC647*AD647</f>
        <v>570</v>
      </c>
      <c r="AF647" s="2">
        <f>Z647/Y647</f>
        <v>2.5</v>
      </c>
      <c r="AG647" s="2">
        <f>AA647/Z647</f>
        <v>2.6</v>
      </c>
      <c r="AH647" s="2">
        <f>AB647/AA647</f>
        <v>2.3076923076923075</v>
      </c>
    </row>
    <row r="648" spans="1:34" ht="15" thickBot="1">
      <c r="A648" s="103" t="s">
        <v>539</v>
      </c>
      <c r="B648" s="103" t="s">
        <v>540</v>
      </c>
      <c r="C648" s="60">
        <v>46185</v>
      </c>
      <c r="D648" s="42">
        <v>0.5</v>
      </c>
      <c r="E648" s="98">
        <v>36</v>
      </c>
      <c r="F648" s="63" t="s">
        <v>559</v>
      </c>
      <c r="G648" s="2">
        <v>1</v>
      </c>
      <c r="H648" s="2">
        <v>6</v>
      </c>
      <c r="I648" s="174">
        <v>500</v>
      </c>
      <c r="J648" s="179" t="s">
        <v>766</v>
      </c>
      <c r="K648" s="179" t="s">
        <v>601</v>
      </c>
      <c r="L648" s="89">
        <v>35000</v>
      </c>
      <c r="M648" s="246" t="s">
        <v>22</v>
      </c>
      <c r="N648" s="39" t="s">
        <v>48</v>
      </c>
      <c r="O648" s="39" t="s">
        <v>377</v>
      </c>
      <c r="P648" s="63">
        <v>20000</v>
      </c>
      <c r="Q648" s="2">
        <v>70</v>
      </c>
      <c r="R648" s="15">
        <f>Q648/I648</f>
        <v>0.14000000000000001</v>
      </c>
      <c r="S648" s="142"/>
      <c r="U648" s="109" t="s">
        <v>767</v>
      </c>
      <c r="V648" s="71" t="s">
        <v>1395</v>
      </c>
      <c r="W648" s="10"/>
      <c r="AE648" s="2">
        <f>AC648*AD648</f>
        <v>0</v>
      </c>
      <c r="AF648" s="2" t="e">
        <f>Z648/Y648</f>
        <v>#DIV/0!</v>
      </c>
      <c r="AG648" s="2" t="e">
        <f>AA648/Z648</f>
        <v>#DIV/0!</v>
      </c>
      <c r="AH648" s="2" t="e">
        <f>AB648/AA648</f>
        <v>#DIV/0!</v>
      </c>
    </row>
    <row r="649" spans="1:34" ht="15" thickBot="1">
      <c r="A649" s="165" t="s">
        <v>1383</v>
      </c>
      <c r="B649" s="39" t="s">
        <v>63</v>
      </c>
      <c r="C649" s="61">
        <v>46185</v>
      </c>
      <c r="D649" s="144">
        <v>0.5</v>
      </c>
      <c r="E649" s="62"/>
      <c r="F649" s="8" t="s">
        <v>923</v>
      </c>
      <c r="G649" s="2">
        <v>1</v>
      </c>
      <c r="H649" s="2">
        <v>9</v>
      </c>
      <c r="I649" s="127">
        <v>70</v>
      </c>
      <c r="J649" s="2" t="s">
        <v>766</v>
      </c>
      <c r="K649" s="88" t="s">
        <v>771</v>
      </c>
      <c r="L649" s="90">
        <v>10000</v>
      </c>
      <c r="M649" s="124">
        <v>10</v>
      </c>
      <c r="N649" s="132" t="s">
        <v>821</v>
      </c>
      <c r="O649" s="39" t="s">
        <v>49</v>
      </c>
      <c r="P649" s="210"/>
      <c r="Q649" s="19">
        <v>20</v>
      </c>
      <c r="R649" s="15">
        <f>Q649/I649</f>
        <v>0.2857142857142857</v>
      </c>
      <c r="S649" s="5">
        <v>15</v>
      </c>
      <c r="U649" s="109" t="s">
        <v>767</v>
      </c>
      <c r="V649" s="71" t="s">
        <v>362</v>
      </c>
      <c r="W649" s="195" t="s">
        <v>363</v>
      </c>
      <c r="Y649" s="175"/>
      <c r="Z649" s="175"/>
      <c r="AA649" s="175"/>
      <c r="AB649" s="175"/>
      <c r="AC649" s="175"/>
      <c r="AD649" s="175"/>
      <c r="AE649" s="175"/>
      <c r="AF649" s="175"/>
      <c r="AG649" s="175"/>
      <c r="AH649" s="175"/>
    </row>
    <row r="650" spans="1:34" ht="15" thickBot="1">
      <c r="A650" s="52" t="s">
        <v>220</v>
      </c>
      <c r="B650" s="52" t="s">
        <v>221</v>
      </c>
      <c r="C650" s="60">
        <v>46185</v>
      </c>
      <c r="D650" s="42">
        <v>0.5</v>
      </c>
      <c r="E650" s="62"/>
      <c r="F650" s="8" t="s">
        <v>1302</v>
      </c>
      <c r="G650" s="2">
        <v>3</v>
      </c>
      <c r="H650" s="2">
        <v>9</v>
      </c>
      <c r="I650" s="127">
        <v>1600</v>
      </c>
      <c r="J650" s="2" t="s">
        <v>766</v>
      </c>
      <c r="K650" s="109" t="s">
        <v>767</v>
      </c>
      <c r="L650" s="146">
        <v>40000</v>
      </c>
      <c r="M650" s="208">
        <v>60</v>
      </c>
      <c r="N650" s="39" t="s">
        <v>48</v>
      </c>
      <c r="O650" s="39" t="s">
        <v>49</v>
      </c>
      <c r="P650" s="135" t="s">
        <v>846</v>
      </c>
      <c r="Q650" s="19">
        <v>170</v>
      </c>
      <c r="R650" s="15">
        <f>Q650/I650</f>
        <v>0.10625</v>
      </c>
      <c r="S650" s="5">
        <f>($AC650*$AD650)/(($Z650/$Y650)+($AA650/$Z650)+($AB650/$AA650))</f>
        <v>66.122448979591837</v>
      </c>
      <c r="U650" s="109" t="s">
        <v>767</v>
      </c>
      <c r="V650" s="2" t="s">
        <v>738</v>
      </c>
      <c r="W650" s="10"/>
      <c r="Y650" s="2">
        <v>2</v>
      </c>
      <c r="Z650" s="2">
        <v>5</v>
      </c>
      <c r="AA650" s="2">
        <v>15</v>
      </c>
      <c r="AB650" s="2">
        <v>40</v>
      </c>
      <c r="AC650" s="2">
        <v>18</v>
      </c>
      <c r="AD650" s="2">
        <v>30</v>
      </c>
      <c r="AE650" s="2">
        <f>AC650*AD650</f>
        <v>540</v>
      </c>
      <c r="AF650" s="2">
        <f>Z650/Y650</f>
        <v>2.5</v>
      </c>
      <c r="AG650" s="2">
        <f>AA650/Z650</f>
        <v>3</v>
      </c>
      <c r="AH650" s="2">
        <f>AB650/AA650</f>
        <v>2.6666666666666665</v>
      </c>
    </row>
    <row r="651" spans="1:34" ht="15" thickBot="1">
      <c r="A651" s="52" t="s">
        <v>220</v>
      </c>
      <c r="B651" s="52" t="s">
        <v>221</v>
      </c>
      <c r="C651" s="60">
        <v>46185</v>
      </c>
      <c r="D651" s="42">
        <v>0.5</v>
      </c>
      <c r="E651" s="62"/>
      <c r="F651" s="8" t="s">
        <v>1047</v>
      </c>
      <c r="G651" s="2">
        <v>3</v>
      </c>
      <c r="H651" s="2">
        <v>9</v>
      </c>
      <c r="I651" s="127">
        <v>3500</v>
      </c>
      <c r="J651" s="2" t="s">
        <v>766</v>
      </c>
      <c r="K651" s="88" t="s">
        <v>793</v>
      </c>
      <c r="L651" s="90">
        <v>40000</v>
      </c>
      <c r="M651" s="208" t="s">
        <v>97</v>
      </c>
      <c r="N651" s="39" t="s">
        <v>48</v>
      </c>
      <c r="O651" s="39" t="s">
        <v>49</v>
      </c>
      <c r="P651" s="135" t="s">
        <v>849</v>
      </c>
      <c r="Q651" s="19">
        <v>325</v>
      </c>
      <c r="R651" s="15">
        <f>Q651/I651</f>
        <v>9.285714285714286E-2</v>
      </c>
      <c r="S651" s="5">
        <f>($AC651*$AD651)/(($Z651/$Y651)+($AA651/$Z651)+($AB651/$AA651))</f>
        <v>88.052681091251188</v>
      </c>
      <c r="U651" s="109" t="s">
        <v>767</v>
      </c>
      <c r="V651" s="205" t="s">
        <v>738</v>
      </c>
      <c r="W651" s="10"/>
      <c r="X651" s="70"/>
      <c r="Y651" s="2">
        <v>2</v>
      </c>
      <c r="Z651" s="2">
        <v>5</v>
      </c>
      <c r="AA651" s="2">
        <v>13</v>
      </c>
      <c r="AB651" s="2">
        <v>40</v>
      </c>
      <c r="AC651" s="2">
        <v>18</v>
      </c>
      <c r="AD651" s="2">
        <v>40</v>
      </c>
      <c r="AE651" s="2">
        <f>AC651*AD651</f>
        <v>720</v>
      </c>
      <c r="AF651" s="2">
        <f>Z651/Y651</f>
        <v>2.5</v>
      </c>
      <c r="AG651" s="2">
        <f>AA651/Z651</f>
        <v>2.6</v>
      </c>
      <c r="AH651" s="2">
        <f>AB651/AA651</f>
        <v>3.0769230769230771</v>
      </c>
    </row>
    <row r="652" spans="1:34" ht="15" thickBot="1">
      <c r="A652" s="52" t="s">
        <v>220</v>
      </c>
      <c r="B652" s="52" t="s">
        <v>221</v>
      </c>
      <c r="C652" s="60">
        <v>46185</v>
      </c>
      <c r="D652" s="42">
        <v>0.5</v>
      </c>
      <c r="E652" s="62"/>
      <c r="F652" s="194" t="s">
        <v>1061</v>
      </c>
      <c r="G652" s="2">
        <v>1</v>
      </c>
      <c r="H652" s="2">
        <v>8</v>
      </c>
      <c r="I652" s="127">
        <v>1100</v>
      </c>
      <c r="J652" s="2" t="s">
        <v>766</v>
      </c>
      <c r="K652" s="88" t="s">
        <v>780</v>
      </c>
      <c r="L652" s="90">
        <v>30000</v>
      </c>
      <c r="M652" s="208">
        <v>30</v>
      </c>
      <c r="N652" s="39" t="s">
        <v>48</v>
      </c>
      <c r="O652" s="39" t="s">
        <v>223</v>
      </c>
      <c r="P652" s="63">
        <v>100000</v>
      </c>
      <c r="Q652" s="2">
        <v>125</v>
      </c>
      <c r="R652" s="15">
        <f>Q652/I652</f>
        <v>0.11363636363636363</v>
      </c>
      <c r="S652" s="149" t="s">
        <v>110</v>
      </c>
      <c r="T652" s="149"/>
      <c r="U652" s="109" t="s">
        <v>767</v>
      </c>
      <c r="V652" s="205" t="s">
        <v>738</v>
      </c>
      <c r="W652" s="10"/>
      <c r="AE652" s="2">
        <f>AC652*AD652</f>
        <v>0</v>
      </c>
      <c r="AF652" s="2" t="e">
        <f>Z652/Y652</f>
        <v>#DIV/0!</v>
      </c>
      <c r="AG652" s="2" t="e">
        <f>AA652/Z652</f>
        <v>#DIV/0!</v>
      </c>
      <c r="AH652" s="2" t="e">
        <f>AB652/AA652</f>
        <v>#DIV/0!</v>
      </c>
    </row>
    <row r="653" spans="1:34" ht="15" thickBot="1">
      <c r="A653" s="165" t="s">
        <v>1383</v>
      </c>
      <c r="B653" s="36" t="s">
        <v>63</v>
      </c>
      <c r="C653" s="97">
        <v>46185</v>
      </c>
      <c r="D653" s="144">
        <v>0.54166666666666663</v>
      </c>
      <c r="E653" s="98">
        <v>38</v>
      </c>
      <c r="F653" s="8" t="s">
        <v>1146</v>
      </c>
      <c r="G653" s="2">
        <v>3</v>
      </c>
      <c r="H653" s="2">
        <v>7</v>
      </c>
      <c r="I653" s="99">
        <v>10000</v>
      </c>
      <c r="J653" s="2" t="s">
        <v>110</v>
      </c>
      <c r="K653" s="109" t="s">
        <v>816</v>
      </c>
      <c r="L653" s="89">
        <v>60000</v>
      </c>
      <c r="M653" s="106" t="s">
        <v>111</v>
      </c>
      <c r="N653" s="39" t="s">
        <v>48</v>
      </c>
      <c r="O653" s="39" t="s">
        <v>372</v>
      </c>
      <c r="P653" s="19"/>
      <c r="Q653" s="38">
        <f>R653*I653</f>
        <v>700.00000000000011</v>
      </c>
      <c r="R653" s="15">
        <v>7.0000000000000007E-2</v>
      </c>
      <c r="S653" s="149" t="s">
        <v>110</v>
      </c>
      <c r="T653" s="149"/>
      <c r="U653" s="109" t="s">
        <v>767</v>
      </c>
      <c r="V653" s="2" t="s">
        <v>121</v>
      </c>
      <c r="W653" s="205"/>
      <c r="AE653" s="2" t="e">
        <f>AD653*#REF!</f>
        <v>#REF!</v>
      </c>
      <c r="AF653" s="2" t="e">
        <f>Z653/Y653</f>
        <v>#DIV/0!</v>
      </c>
      <c r="AG653" s="2" t="e">
        <f>AA653/Z653</f>
        <v>#DIV/0!</v>
      </c>
      <c r="AH653" s="2" t="e">
        <f>AC653/AA653</f>
        <v>#DIV/0!</v>
      </c>
    </row>
    <row r="654" spans="1:34" ht="15" thickBot="1">
      <c r="A654" s="165" t="s">
        <v>1383</v>
      </c>
      <c r="B654" s="72" t="s">
        <v>63</v>
      </c>
      <c r="C654" s="169">
        <v>46185</v>
      </c>
      <c r="D654" s="144">
        <v>0.54166666666666663</v>
      </c>
      <c r="E654" s="170"/>
      <c r="F654" s="8" t="s">
        <v>881</v>
      </c>
      <c r="G654" s="73">
        <v>1</v>
      </c>
      <c r="H654" s="73">
        <v>9</v>
      </c>
      <c r="I654" s="171">
        <v>250</v>
      </c>
      <c r="J654" s="2" t="s">
        <v>766</v>
      </c>
      <c r="K654" s="88" t="s">
        <v>787</v>
      </c>
      <c r="L654" s="100">
        <v>25000</v>
      </c>
      <c r="M654" s="172">
        <v>30</v>
      </c>
      <c r="N654" s="39" t="s">
        <v>817</v>
      </c>
      <c r="O654" s="39" t="s">
        <v>49</v>
      </c>
      <c r="P654" s="235"/>
      <c r="Q654" s="74">
        <v>50</v>
      </c>
      <c r="R654" s="75">
        <f>Q654/I654</f>
        <v>0.2</v>
      </c>
      <c r="S654" s="121">
        <v>44</v>
      </c>
      <c r="T654" s="121"/>
      <c r="U654" s="109" t="s">
        <v>767</v>
      </c>
      <c r="V654" s="80" t="s">
        <v>360</v>
      </c>
      <c r="W654" s="79"/>
      <c r="Y654" s="175"/>
      <c r="Z654" s="175"/>
      <c r="AA654" s="175"/>
      <c r="AB654" s="175"/>
      <c r="AC654" s="175"/>
      <c r="AD654" s="175"/>
      <c r="AE654" s="175"/>
      <c r="AF654" s="175"/>
      <c r="AG654" s="175"/>
      <c r="AH654" s="175"/>
    </row>
    <row r="655" spans="1:34" ht="15" thickBot="1">
      <c r="A655" s="165" t="s">
        <v>1383</v>
      </c>
      <c r="B655" s="39" t="s">
        <v>63</v>
      </c>
      <c r="C655" s="61">
        <v>46185</v>
      </c>
      <c r="D655" s="144">
        <v>0.625</v>
      </c>
      <c r="E655" s="62"/>
      <c r="F655" s="8" t="s">
        <v>883</v>
      </c>
      <c r="G655" s="2">
        <v>1</v>
      </c>
      <c r="I655" s="127">
        <v>2800</v>
      </c>
      <c r="J655" s="2" t="s">
        <v>766</v>
      </c>
      <c r="K655" s="88" t="s">
        <v>784</v>
      </c>
      <c r="L655" s="146">
        <v>20000</v>
      </c>
      <c r="M655" s="124">
        <v>15</v>
      </c>
      <c r="N655" s="132" t="s">
        <v>821</v>
      </c>
      <c r="O655" s="39" t="s">
        <v>49</v>
      </c>
      <c r="P655" s="210"/>
      <c r="Q655" s="19">
        <f>260</f>
        <v>260</v>
      </c>
      <c r="R655" s="15">
        <f>Q655/I655</f>
        <v>9.285714285714286E-2</v>
      </c>
      <c r="S655" s="5">
        <v>20</v>
      </c>
      <c r="U655" s="109" t="s">
        <v>767</v>
      </c>
      <c r="V655" s="71" t="s">
        <v>362</v>
      </c>
      <c r="W655" s="8" t="s">
        <v>380</v>
      </c>
      <c r="Y655" s="175"/>
      <c r="Z655" s="175"/>
      <c r="AA655" s="175"/>
      <c r="AB655" s="175"/>
      <c r="AC655" s="175"/>
      <c r="AD655" s="175"/>
      <c r="AE655" s="175"/>
      <c r="AF655" s="175"/>
      <c r="AG655" s="175"/>
      <c r="AH655" s="175"/>
    </row>
    <row r="656" spans="1:34" ht="15" thickBot="1">
      <c r="A656" s="165" t="s">
        <v>1383</v>
      </c>
      <c r="B656" s="39" t="s">
        <v>63</v>
      </c>
      <c r="C656" s="97">
        <v>46185</v>
      </c>
      <c r="D656" s="144">
        <v>0.625</v>
      </c>
      <c r="E656" s="62"/>
      <c r="F656" s="8" t="s">
        <v>912</v>
      </c>
      <c r="G656" s="2">
        <v>1</v>
      </c>
      <c r="H656" s="2">
        <v>9</v>
      </c>
      <c r="I656" s="99">
        <v>240</v>
      </c>
      <c r="J656" s="2" t="s">
        <v>766</v>
      </c>
      <c r="K656" s="88" t="s">
        <v>784</v>
      </c>
      <c r="L656" s="89">
        <v>10000</v>
      </c>
      <c r="M656" s="106">
        <v>20</v>
      </c>
      <c r="N656" s="132" t="s">
        <v>821</v>
      </c>
      <c r="O656" s="39" t="s">
        <v>49</v>
      </c>
      <c r="P656" s="210"/>
      <c r="Q656" s="19">
        <v>40</v>
      </c>
      <c r="R656" s="15">
        <v>0.16666666666666666</v>
      </c>
      <c r="S656" s="5">
        <v>29</v>
      </c>
      <c r="U656" s="109" t="s">
        <v>767</v>
      </c>
      <c r="V656" s="71" t="s">
        <v>362</v>
      </c>
      <c r="W656" s="194" t="s">
        <v>367</v>
      </c>
      <c r="Y656" s="175"/>
      <c r="Z656" s="175"/>
      <c r="AA656" s="175"/>
      <c r="AB656" s="175"/>
      <c r="AC656" s="175"/>
      <c r="AD656" s="175"/>
      <c r="AE656" s="175"/>
      <c r="AF656" s="175"/>
      <c r="AG656" s="175"/>
      <c r="AH656" s="175"/>
    </row>
    <row r="657" spans="1:34" ht="15" thickBot="1">
      <c r="A657" s="186" t="s">
        <v>1397</v>
      </c>
      <c r="B657" s="186" t="s">
        <v>1398</v>
      </c>
      <c r="C657" s="97">
        <v>46185</v>
      </c>
      <c r="D657" s="42">
        <v>0.625</v>
      </c>
      <c r="E657" s="62"/>
      <c r="F657" s="230" t="s">
        <v>1400</v>
      </c>
      <c r="G657" s="2">
        <v>1</v>
      </c>
      <c r="H657" s="2">
        <v>8</v>
      </c>
      <c r="I657" s="99">
        <v>15000</v>
      </c>
      <c r="J657" s="2" t="s">
        <v>766</v>
      </c>
      <c r="K657" s="56">
        <v>0.8125</v>
      </c>
      <c r="L657" s="89">
        <v>125000</v>
      </c>
      <c r="M657" s="106">
        <v>30</v>
      </c>
      <c r="N657" s="39" t="s">
        <v>48</v>
      </c>
      <c r="O657" s="187" t="s">
        <v>49</v>
      </c>
      <c r="Q657" s="19">
        <v>100</v>
      </c>
      <c r="R657" s="15">
        <f>Q657/I657</f>
        <v>6.6666666666666671E-3</v>
      </c>
      <c r="S657" s="5">
        <f>($AC657*$AD657)/(($Z657/$Y657)+($AA657/$Z657)+($AB657/$AA657))</f>
        <v>77.142857142857139</v>
      </c>
      <c r="V657" s="2" t="s">
        <v>1409</v>
      </c>
      <c r="W657" s="219" t="s">
        <v>1410</v>
      </c>
      <c r="Y657" s="2">
        <v>10</v>
      </c>
      <c r="Z657" s="2">
        <v>20</v>
      </c>
      <c r="AA657" s="2">
        <v>50</v>
      </c>
      <c r="AB657" s="2">
        <v>125</v>
      </c>
      <c r="AC657" s="2">
        <v>18</v>
      </c>
      <c r="AD657" s="2">
        <v>30</v>
      </c>
      <c r="AE657" s="2">
        <f>AC657*AD657</f>
        <v>540</v>
      </c>
      <c r="AF657" s="2">
        <f>Z657/Y657</f>
        <v>2</v>
      </c>
      <c r="AG657" s="2">
        <f>AA657/Z657</f>
        <v>2.5</v>
      </c>
      <c r="AH657" s="2">
        <f>AB657/AA657</f>
        <v>2.5</v>
      </c>
    </row>
    <row r="658" spans="1:34" ht="15" thickBot="1">
      <c r="A658" s="165" t="s">
        <v>1383</v>
      </c>
      <c r="B658" s="72" t="s">
        <v>63</v>
      </c>
      <c r="C658" s="169">
        <v>46185</v>
      </c>
      <c r="D658" s="144">
        <v>0.66666666666666663</v>
      </c>
      <c r="E658" s="170"/>
      <c r="F658" s="8" t="s">
        <v>1024</v>
      </c>
      <c r="G658" s="73">
        <v>1</v>
      </c>
      <c r="H658" s="73">
        <v>9</v>
      </c>
      <c r="I658" s="171">
        <v>400</v>
      </c>
      <c r="J658" s="2" t="s">
        <v>766</v>
      </c>
      <c r="K658" s="88" t="s">
        <v>794</v>
      </c>
      <c r="L658" s="100">
        <v>30000</v>
      </c>
      <c r="M658" s="172">
        <v>20</v>
      </c>
      <c r="N658" s="39" t="s">
        <v>817</v>
      </c>
      <c r="O658" s="39" t="s">
        <v>49</v>
      </c>
      <c r="P658" s="235"/>
      <c r="Q658" s="74">
        <v>70</v>
      </c>
      <c r="R658" s="75">
        <f>Q658/I658</f>
        <v>0.17499999999999999</v>
      </c>
      <c r="S658" s="121">
        <v>37</v>
      </c>
      <c r="T658" s="121"/>
      <c r="U658" s="109" t="s">
        <v>129</v>
      </c>
      <c r="V658" s="80" t="s">
        <v>360</v>
      </c>
      <c r="W658" s="79"/>
      <c r="Y658" s="175"/>
      <c r="Z658" s="175"/>
      <c r="AA658" s="175"/>
      <c r="AB658" s="175"/>
      <c r="AC658" s="175"/>
      <c r="AD658" s="175"/>
      <c r="AE658" s="175"/>
      <c r="AF658" s="175"/>
      <c r="AG658" s="175"/>
      <c r="AH658" s="175"/>
    </row>
    <row r="659" spans="1:34" ht="15" thickBot="1">
      <c r="A659" s="52" t="s">
        <v>229</v>
      </c>
      <c r="B659" s="52" t="s">
        <v>230</v>
      </c>
      <c r="C659" s="61">
        <v>46185</v>
      </c>
      <c r="D659" s="42">
        <v>0.66666666666666663</v>
      </c>
      <c r="E659" s="62"/>
      <c r="F659" s="8" t="s">
        <v>263</v>
      </c>
      <c r="G659" s="2">
        <v>1</v>
      </c>
      <c r="I659" s="127">
        <v>240</v>
      </c>
      <c r="J659" s="2" t="s">
        <v>766</v>
      </c>
      <c r="K659" s="88" t="s">
        <v>795</v>
      </c>
      <c r="L659" s="90">
        <v>30000</v>
      </c>
      <c r="M659" s="124">
        <v>20</v>
      </c>
      <c r="N659" s="39" t="s">
        <v>48</v>
      </c>
      <c r="O659" s="39" t="s">
        <v>869</v>
      </c>
      <c r="P659" s="19">
        <v>10000</v>
      </c>
      <c r="Q659" s="2">
        <v>40</v>
      </c>
      <c r="R659" s="15">
        <f>IF(Q659&gt;0,Q659/I659,"")</f>
        <v>0.16666666666666666</v>
      </c>
      <c r="S659" s="149" t="s">
        <v>110</v>
      </c>
      <c r="T659" s="149"/>
      <c r="U659" s="109" t="s">
        <v>767</v>
      </c>
      <c r="V659" s="205" t="s">
        <v>719</v>
      </c>
      <c r="W659" s="10"/>
      <c r="AE659" s="2">
        <f>AC659*AD659</f>
        <v>0</v>
      </c>
      <c r="AF659" s="2" t="e">
        <f>Z659/Y659</f>
        <v>#DIV/0!</v>
      </c>
      <c r="AG659" s="2" t="e">
        <f>AA659/Z659</f>
        <v>#DIV/0!</v>
      </c>
      <c r="AH659" s="2" t="e">
        <f>AB659/AA659</f>
        <v>#DIV/0!</v>
      </c>
    </row>
    <row r="660" spans="1:34" ht="15" thickBot="1">
      <c r="A660" s="103" t="s">
        <v>539</v>
      </c>
      <c r="B660" s="103" t="s">
        <v>540</v>
      </c>
      <c r="C660" s="60">
        <v>46185</v>
      </c>
      <c r="D660" s="42">
        <v>0.70833333333333337</v>
      </c>
      <c r="E660" s="98">
        <v>37</v>
      </c>
      <c r="F660" s="114" t="s">
        <v>560</v>
      </c>
      <c r="G660" s="2">
        <v>1</v>
      </c>
      <c r="H660" s="2">
        <v>6</v>
      </c>
      <c r="I660" s="127">
        <v>250</v>
      </c>
      <c r="J660" s="179" t="s">
        <v>766</v>
      </c>
      <c r="K660" s="179" t="s">
        <v>602</v>
      </c>
      <c r="L660" s="89">
        <v>25000</v>
      </c>
      <c r="M660" s="106">
        <v>20</v>
      </c>
      <c r="N660" s="39" t="s">
        <v>48</v>
      </c>
      <c r="O660" s="39" t="s">
        <v>860</v>
      </c>
      <c r="P660" s="63">
        <v>10000</v>
      </c>
      <c r="Q660" s="2">
        <v>55</v>
      </c>
      <c r="R660" s="15">
        <f>Q660/I660</f>
        <v>0.22</v>
      </c>
      <c r="S660" s="142"/>
      <c r="U660" s="109" t="s">
        <v>767</v>
      </c>
      <c r="V660" s="71" t="s">
        <v>1395</v>
      </c>
      <c r="W660" s="10"/>
      <c r="AE660" s="2">
        <f>AC660*AD660</f>
        <v>0</v>
      </c>
      <c r="AF660" s="2" t="e">
        <f>Z660/Y660</f>
        <v>#DIV/0!</v>
      </c>
      <c r="AG660" s="2" t="e">
        <f>AA660/Z660</f>
        <v>#DIV/0!</v>
      </c>
      <c r="AH660" s="2" t="e">
        <f>AB660/AA660</f>
        <v>#DIV/0!</v>
      </c>
    </row>
    <row r="661" spans="1:34" ht="15" thickBot="1">
      <c r="A661" s="165" t="s">
        <v>1383</v>
      </c>
      <c r="B661" s="39" t="s">
        <v>63</v>
      </c>
      <c r="C661" s="61">
        <v>46185</v>
      </c>
      <c r="D661" s="144">
        <v>0.75</v>
      </c>
      <c r="E661" s="62"/>
      <c r="F661" s="8" t="s">
        <v>898</v>
      </c>
      <c r="G661" s="2">
        <v>1</v>
      </c>
      <c r="I661" s="127">
        <v>25400</v>
      </c>
      <c r="J661" s="2" t="s">
        <v>766</v>
      </c>
      <c r="K661" s="88" t="s">
        <v>810</v>
      </c>
      <c r="L661" s="90">
        <v>40000</v>
      </c>
      <c r="M661" s="124">
        <v>30</v>
      </c>
      <c r="N661" s="132" t="s">
        <v>821</v>
      </c>
      <c r="O661" s="39" t="s">
        <v>49</v>
      </c>
      <c r="P661" s="210"/>
      <c r="Q661" s="19">
        <v>400</v>
      </c>
      <c r="R661" s="15">
        <f>Q661/I661</f>
        <v>1.5748031496062992E-2</v>
      </c>
      <c r="S661" s="5">
        <v>40</v>
      </c>
      <c r="U661" s="109" t="s">
        <v>767</v>
      </c>
      <c r="V661" s="71" t="s">
        <v>362</v>
      </c>
      <c r="W661" s="194" t="s">
        <v>381</v>
      </c>
      <c r="Y661" s="175"/>
      <c r="Z661" s="175"/>
      <c r="AA661" s="175"/>
      <c r="AB661" s="175"/>
      <c r="AC661" s="175"/>
      <c r="AD661" s="175"/>
      <c r="AE661" s="175"/>
      <c r="AF661" s="175"/>
      <c r="AG661" s="175"/>
      <c r="AH661" s="175"/>
    </row>
    <row r="662" spans="1:34" ht="15" thickBot="1">
      <c r="A662" s="102" t="s">
        <v>475</v>
      </c>
      <c r="B662" s="102" t="s">
        <v>476</v>
      </c>
      <c r="C662" s="61">
        <v>46185</v>
      </c>
      <c r="D662" s="42">
        <v>0.75</v>
      </c>
      <c r="E662" s="98">
        <v>13</v>
      </c>
      <c r="F662" s="197" t="s">
        <v>495</v>
      </c>
      <c r="G662" s="2">
        <v>1</v>
      </c>
      <c r="H662" s="2">
        <v>8</v>
      </c>
      <c r="I662" s="126">
        <v>250</v>
      </c>
      <c r="J662" s="2" t="s">
        <v>766</v>
      </c>
      <c r="K662" s="109" t="s">
        <v>602</v>
      </c>
      <c r="L662" s="105">
        <v>25000</v>
      </c>
      <c r="M662" s="203">
        <v>30</v>
      </c>
      <c r="N662" s="39" t="s">
        <v>48</v>
      </c>
      <c r="O662" s="39" t="s">
        <v>359</v>
      </c>
      <c r="P662" s="63">
        <v>10000</v>
      </c>
      <c r="Q662" s="2">
        <v>45</v>
      </c>
      <c r="R662" s="15">
        <f>Q662/I662</f>
        <v>0.18</v>
      </c>
      <c r="S662" s="149" t="s">
        <v>110</v>
      </c>
      <c r="T662" s="149"/>
      <c r="U662" s="109" t="s">
        <v>767</v>
      </c>
      <c r="V662" s="2" t="s">
        <v>643</v>
      </c>
      <c r="W662" s="10"/>
      <c r="AE662" s="2">
        <f>AC662*AD662</f>
        <v>0</v>
      </c>
      <c r="AF662" s="2" t="e">
        <f>Z662/Y662</f>
        <v>#DIV/0!</v>
      </c>
      <c r="AG662" s="2" t="e">
        <f>AA662/Z662</f>
        <v>#DIV/0!</v>
      </c>
      <c r="AH662" s="2" t="e">
        <f>AB662/AA662</f>
        <v>#DIV/0!</v>
      </c>
    </row>
    <row r="663" spans="1:34" ht="15" thickBot="1">
      <c r="A663" s="52" t="s">
        <v>229</v>
      </c>
      <c r="B663" s="52" t="s">
        <v>230</v>
      </c>
      <c r="C663" s="61">
        <v>46185</v>
      </c>
      <c r="D663" s="42">
        <v>0.75</v>
      </c>
      <c r="E663" s="62"/>
      <c r="F663" s="194" t="s">
        <v>243</v>
      </c>
      <c r="G663" s="2">
        <v>1</v>
      </c>
      <c r="I663" s="127">
        <v>200</v>
      </c>
      <c r="J663" s="2" t="s">
        <v>766</v>
      </c>
      <c r="K663" s="88" t="s">
        <v>809</v>
      </c>
      <c r="L663" s="90">
        <v>30000</v>
      </c>
      <c r="M663" s="164" t="s">
        <v>128</v>
      </c>
      <c r="N663" s="39" t="s">
        <v>48</v>
      </c>
      <c r="O663" s="39" t="s">
        <v>49</v>
      </c>
      <c r="P663" s="134" t="s">
        <v>835</v>
      </c>
      <c r="Q663" s="19">
        <v>40</v>
      </c>
      <c r="R663" s="15">
        <f>IF(Q663&gt;0,Q663/I663,"")</f>
        <v>0.2</v>
      </c>
      <c r="S663" s="5">
        <f>($AC663*$AD663)/(($Z663/$Y663)+($AA663/$Z663)+($AB663/$AA663))</f>
        <v>48.598130841121502</v>
      </c>
      <c r="U663" s="109" t="s">
        <v>767</v>
      </c>
      <c r="V663" s="205" t="s">
        <v>719</v>
      </c>
      <c r="W663" s="10"/>
      <c r="Y663" s="2">
        <v>2</v>
      </c>
      <c r="Z663" s="2">
        <v>5</v>
      </c>
      <c r="AA663" s="2">
        <v>13</v>
      </c>
      <c r="AB663" s="2">
        <v>30</v>
      </c>
      <c r="AC663" s="2">
        <v>18</v>
      </c>
      <c r="AD663" s="2">
        <v>20</v>
      </c>
      <c r="AE663" s="2">
        <f>AC663*AD663</f>
        <v>360</v>
      </c>
      <c r="AF663" s="2">
        <f>Z663/Y663</f>
        <v>2.5</v>
      </c>
      <c r="AG663" s="2">
        <f>AA663/Z663</f>
        <v>2.6</v>
      </c>
      <c r="AH663" s="2">
        <f>AB663/AA663</f>
        <v>2.3076923076923075</v>
      </c>
    </row>
    <row r="664" spans="1:34" ht="15" thickBot="1">
      <c r="A664" s="52" t="s">
        <v>220</v>
      </c>
      <c r="B664" s="52" t="s">
        <v>221</v>
      </c>
      <c r="C664" s="60">
        <v>46185</v>
      </c>
      <c r="D664" s="42">
        <v>0.75</v>
      </c>
      <c r="E664" s="62"/>
      <c r="F664" s="194" t="s">
        <v>1087</v>
      </c>
      <c r="G664" s="2">
        <v>1</v>
      </c>
      <c r="H664" s="2">
        <v>9</v>
      </c>
      <c r="I664" s="127">
        <v>500</v>
      </c>
      <c r="J664" s="2" t="s">
        <v>766</v>
      </c>
      <c r="K664" s="88" t="s">
        <v>799</v>
      </c>
      <c r="L664" s="90">
        <v>20000</v>
      </c>
      <c r="M664" s="124">
        <v>20</v>
      </c>
      <c r="N664" s="39" t="s">
        <v>61</v>
      </c>
      <c r="O664" s="39" t="s">
        <v>49</v>
      </c>
      <c r="P664" s="131" t="s">
        <v>225</v>
      </c>
      <c r="Q664" s="19">
        <v>77</v>
      </c>
      <c r="R664" s="15">
        <f>Q664/I664</f>
        <v>0.154</v>
      </c>
      <c r="S664" s="5">
        <f>($AC664*$AD664)/(($Z664/$Y664)+($AA664/$Z664)+($AB664/$AA664))</f>
        <v>31.111111111111111</v>
      </c>
      <c r="U664" s="109" t="s">
        <v>767</v>
      </c>
      <c r="V664" s="205" t="s">
        <v>738</v>
      </c>
      <c r="W664" s="10"/>
      <c r="X664" s="70"/>
      <c r="Y664" s="2">
        <v>2</v>
      </c>
      <c r="Z664" s="2">
        <v>5</v>
      </c>
      <c r="AA664" s="2">
        <v>20</v>
      </c>
      <c r="AB664" s="2">
        <v>50</v>
      </c>
      <c r="AC664" s="2">
        <v>14</v>
      </c>
      <c r="AD664" s="2">
        <v>20</v>
      </c>
      <c r="AE664" s="2">
        <f>AC664*AD664</f>
        <v>280</v>
      </c>
      <c r="AF664" s="2">
        <f>Z664/Y664</f>
        <v>2.5</v>
      </c>
      <c r="AG664" s="2">
        <f>AA664/Z664</f>
        <v>4</v>
      </c>
      <c r="AH664" s="2">
        <f>AB664/AA664</f>
        <v>2.5</v>
      </c>
    </row>
    <row r="665" spans="1:34" ht="17.25" customHeight="1" thickBot="1">
      <c r="A665" s="52" t="s">
        <v>220</v>
      </c>
      <c r="B665" s="52" t="s">
        <v>221</v>
      </c>
      <c r="C665" s="60">
        <v>46185</v>
      </c>
      <c r="D665" s="42">
        <v>0.75</v>
      </c>
      <c r="E665" s="62"/>
      <c r="F665" s="194" t="s">
        <v>1063</v>
      </c>
      <c r="G665" s="2">
        <v>1</v>
      </c>
      <c r="H665" s="2">
        <v>8</v>
      </c>
      <c r="I665" s="127">
        <v>1100</v>
      </c>
      <c r="J665" s="2" t="s">
        <v>766</v>
      </c>
      <c r="K665" s="88" t="s">
        <v>799</v>
      </c>
      <c r="L665" s="90">
        <v>30000</v>
      </c>
      <c r="M665" s="208">
        <v>20</v>
      </c>
      <c r="N665" s="39" t="s">
        <v>48</v>
      </c>
      <c r="O665" s="39" t="s">
        <v>57</v>
      </c>
      <c r="P665" s="63">
        <v>100000</v>
      </c>
      <c r="Q665" s="2">
        <v>125</v>
      </c>
      <c r="R665" s="15">
        <f>Q665/I665</f>
        <v>0.11363636363636363</v>
      </c>
      <c r="S665" s="149" t="s">
        <v>110</v>
      </c>
      <c r="T665" s="149"/>
      <c r="U665" s="109" t="s">
        <v>129</v>
      </c>
      <c r="V665" s="2" t="s">
        <v>738</v>
      </c>
      <c r="W665" s="10"/>
      <c r="Y665" s="70"/>
      <c r="Z665" s="70"/>
      <c r="AA665" s="70"/>
      <c r="AB665" s="70"/>
      <c r="AC665" s="70"/>
      <c r="AD665" s="70"/>
      <c r="AE665" s="2">
        <f>AC665*AD665</f>
        <v>0</v>
      </c>
      <c r="AF665" s="2" t="e">
        <f>Z665/Y665</f>
        <v>#DIV/0!</v>
      </c>
      <c r="AG665" s="2" t="e">
        <f>AA665/Z665</f>
        <v>#DIV/0!</v>
      </c>
      <c r="AH665" s="2" t="e">
        <f>AB665/AA665</f>
        <v>#DIV/0!</v>
      </c>
    </row>
    <row r="666" spans="1:34" ht="15" thickBot="1">
      <c r="A666" s="96" t="s">
        <v>461</v>
      </c>
      <c r="B666" s="96" t="s">
        <v>462</v>
      </c>
      <c r="C666" s="97">
        <v>46185</v>
      </c>
      <c r="D666" s="42">
        <v>0.75694444444444442</v>
      </c>
      <c r="E666" s="62"/>
      <c r="F666" s="194" t="s">
        <v>458</v>
      </c>
      <c r="G666" s="2">
        <v>1</v>
      </c>
      <c r="I666" s="127">
        <v>200</v>
      </c>
      <c r="J666" s="2" t="s">
        <v>766</v>
      </c>
      <c r="K666" s="109" t="s">
        <v>602</v>
      </c>
      <c r="L666" s="8">
        <v>30000</v>
      </c>
      <c r="M666" s="106">
        <v>20</v>
      </c>
      <c r="N666" s="39" t="s">
        <v>48</v>
      </c>
      <c r="O666" s="39" t="s">
        <v>49</v>
      </c>
      <c r="P666" s="212" t="s">
        <v>833</v>
      </c>
      <c r="Q666" s="19">
        <v>40</v>
      </c>
      <c r="R666" s="15">
        <f>Q666/I666</f>
        <v>0.2</v>
      </c>
      <c r="S666" s="5">
        <f>($AC666*$AD666)/(($Z666/$Y666)+($AA666/$Z666)+($AB666/$AA666))</f>
        <v>41.632653061224495</v>
      </c>
      <c r="U666" s="109" t="s">
        <v>767</v>
      </c>
      <c r="V666" s="205" t="s">
        <v>735</v>
      </c>
      <c r="W666" s="10"/>
      <c r="Y666" s="2">
        <v>2</v>
      </c>
      <c r="Z666" s="2">
        <v>5</v>
      </c>
      <c r="AA666" s="2">
        <v>15</v>
      </c>
      <c r="AB666" s="2">
        <v>40</v>
      </c>
      <c r="AC666" s="2">
        <v>17</v>
      </c>
      <c r="AD666" s="2">
        <v>20</v>
      </c>
      <c r="AE666" s="2">
        <f>AC666*AD666</f>
        <v>340</v>
      </c>
      <c r="AF666" s="2">
        <f>Z666/Y666</f>
        <v>2.5</v>
      </c>
      <c r="AG666" s="2">
        <f>AA666/Z666</f>
        <v>3</v>
      </c>
      <c r="AH666" s="2">
        <f>AB666/AA666</f>
        <v>2.6666666666666665</v>
      </c>
    </row>
    <row r="667" spans="1:34" ht="15" thickBot="1">
      <c r="A667" s="68" t="s">
        <v>357</v>
      </c>
      <c r="B667" s="68" t="s">
        <v>358</v>
      </c>
      <c r="C667" s="60">
        <v>46185</v>
      </c>
      <c r="D667" s="42">
        <v>0.75694444444444442</v>
      </c>
      <c r="E667" s="98">
        <v>46</v>
      </c>
      <c r="F667" s="197" t="s">
        <v>290</v>
      </c>
      <c r="G667" s="2">
        <v>1</v>
      </c>
      <c r="H667" s="2">
        <v>9</v>
      </c>
      <c r="I667" s="127">
        <v>600</v>
      </c>
      <c r="J667" s="2" t="s">
        <v>766</v>
      </c>
      <c r="K667" s="137" t="s">
        <v>602</v>
      </c>
      <c r="L667" s="89">
        <v>25000</v>
      </c>
      <c r="M667" s="106">
        <v>30</v>
      </c>
      <c r="N667" s="39" t="s">
        <v>48</v>
      </c>
      <c r="O667" s="39" t="s">
        <v>49</v>
      </c>
      <c r="P667" s="212" t="s">
        <v>836</v>
      </c>
      <c r="Q667" s="19">
        <v>80</v>
      </c>
      <c r="R667" s="15">
        <f>Q667/I667</f>
        <v>0.13333333333333333</v>
      </c>
      <c r="S667" s="5">
        <f>($AC667*$AD667)/(($Z667/$Y667)+($AA667/$Z667)+($AB667/$AA667))</f>
        <v>55.03292568203198</v>
      </c>
      <c r="U667" s="109" t="s">
        <v>219</v>
      </c>
      <c r="V667" s="205" t="s">
        <v>662</v>
      </c>
      <c r="W667" s="86" t="s">
        <v>389</v>
      </c>
      <c r="Y667" s="2">
        <v>2.5</v>
      </c>
      <c r="Z667" s="2">
        <v>6.5</v>
      </c>
      <c r="AA667" s="2">
        <v>20</v>
      </c>
      <c r="AB667" s="2">
        <v>50</v>
      </c>
      <c r="AC667" s="2">
        <v>30</v>
      </c>
      <c r="AD667" s="2">
        <v>15</v>
      </c>
      <c r="AE667" s="2">
        <f>AC667*AD667</f>
        <v>450</v>
      </c>
      <c r="AF667" s="2">
        <f>Z667/Y667</f>
        <v>2.6</v>
      </c>
      <c r="AG667" s="2">
        <f>AA667/Z667</f>
        <v>3.0769230769230771</v>
      </c>
      <c r="AH667" s="2">
        <f>AB667/AA667</f>
        <v>2.5</v>
      </c>
    </row>
    <row r="668" spans="1:34" ht="15" thickBot="1">
      <c r="A668" s="95" t="s">
        <v>447</v>
      </c>
      <c r="B668" s="95" t="s">
        <v>448</v>
      </c>
      <c r="C668" s="61">
        <v>46185</v>
      </c>
      <c r="D668" s="42">
        <v>0.79166666666666663</v>
      </c>
      <c r="E668" s="62"/>
      <c r="F668" s="8" t="s">
        <v>403</v>
      </c>
      <c r="G668" s="2">
        <v>1</v>
      </c>
      <c r="H668" s="2">
        <v>9</v>
      </c>
      <c r="I668" s="127">
        <v>300</v>
      </c>
      <c r="J668" s="2" t="s">
        <v>766</v>
      </c>
      <c r="K668" s="109" t="s">
        <v>602</v>
      </c>
      <c r="L668" s="8">
        <v>25000</v>
      </c>
      <c r="M668" s="124">
        <v>25</v>
      </c>
      <c r="N668" s="39" t="s">
        <v>48</v>
      </c>
      <c r="O668" s="39" t="s">
        <v>49</v>
      </c>
      <c r="P668" s="212" t="s">
        <v>834</v>
      </c>
      <c r="Q668" s="19">
        <v>50</v>
      </c>
      <c r="R668" s="15">
        <f>Q668/I668</f>
        <v>0.16666666666666666</v>
      </c>
      <c r="S668" s="5">
        <f>($AC668*$AD668)/(($Z668/$Y668)+($AA668/$Z668)+($AB668/$AA668))</f>
        <v>37.5</v>
      </c>
      <c r="U668" s="109" t="s">
        <v>767</v>
      </c>
      <c r="V668" s="2" t="s">
        <v>741</v>
      </c>
      <c r="W668" s="10"/>
      <c r="Y668" s="2">
        <v>2.5</v>
      </c>
      <c r="Z668" s="2">
        <v>7.5</v>
      </c>
      <c r="AA668" s="2">
        <v>25</v>
      </c>
      <c r="AB668" s="2">
        <v>75</v>
      </c>
      <c r="AC668" s="2">
        <v>14</v>
      </c>
      <c r="AD668" s="2">
        <v>25</v>
      </c>
      <c r="AE668" s="2">
        <f>AC668*AD668</f>
        <v>350</v>
      </c>
      <c r="AF668" s="2">
        <f>Z668/Y668</f>
        <v>3</v>
      </c>
      <c r="AG668" s="2">
        <f>AA668/Z668</f>
        <v>3.3333333333333335</v>
      </c>
      <c r="AH668" s="2">
        <f>AB668/AA668</f>
        <v>3</v>
      </c>
    </row>
    <row r="669" spans="1:34" ht="15" thickBot="1">
      <c r="A669" s="165" t="s">
        <v>1383</v>
      </c>
      <c r="B669" s="39" t="s">
        <v>63</v>
      </c>
      <c r="C669" s="97">
        <v>46185</v>
      </c>
      <c r="D669" s="144">
        <v>0.79166666666666663</v>
      </c>
      <c r="E669" s="62"/>
      <c r="F669" s="8" t="s">
        <v>886</v>
      </c>
      <c r="G669" s="2">
        <v>1</v>
      </c>
      <c r="I669" s="99">
        <v>1100</v>
      </c>
      <c r="J669" s="2" t="s">
        <v>766</v>
      </c>
      <c r="K669" s="88" t="s">
        <v>809</v>
      </c>
      <c r="L669" s="89">
        <v>15000</v>
      </c>
      <c r="M669" s="233">
        <v>30</v>
      </c>
      <c r="N669" s="132" t="s">
        <v>821</v>
      </c>
      <c r="O669" s="39" t="s">
        <v>373</v>
      </c>
      <c r="P669" s="213"/>
      <c r="Q669" s="2">
        <f>88+37</f>
        <v>125</v>
      </c>
      <c r="R669" s="15">
        <f>Q669/I669</f>
        <v>0.11363636363636363</v>
      </c>
      <c r="S669" s="149" t="s">
        <v>110</v>
      </c>
      <c r="T669" s="149"/>
      <c r="U669" s="109" t="s">
        <v>767</v>
      </c>
      <c r="V669" s="71" t="s">
        <v>362</v>
      </c>
      <c r="W669" s="194" t="s">
        <v>370</v>
      </c>
      <c r="AE669" s="2" t="e">
        <f>AD669*#REF!</f>
        <v>#REF!</v>
      </c>
      <c r="AF669" s="2" t="e">
        <f>Z669/Y669</f>
        <v>#DIV/0!</v>
      </c>
      <c r="AG669" s="2" t="e">
        <f>AA669/Z669</f>
        <v>#DIV/0!</v>
      </c>
      <c r="AH669" s="2" t="e">
        <f>AC669/AA669</f>
        <v>#DIV/0!</v>
      </c>
    </row>
    <row r="670" spans="1:34">
      <c r="A670" s="165" t="s">
        <v>1383</v>
      </c>
      <c r="B670" s="72" t="s">
        <v>63</v>
      </c>
      <c r="C670" s="77">
        <v>46185</v>
      </c>
      <c r="D670" s="144">
        <v>0.83333333333333337</v>
      </c>
      <c r="E670" s="138"/>
      <c r="F670" s="8" t="s">
        <v>1023</v>
      </c>
      <c r="G670" s="73">
        <v>1</v>
      </c>
      <c r="H670" s="73">
        <v>9</v>
      </c>
      <c r="I670" s="78">
        <v>200</v>
      </c>
      <c r="J670" s="2" t="s">
        <v>766</v>
      </c>
      <c r="K670" s="88" t="s">
        <v>806</v>
      </c>
      <c r="L670" s="154">
        <v>20000</v>
      </c>
      <c r="M670" s="79">
        <v>20</v>
      </c>
      <c r="N670" s="39" t="s">
        <v>817</v>
      </c>
      <c r="O670" s="39" t="s">
        <v>49</v>
      </c>
      <c r="P670" s="235"/>
      <c r="Q670" s="74">
        <v>45</v>
      </c>
      <c r="R670" s="75">
        <f>Q670/I670</f>
        <v>0.22500000000000001</v>
      </c>
      <c r="S670" s="121">
        <v>23</v>
      </c>
      <c r="T670" s="121"/>
      <c r="U670" s="109" t="s">
        <v>129</v>
      </c>
      <c r="V670" s="80" t="s">
        <v>360</v>
      </c>
      <c r="W670" s="217"/>
      <c r="Y670" s="175"/>
      <c r="Z670" s="175"/>
      <c r="AA670" s="175"/>
      <c r="AB670" s="175"/>
      <c r="AC670" s="175"/>
      <c r="AD670" s="175"/>
      <c r="AE670" s="175"/>
      <c r="AF670" s="175"/>
      <c r="AG670" s="175"/>
      <c r="AH670" s="175"/>
    </row>
    <row r="671" spans="1:34">
      <c r="A671" s="103" t="s">
        <v>539</v>
      </c>
      <c r="B671" s="103" t="s">
        <v>540</v>
      </c>
      <c r="C671" s="191">
        <v>46185</v>
      </c>
      <c r="D671" s="42">
        <v>0.875</v>
      </c>
      <c r="E671" s="8">
        <v>38</v>
      </c>
      <c r="F671" s="63" t="s">
        <v>544</v>
      </c>
      <c r="G671" s="2">
        <v>1</v>
      </c>
      <c r="H671" s="2">
        <v>9</v>
      </c>
      <c r="I671" s="126">
        <v>150</v>
      </c>
      <c r="J671" s="179" t="s">
        <v>766</v>
      </c>
      <c r="K671" s="179" t="s">
        <v>602</v>
      </c>
      <c r="L671" s="89">
        <v>30000</v>
      </c>
      <c r="M671" s="69">
        <v>15</v>
      </c>
      <c r="N671" s="39" t="s">
        <v>48</v>
      </c>
      <c r="O671" s="39" t="s">
        <v>49</v>
      </c>
      <c r="P671" s="135" t="s">
        <v>828</v>
      </c>
      <c r="Q671" s="19">
        <v>46</v>
      </c>
      <c r="R671" s="15">
        <f>Q671/I671</f>
        <v>0.30666666666666664</v>
      </c>
      <c r="S671" s="5">
        <f>($AC671*$AD671)/(($Z671/$Y671)+($AA671/$Z671)+($AB671/$AA671))</f>
        <v>19.534883720930232</v>
      </c>
      <c r="U671" s="109" t="s">
        <v>129</v>
      </c>
      <c r="V671" s="71" t="s">
        <v>1395</v>
      </c>
      <c r="W671" s="182" t="s">
        <v>1389</v>
      </c>
      <c r="Y671" s="2">
        <v>4</v>
      </c>
      <c r="Z671" s="2">
        <v>8</v>
      </c>
      <c r="AA671" s="2">
        <v>30</v>
      </c>
      <c r="AB671" s="2">
        <v>150</v>
      </c>
      <c r="AC671" s="2">
        <v>14</v>
      </c>
      <c r="AD671" s="2">
        <v>15</v>
      </c>
      <c r="AE671" s="2">
        <f>AC671*AD671</f>
        <v>210</v>
      </c>
      <c r="AF671" s="2">
        <f>Z671/Y671</f>
        <v>2</v>
      </c>
      <c r="AG671" s="2">
        <f>AA671/Z671</f>
        <v>3.75</v>
      </c>
      <c r="AH671" s="2">
        <f>AB671/AA671</f>
        <v>5</v>
      </c>
    </row>
    <row r="672" spans="1:34">
      <c r="A672" s="102" t="s">
        <v>475</v>
      </c>
      <c r="B672" s="102" t="s">
        <v>476</v>
      </c>
      <c r="C672" s="41">
        <v>46185</v>
      </c>
      <c r="D672" s="42">
        <v>0.88194444444444442</v>
      </c>
      <c r="E672" s="193"/>
      <c r="F672" s="8" t="s">
        <v>483</v>
      </c>
      <c r="G672" s="2">
        <v>1</v>
      </c>
      <c r="H672" s="2">
        <v>9</v>
      </c>
      <c r="I672" s="126">
        <v>160</v>
      </c>
      <c r="J672" s="2" t="s">
        <v>766</v>
      </c>
      <c r="K672" s="109" t="s">
        <v>603</v>
      </c>
      <c r="L672" s="105">
        <v>20000</v>
      </c>
      <c r="M672" s="203">
        <v>20</v>
      </c>
      <c r="N672" s="39" t="s">
        <v>48</v>
      </c>
      <c r="O672" s="39" t="s">
        <v>49</v>
      </c>
      <c r="P672" s="135" t="s">
        <v>828</v>
      </c>
      <c r="Q672" s="19">
        <v>30</v>
      </c>
      <c r="R672" s="15">
        <f>Q672/I672</f>
        <v>0.1875</v>
      </c>
      <c r="S672" s="5">
        <f>($AC672*$AD672)/(($Z672/$Y672)+($AA672/$Z672)+($AB672/$AA672))</f>
        <v>20</v>
      </c>
      <c r="U672" s="109" t="s">
        <v>767</v>
      </c>
      <c r="V672" s="71" t="s">
        <v>595</v>
      </c>
      <c r="W672" s="241" t="s">
        <v>604</v>
      </c>
      <c r="Y672" s="2">
        <v>2</v>
      </c>
      <c r="Z672" s="2">
        <v>5</v>
      </c>
      <c r="AA672" s="2">
        <v>40</v>
      </c>
      <c r="AB672" s="2">
        <v>100</v>
      </c>
      <c r="AC672" s="2">
        <v>20</v>
      </c>
      <c r="AD672" s="2">
        <v>13</v>
      </c>
      <c r="AE672" s="2">
        <f>AC672*AD672</f>
        <v>260</v>
      </c>
      <c r="AF672" s="2">
        <f>Z672/Y672</f>
        <v>2.5</v>
      </c>
      <c r="AG672" s="2">
        <f>AA672/Z672</f>
        <v>8</v>
      </c>
      <c r="AH672" s="2">
        <f>AB672/AA672</f>
        <v>2.5</v>
      </c>
    </row>
    <row r="673" spans="1:34">
      <c r="A673" s="165" t="s">
        <v>1383</v>
      </c>
      <c r="B673" s="39" t="s">
        <v>63</v>
      </c>
      <c r="C673" s="41">
        <v>46185</v>
      </c>
      <c r="D673" s="144">
        <v>0.91666666666666663</v>
      </c>
      <c r="F673" s="194" t="s">
        <v>909</v>
      </c>
      <c r="G673" s="2">
        <v>1</v>
      </c>
      <c r="H673" s="2">
        <v>9</v>
      </c>
      <c r="I673" s="45">
        <v>135</v>
      </c>
      <c r="J673" s="2" t="s">
        <v>766</v>
      </c>
      <c r="K673" s="88" t="s">
        <v>813</v>
      </c>
      <c r="L673" s="92">
        <v>10000</v>
      </c>
      <c r="M673" s="69">
        <v>15</v>
      </c>
      <c r="N673" s="132" t="s">
        <v>821</v>
      </c>
      <c r="O673" s="39" t="s">
        <v>49</v>
      </c>
      <c r="P673" s="210"/>
      <c r="Q673" s="19">
        <v>35</v>
      </c>
      <c r="R673" s="15">
        <f>Q673/I673</f>
        <v>0.25925925925925924</v>
      </c>
      <c r="S673" s="5">
        <v>22</v>
      </c>
      <c r="U673" s="109" t="s">
        <v>767</v>
      </c>
      <c r="V673" s="71" t="s">
        <v>362</v>
      </c>
      <c r="W673" s="8" t="s">
        <v>369</v>
      </c>
      <c r="Y673" s="175"/>
      <c r="Z673" s="175"/>
      <c r="AA673" s="175"/>
      <c r="AB673" s="175"/>
      <c r="AC673" s="175"/>
      <c r="AD673" s="175"/>
      <c r="AE673" s="175"/>
      <c r="AF673" s="175"/>
      <c r="AG673" s="175"/>
      <c r="AH673" s="175"/>
    </row>
    <row r="674" spans="1:34">
      <c r="A674" s="96" t="s">
        <v>461</v>
      </c>
      <c r="B674" s="96" t="s">
        <v>462</v>
      </c>
      <c r="C674" s="41">
        <v>46185</v>
      </c>
      <c r="D674" s="42">
        <v>0.92361111111111116</v>
      </c>
      <c r="F674" s="194" t="s">
        <v>456</v>
      </c>
      <c r="G674" s="2">
        <v>1</v>
      </c>
      <c r="I674" s="126">
        <v>120</v>
      </c>
      <c r="J674" s="2" t="s">
        <v>766</v>
      </c>
      <c r="K674" s="109" t="s">
        <v>737</v>
      </c>
      <c r="L674" s="194">
        <v>20000</v>
      </c>
      <c r="M674" s="69">
        <v>15</v>
      </c>
      <c r="N674" s="39" t="s">
        <v>48</v>
      </c>
      <c r="O674" s="39" t="s">
        <v>49</v>
      </c>
      <c r="P674" s="135" t="s">
        <v>827</v>
      </c>
      <c r="Q674" s="19">
        <v>24</v>
      </c>
      <c r="R674" s="15">
        <f>Q674/I674</f>
        <v>0.2</v>
      </c>
      <c r="S674" s="5">
        <f>($AC674*$AD674)/(($Z674/$Y674)+($AA674/$Z674)+($AB674/$AA674))</f>
        <v>25.161290322580644</v>
      </c>
      <c r="U674" s="109" t="s">
        <v>463</v>
      </c>
      <c r="V674" s="2" t="s">
        <v>735</v>
      </c>
      <c r="W674" s="2" t="s">
        <v>464</v>
      </c>
      <c r="Y674" s="2">
        <v>2.5</v>
      </c>
      <c r="Z674" s="2">
        <v>7.5</v>
      </c>
      <c r="AA674" s="2">
        <v>30</v>
      </c>
      <c r="AB674" s="2">
        <v>100</v>
      </c>
      <c r="AC674" s="2">
        <v>13</v>
      </c>
      <c r="AD674" s="2">
        <v>20</v>
      </c>
      <c r="AE674" s="2">
        <f>AC674*AD674</f>
        <v>260</v>
      </c>
      <c r="AF674" s="2">
        <f>Z674/Y674</f>
        <v>3</v>
      </c>
      <c r="AG674" s="2">
        <f>AA674/Z674</f>
        <v>4</v>
      </c>
      <c r="AH674" s="2">
        <f>AB674/AA674</f>
        <v>3.3333333333333335</v>
      </c>
    </row>
    <row r="675" spans="1:34">
      <c r="A675" s="165" t="s">
        <v>1383</v>
      </c>
      <c r="B675" s="36" t="s">
        <v>63</v>
      </c>
      <c r="C675" s="41">
        <v>46185</v>
      </c>
      <c r="D675" s="144" t="s">
        <v>117</v>
      </c>
      <c r="E675" s="14">
        <v>34</v>
      </c>
      <c r="F675" s="194" t="s">
        <v>959</v>
      </c>
      <c r="G675" s="2">
        <v>4</v>
      </c>
      <c r="H675" s="2">
        <v>9</v>
      </c>
      <c r="I675" s="45">
        <v>500</v>
      </c>
      <c r="J675" s="2" t="s">
        <v>761</v>
      </c>
      <c r="K675" s="109" t="s">
        <v>601</v>
      </c>
      <c r="L675" s="89">
        <v>50000</v>
      </c>
      <c r="M675" s="69">
        <v>40</v>
      </c>
      <c r="N675" s="39" t="s">
        <v>48</v>
      </c>
      <c r="O675" s="39" t="s">
        <v>49</v>
      </c>
      <c r="P675" s="210"/>
      <c r="Q675" s="19">
        <f>R675*I675</f>
        <v>0</v>
      </c>
      <c r="R675" s="15">
        <v>0</v>
      </c>
      <c r="S675" s="5">
        <f>($AC675*$AD675)/(($Z675/$Y675)+($AA675/$Z675)+($AB675/$AA675))</f>
        <v>107.99584631360334</v>
      </c>
      <c r="U675" s="109" t="s">
        <v>767</v>
      </c>
      <c r="V675" s="2" t="s">
        <v>121</v>
      </c>
      <c r="W675" s="10"/>
      <c r="Y675" s="2">
        <v>2</v>
      </c>
      <c r="Z675" s="2">
        <v>5</v>
      </c>
      <c r="AA675" s="2">
        <v>13</v>
      </c>
      <c r="AB675" s="2">
        <v>30</v>
      </c>
      <c r="AC675" s="2">
        <v>20</v>
      </c>
      <c r="AD675" s="2">
        <v>40</v>
      </c>
      <c r="AE675" s="2">
        <f>AC675*AD675</f>
        <v>800</v>
      </c>
      <c r="AF675" s="2">
        <f>Z675/Y675</f>
        <v>2.5</v>
      </c>
      <c r="AG675" s="2">
        <f>AA675/Z675</f>
        <v>2.6</v>
      </c>
      <c r="AH675" s="2">
        <f>AB675/AA675</f>
        <v>2.3076923076923075</v>
      </c>
    </row>
    <row r="676" spans="1:34">
      <c r="A676" s="165" t="s">
        <v>1383</v>
      </c>
      <c r="B676" s="36" t="s">
        <v>63</v>
      </c>
      <c r="C676" s="41">
        <v>46185</v>
      </c>
      <c r="D676" s="144" t="s">
        <v>115</v>
      </c>
      <c r="E676" s="14">
        <v>35</v>
      </c>
      <c r="F676" s="194" t="s">
        <v>1135</v>
      </c>
      <c r="G676" s="2">
        <v>3</v>
      </c>
      <c r="H676" s="2">
        <v>9</v>
      </c>
      <c r="I676" s="45">
        <v>1500</v>
      </c>
      <c r="J676" s="2" t="s">
        <v>763</v>
      </c>
      <c r="K676" s="109" t="s">
        <v>598</v>
      </c>
      <c r="L676" s="92">
        <v>25000</v>
      </c>
      <c r="M676" s="69" t="s">
        <v>97</v>
      </c>
      <c r="N676" s="39" t="s">
        <v>48</v>
      </c>
      <c r="O676" s="39" t="s">
        <v>57</v>
      </c>
      <c r="P676" s="213"/>
      <c r="Q676" s="38">
        <f>R676*I676</f>
        <v>172.5</v>
      </c>
      <c r="R676" s="15">
        <v>0.115</v>
      </c>
      <c r="S676" s="149" t="s">
        <v>110</v>
      </c>
      <c r="T676" s="149"/>
      <c r="U676" s="109" t="s">
        <v>767</v>
      </c>
      <c r="V676" s="2" t="s">
        <v>121</v>
      </c>
      <c r="W676" s="205"/>
      <c r="AE676" s="2" t="e">
        <f>AD676*#REF!</f>
        <v>#REF!</v>
      </c>
      <c r="AF676" s="2" t="e">
        <f>Z676/Y676</f>
        <v>#DIV/0!</v>
      </c>
      <c r="AG676" s="2" t="e">
        <f>AA676/Z676</f>
        <v>#DIV/0!</v>
      </c>
      <c r="AH676" s="2" t="e">
        <f>AC676/AA676</f>
        <v>#DIV/0!</v>
      </c>
    </row>
    <row r="677" spans="1:34">
      <c r="A677" s="165" t="s">
        <v>1383</v>
      </c>
      <c r="B677" s="36" t="s">
        <v>63</v>
      </c>
      <c r="C677" s="41">
        <v>46185</v>
      </c>
      <c r="D677" s="144" t="s">
        <v>115</v>
      </c>
      <c r="E677" s="8">
        <v>39</v>
      </c>
      <c r="F677" s="194" t="s">
        <v>964</v>
      </c>
      <c r="G677" s="2">
        <v>4</v>
      </c>
      <c r="H677" s="2">
        <v>8</v>
      </c>
      <c r="I677" s="45">
        <v>5000</v>
      </c>
      <c r="J677" s="2" t="s">
        <v>760</v>
      </c>
      <c r="K677" s="109" t="s">
        <v>601</v>
      </c>
      <c r="L677" s="89">
        <v>50000</v>
      </c>
      <c r="M677" s="69">
        <v>60</v>
      </c>
      <c r="N677" s="39" t="s">
        <v>48</v>
      </c>
      <c r="O677" s="39" t="s">
        <v>49</v>
      </c>
      <c r="P677" s="130"/>
      <c r="Q677" s="19">
        <f>R677*I677</f>
        <v>400</v>
      </c>
      <c r="R677" s="15">
        <v>0.08</v>
      </c>
      <c r="S677" s="5">
        <f>($AC677*$AD677)/(($Z677/$Y677)+($AA677/$Z677)+($AB677/$AA677))</f>
        <v>161.993769470405</v>
      </c>
      <c r="U677" s="109" t="s">
        <v>54</v>
      </c>
      <c r="V677" s="71" t="s">
        <v>121</v>
      </c>
      <c r="W677" s="10"/>
      <c r="Y677" s="2">
        <v>2</v>
      </c>
      <c r="Z677" s="2">
        <v>5</v>
      </c>
      <c r="AA677" s="2">
        <v>13</v>
      </c>
      <c r="AB677" s="2">
        <v>30</v>
      </c>
      <c r="AC677" s="2">
        <v>20</v>
      </c>
      <c r="AD677" s="2">
        <v>60</v>
      </c>
      <c r="AE677" s="2">
        <f>AC677*AD677</f>
        <v>1200</v>
      </c>
      <c r="AF677" s="2">
        <f>Z677/Y677</f>
        <v>2.5</v>
      </c>
      <c r="AG677" s="2">
        <f>AA677/Z677</f>
        <v>2.6</v>
      </c>
      <c r="AH677" s="2">
        <f>AB677/AA677</f>
        <v>2.3076923076923075</v>
      </c>
    </row>
    <row r="678" spans="1:34">
      <c r="A678" s="165" t="s">
        <v>1383</v>
      </c>
      <c r="B678" s="36" t="s">
        <v>63</v>
      </c>
      <c r="C678" s="41">
        <v>46185</v>
      </c>
      <c r="D678" s="144" t="s">
        <v>116</v>
      </c>
      <c r="E678" s="8">
        <v>33</v>
      </c>
      <c r="F678" s="194" t="s">
        <v>1152</v>
      </c>
      <c r="G678" s="2">
        <v>4</v>
      </c>
      <c r="H678" s="2">
        <v>9</v>
      </c>
      <c r="I678" s="45">
        <v>10000</v>
      </c>
      <c r="J678" s="2" t="s">
        <v>762</v>
      </c>
      <c r="K678" s="109" t="s">
        <v>601</v>
      </c>
      <c r="L678" s="92">
        <v>60000</v>
      </c>
      <c r="M678" s="69">
        <v>60</v>
      </c>
      <c r="N678" s="39" t="s">
        <v>48</v>
      </c>
      <c r="O678" s="39" t="s">
        <v>359</v>
      </c>
      <c r="P678" s="66"/>
      <c r="Q678" s="38">
        <f>R678*I678</f>
        <v>700.00000000000011</v>
      </c>
      <c r="R678" s="15">
        <v>7.0000000000000007E-2</v>
      </c>
      <c r="S678" s="149" t="s">
        <v>110</v>
      </c>
      <c r="T678" s="149"/>
      <c r="U678" s="109" t="s">
        <v>767</v>
      </c>
      <c r="V678" s="10" t="s">
        <v>121</v>
      </c>
      <c r="W678" s="205"/>
      <c r="Y678" s="85"/>
      <c r="Z678" s="85"/>
      <c r="AA678" s="85"/>
      <c r="AC678" s="85"/>
      <c r="AD678" s="85"/>
      <c r="AE678" s="2" t="e">
        <f>AD678*#REF!</f>
        <v>#REF!</v>
      </c>
      <c r="AF678" s="2" t="e">
        <f>Z678/Y678</f>
        <v>#DIV/0!</v>
      </c>
      <c r="AG678" s="2" t="e">
        <f>AA678/Z678</f>
        <v>#DIV/0!</v>
      </c>
      <c r="AH678" s="2" t="e">
        <f>AC678/AA678</f>
        <v>#DIV/0!</v>
      </c>
    </row>
    <row r="679" spans="1:34">
      <c r="A679" s="165" t="s">
        <v>1383</v>
      </c>
      <c r="B679" s="36" t="s">
        <v>63</v>
      </c>
      <c r="C679" s="41">
        <v>46185</v>
      </c>
      <c r="D679" s="144" t="s">
        <v>116</v>
      </c>
      <c r="E679" s="8">
        <v>40</v>
      </c>
      <c r="F679" s="194" t="s">
        <v>164</v>
      </c>
      <c r="G679" s="2">
        <v>3</v>
      </c>
      <c r="H679" s="2">
        <v>9</v>
      </c>
      <c r="I679" s="45">
        <v>1500</v>
      </c>
      <c r="J679" s="2" t="s">
        <v>110</v>
      </c>
      <c r="K679" s="109" t="s">
        <v>598</v>
      </c>
      <c r="L679" s="92">
        <v>25000</v>
      </c>
      <c r="M679" s="69" t="s">
        <v>97</v>
      </c>
      <c r="N679" s="39" t="s">
        <v>48</v>
      </c>
      <c r="O679" s="39" t="s">
        <v>374</v>
      </c>
      <c r="P679" s="66"/>
      <c r="Q679" s="38">
        <f>R679*I679</f>
        <v>172.5</v>
      </c>
      <c r="R679" s="15">
        <v>0.115</v>
      </c>
      <c r="S679" s="149" t="s">
        <v>110</v>
      </c>
      <c r="T679" s="149"/>
      <c r="U679" s="109" t="s">
        <v>767</v>
      </c>
      <c r="V679" s="10" t="s">
        <v>121</v>
      </c>
      <c r="W679" s="10"/>
      <c r="AE679" s="2" t="e">
        <f>AD679*#REF!</f>
        <v>#REF!</v>
      </c>
      <c r="AF679" s="2" t="e">
        <f>Z679/Y679</f>
        <v>#DIV/0!</v>
      </c>
      <c r="AG679" s="2" t="e">
        <f>AA679/Z679</f>
        <v>#DIV/0!</v>
      </c>
      <c r="AH679" s="2" t="e">
        <f>AC679/AA679</f>
        <v>#DIV/0!</v>
      </c>
    </row>
    <row r="680" spans="1:34">
      <c r="A680" s="165" t="s">
        <v>1383</v>
      </c>
      <c r="B680" s="36" t="s">
        <v>63</v>
      </c>
      <c r="C680" s="41">
        <v>46185</v>
      </c>
      <c r="D680" s="144" t="s">
        <v>876</v>
      </c>
      <c r="E680" s="8">
        <v>32</v>
      </c>
      <c r="F680" s="194" t="s">
        <v>1177</v>
      </c>
      <c r="G680" s="2">
        <v>4</v>
      </c>
      <c r="H680" s="2">
        <v>9</v>
      </c>
      <c r="I680" s="45">
        <v>3000</v>
      </c>
      <c r="J680" s="2" t="s">
        <v>760</v>
      </c>
      <c r="K680" s="109" t="s">
        <v>601</v>
      </c>
      <c r="L680" s="92">
        <v>40000</v>
      </c>
      <c r="M680" s="69">
        <v>60</v>
      </c>
      <c r="N680" s="39" t="s">
        <v>48</v>
      </c>
      <c r="O680" s="39" t="s">
        <v>49</v>
      </c>
      <c r="P680" s="130"/>
      <c r="Q680" s="19">
        <f>R680*I680</f>
        <v>330</v>
      </c>
      <c r="R680" s="15">
        <v>0.11</v>
      </c>
      <c r="S680" s="5">
        <f>($AC680*$AD680)/(($Z680/$Y680)+($AA680/$Z680)+($AB680/$AA680))</f>
        <v>142.5</v>
      </c>
      <c r="U680" s="109" t="s">
        <v>767</v>
      </c>
      <c r="V680" s="205" t="s">
        <v>121</v>
      </c>
      <c r="Y680" s="2">
        <v>2</v>
      </c>
      <c r="Z680" s="2">
        <v>5</v>
      </c>
      <c r="AA680" s="2">
        <v>7.5</v>
      </c>
      <c r="AB680" s="2">
        <v>30</v>
      </c>
      <c r="AC680" s="2">
        <v>19</v>
      </c>
      <c r="AD680" s="2">
        <v>60</v>
      </c>
      <c r="AE680" s="2">
        <f>AC680*AD680</f>
        <v>1140</v>
      </c>
      <c r="AF680" s="2">
        <f>Z680/Y680</f>
        <v>2.5</v>
      </c>
      <c r="AG680" s="2">
        <f>AA680/Z680</f>
        <v>1.5</v>
      </c>
      <c r="AH680" s="2">
        <f>AB680/AA680</f>
        <v>4</v>
      </c>
    </row>
    <row r="681" spans="1:34">
      <c r="A681" s="165" t="s">
        <v>1383</v>
      </c>
      <c r="B681" s="36" t="s">
        <v>63</v>
      </c>
      <c r="C681" s="41">
        <v>46185</v>
      </c>
      <c r="D681" s="144" t="s">
        <v>876</v>
      </c>
      <c r="E681" s="8">
        <v>36</v>
      </c>
      <c r="F681" t="s">
        <v>1257</v>
      </c>
      <c r="G681" s="2">
        <v>3</v>
      </c>
      <c r="H681" s="2">
        <v>8</v>
      </c>
      <c r="I681" s="45">
        <v>100000</v>
      </c>
      <c r="J681" s="2" t="s">
        <v>760</v>
      </c>
      <c r="K681" s="109" t="s">
        <v>601</v>
      </c>
      <c r="L681" s="89">
        <v>600000</v>
      </c>
      <c r="M681" s="202">
        <v>60</v>
      </c>
      <c r="N681" s="39" t="s">
        <v>48</v>
      </c>
      <c r="O681" s="39" t="s">
        <v>49</v>
      </c>
      <c r="P681" s="130"/>
      <c r="Q681" s="19">
        <f>R681*I681</f>
        <v>4000</v>
      </c>
      <c r="R681" s="15">
        <v>0.04</v>
      </c>
      <c r="S681" s="5">
        <f>($AC681*$AD681)/(($Z681/$Y681)+($AA681/$Z681)+($AB681/$AA681))</f>
        <v>170.27027027027026</v>
      </c>
      <c r="U681" s="109" t="s">
        <v>767</v>
      </c>
      <c r="V681" s="2" t="s">
        <v>121</v>
      </c>
      <c r="W681" s="205"/>
      <c r="Y681" s="2">
        <v>20</v>
      </c>
      <c r="Z681" s="2">
        <v>50</v>
      </c>
      <c r="AA681" s="2">
        <v>125</v>
      </c>
      <c r="AB681" s="2">
        <v>300</v>
      </c>
      <c r="AC681" s="2">
        <v>21</v>
      </c>
      <c r="AD681" s="2">
        <v>60</v>
      </c>
      <c r="AE681" s="2">
        <f>AC681*AD681</f>
        <v>1260</v>
      </c>
      <c r="AF681" s="2">
        <f>Z681/Y681</f>
        <v>2.5</v>
      </c>
      <c r="AG681" s="2">
        <f>AA681/Z681</f>
        <v>2.5</v>
      </c>
      <c r="AH681" s="2">
        <f>AB681/AA681</f>
        <v>2.4</v>
      </c>
    </row>
    <row r="682" spans="1:34">
      <c r="A682" s="165" t="s">
        <v>1383</v>
      </c>
      <c r="B682" s="36" t="s">
        <v>63</v>
      </c>
      <c r="C682" s="41">
        <v>46185</v>
      </c>
      <c r="D682" s="144" t="s">
        <v>876</v>
      </c>
      <c r="E682" s="8">
        <v>37</v>
      </c>
      <c r="F682" s="194" t="s">
        <v>1220</v>
      </c>
      <c r="G682" s="2">
        <v>3</v>
      </c>
      <c r="H682" s="2">
        <v>9</v>
      </c>
      <c r="I682" s="45">
        <v>1500</v>
      </c>
      <c r="J682" s="2" t="s">
        <v>110</v>
      </c>
      <c r="K682" s="109" t="s">
        <v>598</v>
      </c>
      <c r="L682" s="92">
        <v>25000</v>
      </c>
      <c r="M682" s="69" t="s">
        <v>97</v>
      </c>
      <c r="N682" s="39" t="s">
        <v>48</v>
      </c>
      <c r="O682" s="39" t="s">
        <v>122</v>
      </c>
      <c r="P682" s="66"/>
      <c r="Q682" s="38">
        <f>R682*I682</f>
        <v>172.5</v>
      </c>
      <c r="R682" s="15">
        <v>0.115</v>
      </c>
      <c r="S682" s="149" t="s">
        <v>110</v>
      </c>
      <c r="T682" s="149"/>
      <c r="U682" s="109" t="s">
        <v>767</v>
      </c>
      <c r="V682" s="2" t="s">
        <v>121</v>
      </c>
      <c r="W682" s="205"/>
      <c r="X682" s="70"/>
      <c r="AE682" s="2" t="e">
        <f>AD682*#REF!</f>
        <v>#REF!</v>
      </c>
      <c r="AF682" s="2" t="e">
        <f>Z682/Y682</f>
        <v>#DIV/0!</v>
      </c>
      <c r="AG682" s="2" t="e">
        <f>AA682/Z682</f>
        <v>#DIV/0!</v>
      </c>
      <c r="AH682" s="2" t="e">
        <f>AC682/AA682</f>
        <v>#DIV/0!</v>
      </c>
    </row>
    <row r="683" spans="1:34">
      <c r="A683" s="52" t="s">
        <v>229</v>
      </c>
      <c r="B683" s="52" t="s">
        <v>230</v>
      </c>
      <c r="C683" s="190">
        <v>46186</v>
      </c>
      <c r="D683" s="42">
        <v>0.41666666666666669</v>
      </c>
      <c r="E683" s="193"/>
      <c r="F683" s="194" t="s">
        <v>712</v>
      </c>
      <c r="G683" s="2">
        <v>1</v>
      </c>
      <c r="I683" s="45">
        <v>600</v>
      </c>
      <c r="J683" s="2" t="s">
        <v>766</v>
      </c>
      <c r="K683" s="88" t="s">
        <v>782</v>
      </c>
      <c r="L683" s="91">
        <v>40000</v>
      </c>
      <c r="M683" s="195" t="s">
        <v>22</v>
      </c>
      <c r="N683" s="39" t="s">
        <v>48</v>
      </c>
      <c r="O683" s="39" t="s">
        <v>49</v>
      </c>
      <c r="P683" s="140" t="s">
        <v>838</v>
      </c>
      <c r="Q683" s="19">
        <v>85</v>
      </c>
      <c r="R683" s="15">
        <f>IF(Q683&gt;0,Q683/I683,"")</f>
        <v>0.14166666666666666</v>
      </c>
      <c r="S683" s="5">
        <f>($AC683*$AD683)/(($Z683/$Y683)+($AA683/$Z683)+($AB683/$AA683))</f>
        <v>76.947040498442377</v>
      </c>
      <c r="U683" s="109" t="s">
        <v>54</v>
      </c>
      <c r="V683" s="205" t="s">
        <v>719</v>
      </c>
      <c r="W683" s="205"/>
      <c r="Y683" s="2">
        <v>2</v>
      </c>
      <c r="Z683" s="2">
        <v>5</v>
      </c>
      <c r="AA683" s="2">
        <v>13</v>
      </c>
      <c r="AB683" s="2">
        <v>30</v>
      </c>
      <c r="AC683" s="2">
        <v>19</v>
      </c>
      <c r="AD683" s="2">
        <v>30</v>
      </c>
      <c r="AE683" s="2">
        <f>AC683*AD683</f>
        <v>570</v>
      </c>
      <c r="AF683" s="2">
        <f>Z683/Y683</f>
        <v>2.5</v>
      </c>
      <c r="AG683" s="2">
        <f>AA683/Z683</f>
        <v>2.6</v>
      </c>
      <c r="AH683" s="2">
        <f>AB683/AA683</f>
        <v>2.3076923076923075</v>
      </c>
    </row>
    <row r="684" spans="1:34">
      <c r="A684" s="96" t="s">
        <v>461</v>
      </c>
      <c r="B684" s="96" t="s">
        <v>462</v>
      </c>
      <c r="C684" s="41">
        <v>46186</v>
      </c>
      <c r="D684" s="42">
        <v>0.4236111111111111</v>
      </c>
      <c r="E684" s="193"/>
      <c r="F684" s="194" t="s">
        <v>457</v>
      </c>
      <c r="G684" s="2">
        <v>1</v>
      </c>
      <c r="I684" s="126">
        <v>120</v>
      </c>
      <c r="J684" s="2" t="s">
        <v>766</v>
      </c>
      <c r="K684" s="109" t="s">
        <v>602</v>
      </c>
      <c r="L684" s="194">
        <v>20000</v>
      </c>
      <c r="M684" s="69">
        <v>20</v>
      </c>
      <c r="N684" s="39" t="s">
        <v>48</v>
      </c>
      <c r="O684" s="39" t="s">
        <v>49</v>
      </c>
      <c r="P684" s="211" t="s">
        <v>832</v>
      </c>
      <c r="Q684" s="19">
        <v>24</v>
      </c>
      <c r="R684" s="15">
        <f>Q684/I684</f>
        <v>0.2</v>
      </c>
      <c r="S684" s="5">
        <f>($AC684*$AD684)/(($Z684/$Y684)+($AA684/$Z684)+($AB684/$AA684))</f>
        <v>25.161290322580644</v>
      </c>
      <c r="U684" s="109" t="s">
        <v>767</v>
      </c>
      <c r="V684" s="2" t="s">
        <v>735</v>
      </c>
      <c r="Y684" s="2">
        <v>2.5</v>
      </c>
      <c r="Z684" s="2">
        <v>7.5</v>
      </c>
      <c r="AA684" s="2">
        <v>30</v>
      </c>
      <c r="AB684" s="2">
        <v>100</v>
      </c>
      <c r="AC684" s="2">
        <v>13</v>
      </c>
      <c r="AD684" s="2">
        <v>20</v>
      </c>
      <c r="AE684" s="2">
        <f>AC684*AD684</f>
        <v>260</v>
      </c>
      <c r="AF684" s="2">
        <f>Z684/Y684</f>
        <v>3</v>
      </c>
      <c r="AG684" s="2">
        <f>AA684/Z684</f>
        <v>4</v>
      </c>
      <c r="AH684" s="2">
        <f>AB684/AA684</f>
        <v>3.3333333333333335</v>
      </c>
    </row>
    <row r="685" spans="1:34">
      <c r="A685" s="68" t="s">
        <v>357</v>
      </c>
      <c r="B685" s="68" t="s">
        <v>358</v>
      </c>
      <c r="C685" s="191">
        <v>46186</v>
      </c>
      <c r="D685" s="42">
        <v>0.4236111111111111</v>
      </c>
      <c r="E685" s="8">
        <v>44</v>
      </c>
      <c r="F685" s="197" t="s">
        <v>308</v>
      </c>
      <c r="G685" s="2">
        <v>2</v>
      </c>
      <c r="H685" s="2">
        <v>9</v>
      </c>
      <c r="I685" s="126">
        <v>1100</v>
      </c>
      <c r="J685" s="2" t="s">
        <v>766</v>
      </c>
      <c r="K685" s="137" t="s">
        <v>598</v>
      </c>
      <c r="L685" s="92">
        <v>40000</v>
      </c>
      <c r="M685" s="69">
        <v>40</v>
      </c>
      <c r="N685" s="39" t="s">
        <v>48</v>
      </c>
      <c r="O685" s="39" t="s">
        <v>49</v>
      </c>
      <c r="P685" s="211" t="s">
        <v>848</v>
      </c>
      <c r="Q685" s="19">
        <v>140</v>
      </c>
      <c r="R685" s="15">
        <f>Q685/I685</f>
        <v>0.12727272727272726</v>
      </c>
      <c r="S685" s="5">
        <f>($AC685*$AD685)/(($Z685/$Y685)+($AA685/$Z685)+($AB685/$AA685))</f>
        <v>102.59605399792316</v>
      </c>
      <c r="U685" s="109" t="s">
        <v>54</v>
      </c>
      <c r="V685" s="2" t="s">
        <v>674</v>
      </c>
      <c r="W685" s="205"/>
      <c r="Y685" s="2">
        <v>2</v>
      </c>
      <c r="Z685" s="2">
        <v>5</v>
      </c>
      <c r="AA685" s="2">
        <v>13</v>
      </c>
      <c r="AB685" s="2">
        <v>30</v>
      </c>
      <c r="AC685" s="2">
        <v>40</v>
      </c>
      <c r="AD685" s="2">
        <v>19</v>
      </c>
      <c r="AE685" s="2">
        <f>AC685*AD685</f>
        <v>760</v>
      </c>
      <c r="AF685" s="2">
        <f>Z685/Y685</f>
        <v>2.5</v>
      </c>
      <c r="AG685" s="2">
        <f>AA685/Z685</f>
        <v>2.6</v>
      </c>
      <c r="AH685" s="2">
        <f>AB685/AA685</f>
        <v>2.3076923076923075</v>
      </c>
    </row>
    <row r="686" spans="1:34">
      <c r="A686" s="95" t="s">
        <v>447</v>
      </c>
      <c r="B686" s="95" t="s">
        <v>448</v>
      </c>
      <c r="C686" s="190">
        <v>46186</v>
      </c>
      <c r="D686" s="42">
        <v>0.45833333333333331</v>
      </c>
      <c r="E686" s="193"/>
      <c r="F686" s="194" t="s">
        <v>436</v>
      </c>
      <c r="G686" s="2">
        <v>1</v>
      </c>
      <c r="H686" s="2">
        <v>8</v>
      </c>
      <c r="I686" s="126">
        <v>1100</v>
      </c>
      <c r="J686" s="2" t="s">
        <v>766</v>
      </c>
      <c r="K686" s="109" t="s">
        <v>602</v>
      </c>
      <c r="L686" s="194">
        <v>30000</v>
      </c>
      <c r="M686" s="194">
        <v>30</v>
      </c>
      <c r="N686" s="39" t="s">
        <v>48</v>
      </c>
      <c r="O686" s="39" t="s">
        <v>57</v>
      </c>
      <c r="P686" s="197">
        <v>250000</v>
      </c>
      <c r="Q686" s="2">
        <v>135</v>
      </c>
      <c r="R686" s="15">
        <f>Q686/I686</f>
        <v>0.12272727272727273</v>
      </c>
      <c r="S686" s="176" t="s">
        <v>110</v>
      </c>
      <c r="T686" s="176"/>
      <c r="U686" s="109" t="s">
        <v>767</v>
      </c>
      <c r="V686" s="205" t="s">
        <v>741</v>
      </c>
      <c r="AE686" s="2">
        <f>AC686*AD686</f>
        <v>0</v>
      </c>
      <c r="AF686" s="2" t="e">
        <f>Z686/Y686</f>
        <v>#DIV/0!</v>
      </c>
      <c r="AG686" s="2" t="e">
        <f>AA686/Z686</f>
        <v>#DIV/0!</v>
      </c>
      <c r="AH686" s="2" t="e">
        <f>AB686/AA686</f>
        <v>#DIV/0!</v>
      </c>
    </row>
    <row r="687" spans="1:34">
      <c r="A687" s="103" t="s">
        <v>539</v>
      </c>
      <c r="B687" s="103" t="s">
        <v>540</v>
      </c>
      <c r="C687" s="191">
        <v>46186</v>
      </c>
      <c r="D687" s="42">
        <v>0.45833333333333331</v>
      </c>
      <c r="E687" s="8">
        <v>39</v>
      </c>
      <c r="F687" s="63" t="s">
        <v>547</v>
      </c>
      <c r="G687" s="2">
        <v>1</v>
      </c>
      <c r="H687" s="2">
        <v>9</v>
      </c>
      <c r="I687" s="126">
        <v>250</v>
      </c>
      <c r="J687" s="179" t="s">
        <v>766</v>
      </c>
      <c r="K687" s="179" t="s">
        <v>815</v>
      </c>
      <c r="L687" s="92">
        <v>50000</v>
      </c>
      <c r="M687" s="69">
        <v>30</v>
      </c>
      <c r="N687" s="39" t="s">
        <v>48</v>
      </c>
      <c r="O687" s="39" t="s">
        <v>49</v>
      </c>
      <c r="P687" s="140" t="s">
        <v>835</v>
      </c>
      <c r="Q687" s="19">
        <v>85</v>
      </c>
      <c r="R687" s="15">
        <f>Q687/I687</f>
        <v>0.34</v>
      </c>
      <c r="S687" s="5">
        <f>($AC687*$AD687)/(($Z687/$Y687)+($AA687/$Z687)+($AB687/$AA687))</f>
        <v>46.451612903225801</v>
      </c>
      <c r="U687" s="109" t="s">
        <v>767</v>
      </c>
      <c r="V687" s="71" t="s">
        <v>1395</v>
      </c>
      <c r="W687" s="8" t="s">
        <v>1390</v>
      </c>
      <c r="Y687" s="2">
        <v>2.5</v>
      </c>
      <c r="Z687" s="2">
        <v>7.5</v>
      </c>
      <c r="AA687" s="2">
        <v>25</v>
      </c>
      <c r="AB687" s="2">
        <v>100</v>
      </c>
      <c r="AC687" s="2">
        <v>16</v>
      </c>
      <c r="AD687" s="2">
        <v>30</v>
      </c>
      <c r="AE687" s="2">
        <f>AC687*AD687</f>
        <v>480</v>
      </c>
      <c r="AF687" s="2">
        <f>Z687/Y687</f>
        <v>3</v>
      </c>
      <c r="AG687" s="2">
        <f>AA687/Z687</f>
        <v>3.3333333333333335</v>
      </c>
      <c r="AH687" s="2">
        <f>AB687/AA687</f>
        <v>4</v>
      </c>
    </row>
    <row r="688" spans="1:34">
      <c r="A688" s="165" t="s">
        <v>1383</v>
      </c>
      <c r="B688" s="36" t="s">
        <v>63</v>
      </c>
      <c r="C688" s="173">
        <v>46186</v>
      </c>
      <c r="D688" s="144">
        <v>0.45833333333333331</v>
      </c>
      <c r="E688" s="14">
        <v>34</v>
      </c>
      <c r="F688" s="8" t="s">
        <v>1195</v>
      </c>
      <c r="G688" s="2">
        <v>4</v>
      </c>
      <c r="H688" s="2">
        <v>9</v>
      </c>
      <c r="I688" s="45">
        <v>500</v>
      </c>
      <c r="J688" s="2" t="s">
        <v>761</v>
      </c>
      <c r="K688" s="109" t="s">
        <v>601</v>
      </c>
      <c r="L688" s="92">
        <v>50000</v>
      </c>
      <c r="M688" s="69">
        <v>40</v>
      </c>
      <c r="N688" s="39" t="s">
        <v>48</v>
      </c>
      <c r="O688" s="39" t="s">
        <v>49</v>
      </c>
      <c r="P688" s="130"/>
      <c r="Q688" s="19">
        <f>R688*I688</f>
        <v>0</v>
      </c>
      <c r="R688" s="15">
        <v>0</v>
      </c>
      <c r="S688" s="5">
        <f>($AC688*$AD688)/(($Z688/$Y688)+($AA688/$Z688)+($AB688/$AA688))</f>
        <v>107.99584631360334</v>
      </c>
      <c r="U688" s="109" t="s">
        <v>767</v>
      </c>
      <c r="V688" s="205" t="s">
        <v>121</v>
      </c>
      <c r="W688" s="205"/>
      <c r="Y688" s="2">
        <v>2</v>
      </c>
      <c r="Z688" s="2">
        <v>5</v>
      </c>
      <c r="AA688" s="2">
        <v>13</v>
      </c>
      <c r="AB688" s="2">
        <v>30</v>
      </c>
      <c r="AC688" s="2">
        <v>20</v>
      </c>
      <c r="AD688" s="2">
        <v>40</v>
      </c>
      <c r="AE688" s="2">
        <f>AC688*AD688</f>
        <v>800</v>
      </c>
      <c r="AF688" s="2">
        <f>Z688/Y688</f>
        <v>2.5</v>
      </c>
      <c r="AG688" s="2">
        <f>AA688/Z688</f>
        <v>2.6</v>
      </c>
      <c r="AH688" s="2">
        <f>AB688/AA688</f>
        <v>2.3076923076923075</v>
      </c>
    </row>
    <row r="689" spans="1:34">
      <c r="A689" s="102" t="s">
        <v>475</v>
      </c>
      <c r="B689" s="102" t="s">
        <v>476</v>
      </c>
      <c r="C689" s="190">
        <v>46186</v>
      </c>
      <c r="D689" s="42">
        <v>0.45833333333333331</v>
      </c>
      <c r="E689" s="8">
        <v>14</v>
      </c>
      <c r="F689" s="197" t="s">
        <v>499</v>
      </c>
      <c r="G689" s="2">
        <v>1</v>
      </c>
      <c r="H689" s="2">
        <v>9</v>
      </c>
      <c r="I689" s="126">
        <v>300</v>
      </c>
      <c r="J689" s="2" t="s">
        <v>766</v>
      </c>
      <c r="K689" s="109" t="s">
        <v>601</v>
      </c>
      <c r="L689" s="201">
        <v>25000</v>
      </c>
      <c r="M689" s="203">
        <v>30</v>
      </c>
      <c r="N689" s="39" t="s">
        <v>48</v>
      </c>
      <c r="O689" s="39" t="s">
        <v>57</v>
      </c>
      <c r="P689" s="197">
        <v>10000</v>
      </c>
      <c r="Q689" s="2">
        <v>55</v>
      </c>
      <c r="R689" s="15">
        <f>Q689/I689</f>
        <v>0.18333333333333332</v>
      </c>
      <c r="S689" s="149" t="s">
        <v>110</v>
      </c>
      <c r="T689" s="149"/>
      <c r="U689" s="109" t="s">
        <v>852</v>
      </c>
      <c r="V689" s="10" t="s">
        <v>642</v>
      </c>
      <c r="Y689" s="2">
        <v>2.5</v>
      </c>
      <c r="Z689" s="2">
        <v>6.5</v>
      </c>
      <c r="AA689" s="2">
        <v>15</v>
      </c>
      <c r="AB689" s="2">
        <v>40</v>
      </c>
      <c r="AC689" s="2">
        <v>30</v>
      </c>
      <c r="AD689" s="2">
        <v>18</v>
      </c>
      <c r="AE689" s="2">
        <f>AC689*AD689</f>
        <v>540</v>
      </c>
      <c r="AF689" s="2">
        <f>Z689/Y689</f>
        <v>2.6</v>
      </c>
      <c r="AG689" s="2">
        <f>AA689/Z689</f>
        <v>2.3076923076923075</v>
      </c>
      <c r="AH689" s="2">
        <f>AB689/AA689</f>
        <v>2.6666666666666665</v>
      </c>
    </row>
    <row r="690" spans="1:34">
      <c r="A690" s="52" t="s">
        <v>229</v>
      </c>
      <c r="B690" s="52" t="s">
        <v>230</v>
      </c>
      <c r="C690" s="190">
        <v>46186</v>
      </c>
      <c r="D690" s="42">
        <v>0.45833333333333331</v>
      </c>
      <c r="E690" s="193"/>
      <c r="F690" s="194" t="s">
        <v>242</v>
      </c>
      <c r="G690" s="2">
        <v>1</v>
      </c>
      <c r="I690" s="126">
        <v>200</v>
      </c>
      <c r="J690" s="2" t="s">
        <v>766</v>
      </c>
      <c r="K690" s="88" t="s">
        <v>775</v>
      </c>
      <c r="L690" s="91">
        <v>25000</v>
      </c>
      <c r="M690" s="195" t="s">
        <v>128</v>
      </c>
      <c r="N690" s="39" t="s">
        <v>48</v>
      </c>
      <c r="O690" s="39" t="s">
        <v>49</v>
      </c>
      <c r="P690" s="211" t="s">
        <v>832</v>
      </c>
      <c r="Q690" s="19">
        <v>40</v>
      </c>
      <c r="R690" s="15">
        <f>IF(Q690&gt;0,Q690/I690,"")</f>
        <v>0.2</v>
      </c>
      <c r="S690" s="5">
        <f>($AC690*$AD690)/(($Z690/$Y690)+($AA690/$Z690)+($AB690/$AA690))</f>
        <v>28.333333333333332</v>
      </c>
      <c r="U690" s="109" t="s">
        <v>767</v>
      </c>
      <c r="V690" s="10" t="s">
        <v>719</v>
      </c>
      <c r="W690" s="205"/>
      <c r="Y690" s="2">
        <v>2</v>
      </c>
      <c r="Z690" s="2">
        <v>5</v>
      </c>
      <c r="AA690" s="2">
        <v>20</v>
      </c>
      <c r="AB690" s="2">
        <v>50</v>
      </c>
      <c r="AC690" s="2">
        <v>255</v>
      </c>
      <c r="AD690" s="2">
        <v>1</v>
      </c>
      <c r="AE690" s="2">
        <f>AC690*AD690</f>
        <v>255</v>
      </c>
      <c r="AF690" s="2">
        <f>Z690/Y690</f>
        <v>2.5</v>
      </c>
      <c r="AG690" s="2">
        <f>AA690/Z690</f>
        <v>4</v>
      </c>
      <c r="AH690" s="2">
        <f>AB690/AA690</f>
        <v>2.5</v>
      </c>
    </row>
    <row r="691" spans="1:34">
      <c r="A691" s="103" t="s">
        <v>539</v>
      </c>
      <c r="B691" s="103" t="s">
        <v>540</v>
      </c>
      <c r="C691" s="191">
        <v>46186</v>
      </c>
      <c r="D691" s="42">
        <v>0.5</v>
      </c>
      <c r="E691" s="8">
        <v>40</v>
      </c>
      <c r="F691" s="197" t="s">
        <v>528</v>
      </c>
      <c r="G691" s="2">
        <v>1</v>
      </c>
      <c r="H691" s="2">
        <v>6</v>
      </c>
      <c r="I691" s="126">
        <v>500</v>
      </c>
      <c r="J691" s="179" t="s">
        <v>766</v>
      </c>
      <c r="K691" s="179" t="s">
        <v>602</v>
      </c>
      <c r="L691" s="92">
        <v>30000</v>
      </c>
      <c r="M691" s="69">
        <v>30</v>
      </c>
      <c r="N691" s="39" t="s">
        <v>48</v>
      </c>
      <c r="O691" s="39" t="s">
        <v>123</v>
      </c>
      <c r="P691" s="197">
        <v>30000</v>
      </c>
      <c r="Q691" s="2">
        <v>70</v>
      </c>
      <c r="R691" s="15">
        <f>Q691/I691</f>
        <v>0.14000000000000001</v>
      </c>
      <c r="S691" s="142"/>
      <c r="U691" s="109" t="s">
        <v>767</v>
      </c>
      <c r="V691" s="21" t="s">
        <v>1395</v>
      </c>
      <c r="W691" s="205"/>
      <c r="AE691" s="2">
        <f>AC691*AD691</f>
        <v>0</v>
      </c>
      <c r="AF691" s="2" t="e">
        <f>Z691/Y691</f>
        <v>#DIV/0!</v>
      </c>
      <c r="AG691" s="2" t="e">
        <f>AA691/Z691</f>
        <v>#DIV/0!</v>
      </c>
      <c r="AH691" s="2" t="e">
        <f>AB691/AA691</f>
        <v>#DIV/0!</v>
      </c>
    </row>
    <row r="692" spans="1:34">
      <c r="A692" s="52" t="s">
        <v>220</v>
      </c>
      <c r="B692" s="52" t="s">
        <v>221</v>
      </c>
      <c r="C692" s="51">
        <v>46186</v>
      </c>
      <c r="D692" s="42">
        <v>0.5</v>
      </c>
      <c r="E692" s="193"/>
      <c r="F692" s="194" t="s">
        <v>1045</v>
      </c>
      <c r="G692" s="2">
        <v>3</v>
      </c>
      <c r="H692" s="2">
        <v>9</v>
      </c>
      <c r="I692" s="126">
        <v>3500</v>
      </c>
      <c r="J692" s="2" t="s">
        <v>766</v>
      </c>
      <c r="K692" s="88" t="s">
        <v>793</v>
      </c>
      <c r="L692" s="91">
        <v>40000</v>
      </c>
      <c r="M692" s="203" t="s">
        <v>97</v>
      </c>
      <c r="N692" s="39" t="s">
        <v>48</v>
      </c>
      <c r="O692" s="39" t="s">
        <v>49</v>
      </c>
      <c r="P692" s="211" t="s">
        <v>849</v>
      </c>
      <c r="Q692" s="19">
        <v>325</v>
      </c>
      <c r="R692" s="15">
        <f>Q692/I692</f>
        <v>9.285714285714286E-2</v>
      </c>
      <c r="S692" s="5">
        <f>($AC692*$AD692)/(($Z692/$Y692)+($AA692/$Z692)+($AB692/$AA692))</f>
        <v>88.052681091251188</v>
      </c>
      <c r="U692" s="109" t="s">
        <v>767</v>
      </c>
      <c r="V692" s="10" t="s">
        <v>738</v>
      </c>
      <c r="W692" s="205"/>
      <c r="Y692" s="2">
        <v>2</v>
      </c>
      <c r="Z692" s="2">
        <v>5</v>
      </c>
      <c r="AA692" s="2">
        <v>13</v>
      </c>
      <c r="AB692" s="2">
        <v>40</v>
      </c>
      <c r="AC692" s="2">
        <v>18</v>
      </c>
      <c r="AD692" s="2">
        <v>40</v>
      </c>
      <c r="AE692" s="2">
        <f>AC692*AD692</f>
        <v>720</v>
      </c>
      <c r="AF692" s="2">
        <f>Z692/Y692</f>
        <v>2.5</v>
      </c>
      <c r="AG692" s="2">
        <f>AA692/Z692</f>
        <v>2.6</v>
      </c>
      <c r="AH692" s="2">
        <f>AB692/AA692</f>
        <v>3.0769230769230771</v>
      </c>
    </row>
    <row r="693" spans="1:34">
      <c r="A693" s="52" t="s">
        <v>220</v>
      </c>
      <c r="B693" s="52" t="s">
        <v>221</v>
      </c>
      <c r="C693" s="191">
        <v>46186</v>
      </c>
      <c r="D693" s="42">
        <v>0.5</v>
      </c>
      <c r="E693" s="193"/>
      <c r="F693" s="194" t="s">
        <v>1062</v>
      </c>
      <c r="G693" s="2">
        <v>1</v>
      </c>
      <c r="H693" s="2">
        <v>6</v>
      </c>
      <c r="I693" s="126">
        <v>2200</v>
      </c>
      <c r="J693" s="2" t="s">
        <v>766</v>
      </c>
      <c r="K693" s="88" t="s">
        <v>780</v>
      </c>
      <c r="L693" s="91">
        <v>30000</v>
      </c>
      <c r="M693" s="203">
        <v>30</v>
      </c>
      <c r="N693" s="39" t="s">
        <v>48</v>
      </c>
      <c r="O693" s="39" t="s">
        <v>227</v>
      </c>
      <c r="P693" s="197">
        <v>100000</v>
      </c>
      <c r="Q693" s="2">
        <v>215</v>
      </c>
      <c r="R693" s="15">
        <f>Q693/I693</f>
        <v>9.7727272727272732E-2</v>
      </c>
      <c r="S693" s="149" t="s">
        <v>110</v>
      </c>
      <c r="T693" s="149"/>
      <c r="U693" s="109" t="s">
        <v>375</v>
      </c>
      <c r="V693" s="2" t="s">
        <v>738</v>
      </c>
      <c r="W693" s="205"/>
      <c r="AE693" s="2">
        <f>AC693*AD693</f>
        <v>0</v>
      </c>
      <c r="AF693" s="2" t="e">
        <f>Z693/Y693</f>
        <v>#DIV/0!</v>
      </c>
      <c r="AG693" s="2" t="e">
        <f>AA693/Z693</f>
        <v>#DIV/0!</v>
      </c>
      <c r="AH693" s="2" t="e">
        <f>AB693/AA693</f>
        <v>#DIV/0!</v>
      </c>
    </row>
    <row r="694" spans="1:34">
      <c r="A694" s="165" t="s">
        <v>1383</v>
      </c>
      <c r="B694" s="36" t="s">
        <v>63</v>
      </c>
      <c r="C694" s="41">
        <v>46186</v>
      </c>
      <c r="D694" s="144">
        <v>0.54166666666666663</v>
      </c>
      <c r="E694" s="8">
        <v>40</v>
      </c>
      <c r="F694" s="194" t="s">
        <v>1138</v>
      </c>
      <c r="G694" s="2">
        <v>3</v>
      </c>
      <c r="H694" s="2">
        <v>9</v>
      </c>
      <c r="I694" s="45">
        <v>1500</v>
      </c>
      <c r="J694" s="2" t="s">
        <v>110</v>
      </c>
      <c r="K694" s="109" t="s">
        <v>598</v>
      </c>
      <c r="L694" s="92">
        <v>25000</v>
      </c>
      <c r="M694" s="69" t="s">
        <v>97</v>
      </c>
      <c r="N694" s="39" t="s">
        <v>48</v>
      </c>
      <c r="O694" s="39" t="s">
        <v>374</v>
      </c>
      <c r="P694" s="66"/>
      <c r="Q694" s="38">
        <f>R694*I694</f>
        <v>172.5</v>
      </c>
      <c r="R694" s="15">
        <v>0.115</v>
      </c>
      <c r="S694" s="149" t="s">
        <v>110</v>
      </c>
      <c r="T694" s="149"/>
      <c r="U694" s="109" t="s">
        <v>767</v>
      </c>
      <c r="V694" s="205" t="s">
        <v>121</v>
      </c>
      <c r="W694" s="205"/>
      <c r="AE694" s="2" t="e">
        <f>AD694*#REF!</f>
        <v>#REF!</v>
      </c>
      <c r="AF694" s="2" t="e">
        <f>Z694/Y694</f>
        <v>#DIV/0!</v>
      </c>
      <c r="AG694" s="2" t="e">
        <f>AA694/Z694</f>
        <v>#DIV/0!</v>
      </c>
      <c r="AH694" s="2" t="e">
        <f>AC694/AA694</f>
        <v>#DIV/0!</v>
      </c>
    </row>
    <row r="695" spans="1:34">
      <c r="A695" s="165" t="s">
        <v>1383</v>
      </c>
      <c r="B695" s="72" t="s">
        <v>63</v>
      </c>
      <c r="C695" s="77">
        <v>46186</v>
      </c>
      <c r="D695" s="144">
        <v>0.54166666666666663</v>
      </c>
      <c r="E695" s="138"/>
      <c r="F695" t="s">
        <v>881</v>
      </c>
      <c r="G695" s="73">
        <v>1</v>
      </c>
      <c r="H695" s="73">
        <v>9</v>
      </c>
      <c r="I695" s="78">
        <v>250</v>
      </c>
      <c r="J695" s="2" t="s">
        <v>766</v>
      </c>
      <c r="K695" s="88" t="s">
        <v>787</v>
      </c>
      <c r="L695" s="154">
        <v>25000</v>
      </c>
      <c r="M695" s="79">
        <v>30</v>
      </c>
      <c r="N695" s="39" t="s">
        <v>817</v>
      </c>
      <c r="O695" s="39" t="s">
        <v>49</v>
      </c>
      <c r="P695" s="155"/>
      <c r="Q695" s="74">
        <v>50</v>
      </c>
      <c r="R695" s="75">
        <f>Q695/I695</f>
        <v>0.2</v>
      </c>
      <c r="S695" s="121">
        <v>44</v>
      </c>
      <c r="T695" s="121"/>
      <c r="U695" s="109" t="s">
        <v>767</v>
      </c>
      <c r="V695" s="80" t="s">
        <v>360</v>
      </c>
      <c r="W695" s="217"/>
      <c r="Y695" s="175"/>
      <c r="Z695" s="175"/>
      <c r="AA695" s="175"/>
      <c r="AB695" s="175"/>
      <c r="AC695" s="175"/>
      <c r="AD695" s="175"/>
      <c r="AE695" s="175"/>
      <c r="AF695" s="175"/>
      <c r="AG695" s="175"/>
      <c r="AH695" s="175"/>
    </row>
    <row r="696" spans="1:34">
      <c r="A696" s="96" t="s">
        <v>461</v>
      </c>
      <c r="B696" s="96" t="s">
        <v>462</v>
      </c>
      <c r="C696" s="41">
        <v>46186</v>
      </c>
      <c r="D696" s="42">
        <v>0.59027777777777779</v>
      </c>
      <c r="E696" s="193"/>
      <c r="F696" s="194" t="s">
        <v>276</v>
      </c>
      <c r="G696" s="2">
        <v>1</v>
      </c>
      <c r="I696" s="126">
        <v>200</v>
      </c>
      <c r="J696" s="2" t="s">
        <v>766</v>
      </c>
      <c r="K696" s="109" t="s">
        <v>602</v>
      </c>
      <c r="L696" s="194">
        <v>20000</v>
      </c>
      <c r="M696" s="69">
        <v>20</v>
      </c>
      <c r="N696" s="39" t="s">
        <v>48</v>
      </c>
      <c r="O696" s="39" t="s">
        <v>451</v>
      </c>
      <c r="P696" s="197">
        <v>15000</v>
      </c>
      <c r="Q696" s="2">
        <v>40</v>
      </c>
      <c r="R696" s="15">
        <f>Q696/I696</f>
        <v>0.2</v>
      </c>
      <c r="S696" s="149" t="s">
        <v>110</v>
      </c>
      <c r="T696" s="149"/>
      <c r="U696" s="109" t="s">
        <v>767</v>
      </c>
      <c r="V696" s="2" t="s">
        <v>735</v>
      </c>
      <c r="W696" s="10"/>
      <c r="AE696" s="2">
        <f>AC696*AD696</f>
        <v>0</v>
      </c>
      <c r="AF696" s="2" t="e">
        <f>Z696/Y696</f>
        <v>#DIV/0!</v>
      </c>
      <c r="AG696" s="2" t="e">
        <f>AA696/Z696</f>
        <v>#DIV/0!</v>
      </c>
      <c r="AH696" s="2" t="e">
        <f>AB696/AA696</f>
        <v>#DIV/0!</v>
      </c>
    </row>
    <row r="697" spans="1:34">
      <c r="A697" s="165" t="s">
        <v>1383</v>
      </c>
      <c r="B697" s="39" t="s">
        <v>63</v>
      </c>
      <c r="C697" s="41">
        <v>46186</v>
      </c>
      <c r="D697" s="144">
        <v>0.625</v>
      </c>
      <c r="F697" s="194" t="s">
        <v>912</v>
      </c>
      <c r="G697" s="2">
        <v>1</v>
      </c>
      <c r="H697" s="2">
        <v>9</v>
      </c>
      <c r="I697" s="45">
        <v>240</v>
      </c>
      <c r="J697" s="2" t="s">
        <v>766</v>
      </c>
      <c r="K697" s="88" t="s">
        <v>784</v>
      </c>
      <c r="L697" s="92">
        <v>10000</v>
      </c>
      <c r="M697" s="69">
        <v>20</v>
      </c>
      <c r="N697" s="132" t="s">
        <v>821</v>
      </c>
      <c r="O697" s="39" t="s">
        <v>49</v>
      </c>
      <c r="P697" s="130"/>
      <c r="Q697" s="19">
        <v>40</v>
      </c>
      <c r="R697" s="15">
        <v>0.16666666666666666</v>
      </c>
      <c r="S697" s="5">
        <v>29</v>
      </c>
      <c r="U697" s="109" t="s">
        <v>767</v>
      </c>
      <c r="V697" s="71" t="s">
        <v>362</v>
      </c>
      <c r="W697" s="8" t="s">
        <v>367</v>
      </c>
      <c r="Y697" s="175"/>
      <c r="Z697" s="175"/>
      <c r="AA697" s="175"/>
      <c r="AB697" s="175"/>
      <c r="AC697" s="175"/>
      <c r="AD697" s="175"/>
      <c r="AE697" s="175"/>
      <c r="AF697" s="175"/>
      <c r="AG697" s="175"/>
      <c r="AH697" s="175"/>
    </row>
    <row r="698" spans="1:34">
      <c r="A698" s="165" t="s">
        <v>1383</v>
      </c>
      <c r="B698" s="72" t="s">
        <v>63</v>
      </c>
      <c r="C698" s="77">
        <v>46186</v>
      </c>
      <c r="D698" s="144">
        <v>0.66666666666666663</v>
      </c>
      <c r="E698" s="138"/>
      <c r="F698" s="194" t="s">
        <v>1024</v>
      </c>
      <c r="G698" s="73">
        <v>1</v>
      </c>
      <c r="H698" s="73">
        <v>9</v>
      </c>
      <c r="I698" s="78">
        <v>400</v>
      </c>
      <c r="J698" s="2" t="s">
        <v>766</v>
      </c>
      <c r="K698" s="88" t="s">
        <v>794</v>
      </c>
      <c r="L698" s="154">
        <v>30000</v>
      </c>
      <c r="M698" s="79">
        <v>20</v>
      </c>
      <c r="N698" s="39" t="s">
        <v>817</v>
      </c>
      <c r="O698" s="39" t="s">
        <v>49</v>
      </c>
      <c r="P698" s="155"/>
      <c r="Q698" s="74">
        <v>70</v>
      </c>
      <c r="R698" s="75">
        <f>Q698/I698</f>
        <v>0.17499999999999999</v>
      </c>
      <c r="S698" s="121">
        <v>37</v>
      </c>
      <c r="T698" s="121"/>
      <c r="U698" s="109" t="s">
        <v>129</v>
      </c>
      <c r="V698" s="76" t="s">
        <v>360</v>
      </c>
      <c r="W698" s="217"/>
      <c r="Y698" s="175"/>
      <c r="Z698" s="175"/>
      <c r="AA698" s="175"/>
      <c r="AB698" s="175"/>
      <c r="AC698" s="175"/>
      <c r="AD698" s="175"/>
      <c r="AE698" s="175"/>
      <c r="AF698" s="175"/>
      <c r="AG698" s="175"/>
      <c r="AH698" s="175"/>
    </row>
    <row r="699" spans="1:34">
      <c r="A699" s="52" t="s">
        <v>229</v>
      </c>
      <c r="B699" s="52" t="s">
        <v>230</v>
      </c>
      <c r="C699" s="190">
        <v>46186</v>
      </c>
      <c r="D699" s="42">
        <v>0.66666666666666663</v>
      </c>
      <c r="E699" s="193"/>
      <c r="F699" s="194" t="s">
        <v>264</v>
      </c>
      <c r="G699" s="2">
        <v>1</v>
      </c>
      <c r="I699" s="126">
        <v>240</v>
      </c>
      <c r="J699" s="2" t="s">
        <v>766</v>
      </c>
      <c r="K699" s="88" t="s">
        <v>795</v>
      </c>
      <c r="L699" s="91">
        <v>30000</v>
      </c>
      <c r="M699" s="194">
        <v>20</v>
      </c>
      <c r="N699" s="39" t="s">
        <v>48</v>
      </c>
      <c r="O699" s="39" t="s">
        <v>373</v>
      </c>
      <c r="P699" s="66">
        <v>10000</v>
      </c>
      <c r="Q699" s="2">
        <v>40</v>
      </c>
      <c r="R699" s="15">
        <f>IF(Q699&gt;0,Q699/I699,"")</f>
        <v>0.16666666666666666</v>
      </c>
      <c r="S699" s="149" t="s">
        <v>110</v>
      </c>
      <c r="T699" s="149"/>
      <c r="U699" s="109" t="s">
        <v>767</v>
      </c>
      <c r="V699" s="21" t="s">
        <v>719</v>
      </c>
      <c r="W699" s="205"/>
      <c r="AE699" s="2">
        <f>AC699*AD699</f>
        <v>0</v>
      </c>
      <c r="AF699" s="2" t="e">
        <f>Z699/Y699</f>
        <v>#DIV/0!</v>
      </c>
      <c r="AG699" s="2" t="e">
        <f>AA699/Z699</f>
        <v>#DIV/0!</v>
      </c>
      <c r="AH699" s="2" t="e">
        <f>AB699/AA699</f>
        <v>#DIV/0!</v>
      </c>
    </row>
    <row r="700" spans="1:34">
      <c r="A700" s="103" t="s">
        <v>539</v>
      </c>
      <c r="B700" s="103" t="s">
        <v>540</v>
      </c>
      <c r="C700" s="191">
        <v>46186</v>
      </c>
      <c r="D700" s="42">
        <v>0.70833333333333337</v>
      </c>
      <c r="E700" s="8">
        <v>41</v>
      </c>
      <c r="F700" s="197" t="s">
        <v>542</v>
      </c>
      <c r="G700" s="2">
        <v>1</v>
      </c>
      <c r="H700" s="2">
        <v>9</v>
      </c>
      <c r="I700" s="151">
        <v>170</v>
      </c>
      <c r="J700" s="179" t="s">
        <v>766</v>
      </c>
      <c r="K700" s="179" t="s">
        <v>598</v>
      </c>
      <c r="L700" s="160">
        <v>30000</v>
      </c>
      <c r="M700" s="69">
        <v>20</v>
      </c>
      <c r="N700" s="39" t="s">
        <v>48</v>
      </c>
      <c r="O700" s="39" t="s">
        <v>49</v>
      </c>
      <c r="P700" s="211" t="s">
        <v>830</v>
      </c>
      <c r="Q700" s="19">
        <v>49</v>
      </c>
      <c r="R700" s="59">
        <f>Q700/I700</f>
        <v>0.28823529411764703</v>
      </c>
      <c r="S700" s="5">
        <f>($AC700*$AD700)/(($Z700/$Y700)+($AA700/$Z700)+($AB700/$AA700))</f>
        <v>26.046511627906977</v>
      </c>
      <c r="U700" s="109" t="s">
        <v>767</v>
      </c>
      <c r="V700" s="71" t="s">
        <v>1395</v>
      </c>
      <c r="W700" s="179" t="s">
        <v>1389</v>
      </c>
      <c r="Y700" s="2">
        <v>4</v>
      </c>
      <c r="Z700" s="2">
        <v>8</v>
      </c>
      <c r="AA700" s="2">
        <v>30</v>
      </c>
      <c r="AB700" s="2">
        <v>150</v>
      </c>
      <c r="AC700" s="2">
        <v>14</v>
      </c>
      <c r="AD700" s="2">
        <v>20</v>
      </c>
      <c r="AE700" s="2">
        <f>AC700*AD700</f>
        <v>280</v>
      </c>
      <c r="AF700" s="2">
        <f>Z700/Y700</f>
        <v>2</v>
      </c>
      <c r="AG700" s="2">
        <f>AA700/Z700</f>
        <v>3.75</v>
      </c>
      <c r="AH700" s="2">
        <f>AB700/AA700</f>
        <v>5</v>
      </c>
    </row>
    <row r="701" spans="1:34">
      <c r="A701" s="102" t="s">
        <v>475</v>
      </c>
      <c r="B701" s="102" t="s">
        <v>476</v>
      </c>
      <c r="C701" s="47">
        <v>46186</v>
      </c>
      <c r="D701" s="42">
        <v>0.75</v>
      </c>
      <c r="E701" s="8" t="s">
        <v>500</v>
      </c>
      <c r="F701" s="194" t="s">
        <v>501</v>
      </c>
      <c r="G701" s="2">
        <v>2</v>
      </c>
      <c r="H701" s="2">
        <v>9</v>
      </c>
      <c r="I701" s="126">
        <v>500</v>
      </c>
      <c r="J701" s="2" t="s">
        <v>766</v>
      </c>
      <c r="K701" s="109" t="s">
        <v>601</v>
      </c>
      <c r="L701" s="201">
        <v>40000</v>
      </c>
      <c r="M701" s="203" t="s">
        <v>22</v>
      </c>
      <c r="N701" s="39" t="s">
        <v>48</v>
      </c>
      <c r="O701" s="39" t="s">
        <v>49</v>
      </c>
      <c r="P701" s="211" t="s">
        <v>841</v>
      </c>
      <c r="Q701" s="19">
        <v>75</v>
      </c>
      <c r="R701" s="15">
        <f>Q701/I701</f>
        <v>0.15</v>
      </c>
      <c r="S701" s="5">
        <f>($AC701*$AD701)/(($Z701/$Y701)+($AA701/$Z701)+($AB701/$AA701))</f>
        <v>71.293161814488826</v>
      </c>
      <c r="U701" s="109" t="s">
        <v>767</v>
      </c>
      <c r="V701" s="2" t="s">
        <v>641</v>
      </c>
      <c r="Y701" s="2">
        <v>2.5</v>
      </c>
      <c r="Z701" s="2">
        <v>6.5</v>
      </c>
      <c r="AA701" s="2">
        <v>15</v>
      </c>
      <c r="AB701" s="2">
        <v>40</v>
      </c>
      <c r="AC701" s="2">
        <v>30</v>
      </c>
      <c r="AD701" s="2">
        <v>18</v>
      </c>
      <c r="AE701" s="2">
        <f>AC701*AD701</f>
        <v>540</v>
      </c>
      <c r="AF701" s="2">
        <f>Z701/Y701</f>
        <v>2.6</v>
      </c>
      <c r="AG701" s="2">
        <f>AA701/Z701</f>
        <v>2.3076923076923075</v>
      </c>
      <c r="AH701" s="2">
        <f>AB701/AA701</f>
        <v>2.6666666666666665</v>
      </c>
    </row>
    <row r="702" spans="1:34">
      <c r="A702" s="52" t="s">
        <v>229</v>
      </c>
      <c r="B702" s="52" t="s">
        <v>230</v>
      </c>
      <c r="C702" s="190">
        <v>46186</v>
      </c>
      <c r="D702" s="42">
        <v>0.75</v>
      </c>
      <c r="E702" s="193"/>
      <c r="F702" s="194" t="s">
        <v>244</v>
      </c>
      <c r="G702" s="2">
        <v>1</v>
      </c>
      <c r="I702" s="126">
        <v>200</v>
      </c>
      <c r="J702" s="2" t="s">
        <v>766</v>
      </c>
      <c r="K702" s="88" t="s">
        <v>804</v>
      </c>
      <c r="L702" s="91">
        <v>30000</v>
      </c>
      <c r="M702" s="194">
        <v>20</v>
      </c>
      <c r="N702" s="39" t="s">
        <v>48</v>
      </c>
      <c r="O702" s="39" t="s">
        <v>49</v>
      </c>
      <c r="P702" s="211" t="s">
        <v>832</v>
      </c>
      <c r="Q702" s="19">
        <v>40</v>
      </c>
      <c r="R702" s="15">
        <f>IF(Q702&gt;0,Q702/I702,"")</f>
        <v>0.2</v>
      </c>
      <c r="S702" s="5">
        <f>($AC702*$AD702)/(($Z702/$Y702)+($AA702/$Z702)+($AB702/$AA702))</f>
        <v>35.555555555555557</v>
      </c>
      <c r="U702" s="109" t="s">
        <v>767</v>
      </c>
      <c r="V702" s="205" t="s">
        <v>719</v>
      </c>
      <c r="W702" s="205"/>
      <c r="Y702" s="2">
        <v>2</v>
      </c>
      <c r="Z702" s="2">
        <v>5</v>
      </c>
      <c r="AA702" s="2">
        <v>20</v>
      </c>
      <c r="AB702" s="2">
        <v>50</v>
      </c>
      <c r="AC702" s="2">
        <v>20</v>
      </c>
      <c r="AD702" s="2">
        <v>16</v>
      </c>
      <c r="AE702" s="2">
        <f>AC702*AD702</f>
        <v>320</v>
      </c>
      <c r="AF702" s="2">
        <f>Z702/Y702</f>
        <v>2.5</v>
      </c>
      <c r="AG702" s="2">
        <f>AA702/Z702</f>
        <v>4</v>
      </c>
      <c r="AH702" s="2">
        <f>AB702/AA702</f>
        <v>2.5</v>
      </c>
    </row>
    <row r="703" spans="1:34">
      <c r="A703" s="52" t="s">
        <v>220</v>
      </c>
      <c r="B703" s="52" t="s">
        <v>221</v>
      </c>
      <c r="C703" s="191">
        <v>46186</v>
      </c>
      <c r="D703" s="42">
        <v>0.75</v>
      </c>
      <c r="E703" s="193"/>
      <c r="F703" s="194" t="s">
        <v>1087</v>
      </c>
      <c r="G703" s="2">
        <v>1</v>
      </c>
      <c r="H703" s="2">
        <v>9</v>
      </c>
      <c r="I703" s="126">
        <v>500</v>
      </c>
      <c r="J703" s="2" t="s">
        <v>766</v>
      </c>
      <c r="K703" s="88" t="s">
        <v>799</v>
      </c>
      <c r="L703" s="91">
        <v>20000</v>
      </c>
      <c r="M703" s="194">
        <v>20</v>
      </c>
      <c r="N703" s="39" t="s">
        <v>61</v>
      </c>
      <c r="O703" s="39" t="s">
        <v>49</v>
      </c>
      <c r="P703" s="214" t="s">
        <v>225</v>
      </c>
      <c r="Q703" s="19">
        <v>77</v>
      </c>
      <c r="R703" s="15">
        <f>Q703/I703</f>
        <v>0.154</v>
      </c>
      <c r="S703" s="5">
        <f>($AC703*$AD703)/(($Z703/$Y703)+($AA703/$Z703)+($AB703/$AA703))</f>
        <v>31.111111111111111</v>
      </c>
      <c r="U703" s="109" t="s">
        <v>767</v>
      </c>
      <c r="V703" s="205" t="s">
        <v>738</v>
      </c>
      <c r="W703" s="205"/>
      <c r="Y703" s="2">
        <v>2</v>
      </c>
      <c r="Z703" s="2">
        <v>5</v>
      </c>
      <c r="AA703" s="2">
        <v>20</v>
      </c>
      <c r="AB703" s="2">
        <v>50</v>
      </c>
      <c r="AC703" s="2">
        <v>14</v>
      </c>
      <c r="AD703" s="2">
        <v>20</v>
      </c>
      <c r="AE703" s="2">
        <f>AC703*AD703</f>
        <v>280</v>
      </c>
      <c r="AF703" s="2">
        <f>Z703/Y703</f>
        <v>2.5</v>
      </c>
      <c r="AG703" s="2">
        <f>AA703/Z703</f>
        <v>4</v>
      </c>
      <c r="AH703" s="2">
        <f>AB703/AA703</f>
        <v>2.5</v>
      </c>
    </row>
    <row r="704" spans="1:34">
      <c r="A704" s="96" t="s">
        <v>461</v>
      </c>
      <c r="B704" s="96" t="s">
        <v>462</v>
      </c>
      <c r="C704" s="41">
        <v>46186</v>
      </c>
      <c r="D704" s="42">
        <v>0.75694444444444442</v>
      </c>
      <c r="F704" s="194" t="s">
        <v>460</v>
      </c>
      <c r="G704" s="2">
        <v>1</v>
      </c>
      <c r="I704" s="126">
        <v>200</v>
      </c>
      <c r="J704" s="2" t="s">
        <v>766</v>
      </c>
      <c r="K704" s="109" t="s">
        <v>602</v>
      </c>
      <c r="L704" s="194">
        <v>30000</v>
      </c>
      <c r="M704" s="69">
        <v>20</v>
      </c>
      <c r="N704" s="39" t="s">
        <v>48</v>
      </c>
      <c r="O704" s="39" t="s">
        <v>49</v>
      </c>
      <c r="P704" s="140" t="s">
        <v>833</v>
      </c>
      <c r="Q704" s="19">
        <v>40</v>
      </c>
      <c r="R704" s="15">
        <f>Q704/I704</f>
        <v>0.2</v>
      </c>
      <c r="S704" s="5">
        <f>($AC704*$AD704)/(($Z704/$Y704)+($AA704/$Z704)+($AB704/$AA704))</f>
        <v>41.632653061224495</v>
      </c>
      <c r="U704" s="109" t="s">
        <v>219</v>
      </c>
      <c r="V704" s="205" t="s">
        <v>735</v>
      </c>
      <c r="W704" s="251" t="s">
        <v>466</v>
      </c>
      <c r="Y704" s="2">
        <v>2</v>
      </c>
      <c r="Z704" s="2">
        <v>5</v>
      </c>
      <c r="AA704" s="2">
        <v>15</v>
      </c>
      <c r="AB704" s="2">
        <v>40</v>
      </c>
      <c r="AC704" s="2">
        <v>17</v>
      </c>
      <c r="AD704" s="2">
        <v>20</v>
      </c>
      <c r="AE704" s="2">
        <f>AC704*AD704</f>
        <v>340</v>
      </c>
      <c r="AF704" s="2">
        <f>Z704/Y704</f>
        <v>2.5</v>
      </c>
      <c r="AG704" s="2">
        <f>AA704/Z704</f>
        <v>3</v>
      </c>
      <c r="AH704" s="2">
        <f>AB704/AA704</f>
        <v>2.6666666666666665</v>
      </c>
    </row>
    <row r="705" spans="1:34">
      <c r="A705" s="68" t="s">
        <v>357</v>
      </c>
      <c r="B705" s="68" t="s">
        <v>358</v>
      </c>
      <c r="C705" s="191">
        <v>46186</v>
      </c>
      <c r="D705" s="42">
        <v>0.75694444444444442</v>
      </c>
      <c r="E705" s="8">
        <v>47</v>
      </c>
      <c r="F705" s="197" t="s">
        <v>290</v>
      </c>
      <c r="G705" s="2">
        <v>1</v>
      </c>
      <c r="H705" s="2">
        <v>9</v>
      </c>
      <c r="I705" s="126">
        <v>600</v>
      </c>
      <c r="J705" s="2" t="s">
        <v>766</v>
      </c>
      <c r="K705" s="137" t="s">
        <v>602</v>
      </c>
      <c r="L705" s="92">
        <v>25000</v>
      </c>
      <c r="M705" s="69">
        <v>30</v>
      </c>
      <c r="N705" s="39" t="s">
        <v>48</v>
      </c>
      <c r="O705" s="39" t="s">
        <v>49</v>
      </c>
      <c r="P705" s="140" t="s">
        <v>836</v>
      </c>
      <c r="Q705" s="19">
        <v>80</v>
      </c>
      <c r="R705" s="15">
        <f>Q705/I705</f>
        <v>0.13333333333333333</v>
      </c>
      <c r="S705" s="5">
        <f>($AC705*$AD705)/(($Z705/$Y705)+($AA705/$Z705)+($AB705/$AA705))</f>
        <v>55.03292568203198</v>
      </c>
      <c r="U705" s="109" t="s">
        <v>219</v>
      </c>
      <c r="V705" s="2" t="s">
        <v>662</v>
      </c>
      <c r="W705" s="220" t="s">
        <v>389</v>
      </c>
      <c r="Y705" s="2">
        <v>2.5</v>
      </c>
      <c r="Z705" s="2">
        <v>6.5</v>
      </c>
      <c r="AA705" s="2">
        <v>20</v>
      </c>
      <c r="AB705" s="2">
        <v>50</v>
      </c>
      <c r="AC705" s="2">
        <v>30</v>
      </c>
      <c r="AD705" s="2">
        <v>15</v>
      </c>
      <c r="AE705" s="2">
        <f>AC705*AD705</f>
        <v>450</v>
      </c>
      <c r="AF705" s="2">
        <f>Z705/Y705</f>
        <v>2.6</v>
      </c>
      <c r="AG705" s="2">
        <f>AA705/Z705</f>
        <v>3.0769230769230771</v>
      </c>
      <c r="AH705" s="2">
        <f>AB705/AA705</f>
        <v>2.5</v>
      </c>
    </row>
    <row r="706" spans="1:34">
      <c r="A706" s="95" t="s">
        <v>447</v>
      </c>
      <c r="B706" s="95" t="s">
        <v>448</v>
      </c>
      <c r="C706" s="190">
        <v>46186</v>
      </c>
      <c r="D706" s="42">
        <v>0.79166666666666663</v>
      </c>
      <c r="E706" s="193"/>
      <c r="F706" s="194" t="s">
        <v>416</v>
      </c>
      <c r="G706" s="2">
        <v>1</v>
      </c>
      <c r="H706" s="2">
        <v>9</v>
      </c>
      <c r="I706" s="126">
        <v>160</v>
      </c>
      <c r="J706" s="2" t="s">
        <v>766</v>
      </c>
      <c r="K706" s="109" t="s">
        <v>602</v>
      </c>
      <c r="L706" s="194">
        <v>20000</v>
      </c>
      <c r="M706" s="194">
        <v>20</v>
      </c>
      <c r="N706" s="39" t="s">
        <v>61</v>
      </c>
      <c r="O706" s="39" t="s">
        <v>49</v>
      </c>
      <c r="P706" s="214" t="s">
        <v>225</v>
      </c>
      <c r="Q706" s="19">
        <v>35</v>
      </c>
      <c r="R706" s="15">
        <f>Q706/I706</f>
        <v>0.21875</v>
      </c>
      <c r="S706" s="215">
        <f>($AC706*$AD706)/(($Z706/$Y706)+($AA706/$Z706)+($AB706/$AA706))</f>
        <v>31.111111111111111</v>
      </c>
      <c r="U706" s="109" t="s">
        <v>767</v>
      </c>
      <c r="V706" s="205" t="s">
        <v>741</v>
      </c>
      <c r="W706" s="238" t="s">
        <v>744</v>
      </c>
      <c r="Y706" s="2">
        <v>2</v>
      </c>
      <c r="Z706" s="2">
        <v>5</v>
      </c>
      <c r="AA706" s="2">
        <v>20</v>
      </c>
      <c r="AB706" s="2">
        <v>50</v>
      </c>
      <c r="AC706" s="2">
        <v>14</v>
      </c>
      <c r="AD706" s="2">
        <v>20</v>
      </c>
      <c r="AE706" s="2">
        <f>AC706*AD706</f>
        <v>280</v>
      </c>
      <c r="AF706" s="2">
        <f>Z706/Y706</f>
        <v>2.5</v>
      </c>
      <c r="AG706" s="2">
        <f>AA706/Z706</f>
        <v>4</v>
      </c>
      <c r="AH706" s="2">
        <f>AB706/AA706</f>
        <v>2.5</v>
      </c>
    </row>
    <row r="707" spans="1:34">
      <c r="A707" s="165" t="s">
        <v>1383</v>
      </c>
      <c r="B707" s="39" t="s">
        <v>63</v>
      </c>
      <c r="C707" s="41">
        <v>46186</v>
      </c>
      <c r="D707" s="144">
        <v>0.79166666666666663</v>
      </c>
      <c r="F707" s="194" t="s">
        <v>907</v>
      </c>
      <c r="G707" s="2">
        <v>1</v>
      </c>
      <c r="H707" s="2">
        <v>9</v>
      </c>
      <c r="I707" s="45">
        <v>1100</v>
      </c>
      <c r="J707" s="2" t="s">
        <v>766</v>
      </c>
      <c r="K707" s="88" t="s">
        <v>800</v>
      </c>
      <c r="L707" s="92">
        <v>15000</v>
      </c>
      <c r="M707" s="82">
        <v>20</v>
      </c>
      <c r="N707" s="132" t="s">
        <v>821</v>
      </c>
      <c r="O707" s="39" t="s">
        <v>49</v>
      </c>
      <c r="P707" s="130"/>
      <c r="Q707" s="19">
        <f>88+37</f>
        <v>125</v>
      </c>
      <c r="R707" s="15">
        <f>Q707/I707</f>
        <v>0.11363636363636363</v>
      </c>
      <c r="S707" s="5">
        <v>32</v>
      </c>
      <c r="U707" s="109" t="s">
        <v>129</v>
      </c>
      <c r="V707" s="71" t="s">
        <v>362</v>
      </c>
      <c r="W707" s="8" t="s">
        <v>370</v>
      </c>
      <c r="Y707" s="175"/>
      <c r="Z707" s="175"/>
      <c r="AA707" s="175"/>
      <c r="AB707" s="175"/>
      <c r="AC707" s="175"/>
      <c r="AD707" s="175"/>
      <c r="AE707" s="175"/>
      <c r="AF707" s="175"/>
      <c r="AG707" s="175"/>
      <c r="AH707" s="175"/>
    </row>
    <row r="708" spans="1:34">
      <c r="A708" s="165" t="s">
        <v>1383</v>
      </c>
      <c r="B708" s="72" t="s">
        <v>63</v>
      </c>
      <c r="C708" s="77">
        <v>46186</v>
      </c>
      <c r="D708" s="144">
        <v>0.83333333333333337</v>
      </c>
      <c r="E708" s="138"/>
      <c r="F708" s="194" t="s">
        <v>1023</v>
      </c>
      <c r="G708" s="73">
        <v>1</v>
      </c>
      <c r="H708" s="73">
        <v>9</v>
      </c>
      <c r="I708" s="78">
        <v>200</v>
      </c>
      <c r="J708" s="2" t="s">
        <v>766</v>
      </c>
      <c r="K708" s="88" t="s">
        <v>806</v>
      </c>
      <c r="L708" s="154">
        <v>20000</v>
      </c>
      <c r="M708" s="79">
        <v>20</v>
      </c>
      <c r="N708" s="39" t="s">
        <v>817</v>
      </c>
      <c r="O708" s="39" t="s">
        <v>49</v>
      </c>
      <c r="P708" s="155"/>
      <c r="Q708" s="74">
        <v>45</v>
      </c>
      <c r="R708" s="75">
        <f>Q708/I708</f>
        <v>0.22500000000000001</v>
      </c>
      <c r="S708" s="121">
        <v>23</v>
      </c>
      <c r="T708" s="121"/>
      <c r="U708" s="109" t="s">
        <v>129</v>
      </c>
      <c r="V708" s="80" t="s">
        <v>360</v>
      </c>
      <c r="W708" s="73"/>
      <c r="Y708" s="175"/>
      <c r="Z708" s="175"/>
      <c r="AA708" s="175"/>
      <c r="AB708" s="175"/>
      <c r="AC708" s="175"/>
      <c r="AD708" s="175"/>
      <c r="AE708" s="175"/>
      <c r="AF708" s="175"/>
      <c r="AG708" s="175"/>
      <c r="AH708" s="175"/>
    </row>
    <row r="709" spans="1:34">
      <c r="A709" s="103" t="s">
        <v>539</v>
      </c>
      <c r="B709" s="103" t="s">
        <v>540</v>
      </c>
      <c r="C709" s="191">
        <v>46186</v>
      </c>
      <c r="D709" s="42">
        <v>0.875</v>
      </c>
      <c r="E709" s="8">
        <v>42</v>
      </c>
      <c r="F709" s="197" t="s">
        <v>544</v>
      </c>
      <c r="G709" s="2">
        <v>1</v>
      </c>
      <c r="H709" s="2">
        <v>9</v>
      </c>
      <c r="I709" s="126">
        <v>150</v>
      </c>
      <c r="J709" s="179" t="s">
        <v>766</v>
      </c>
      <c r="K709" s="179" t="s">
        <v>602</v>
      </c>
      <c r="L709" s="92">
        <v>30000</v>
      </c>
      <c r="M709" s="69">
        <v>15</v>
      </c>
      <c r="N709" s="39" t="s">
        <v>48</v>
      </c>
      <c r="O709" s="39" t="s">
        <v>49</v>
      </c>
      <c r="P709" s="211" t="s">
        <v>828</v>
      </c>
      <c r="Q709" s="19">
        <v>46</v>
      </c>
      <c r="R709" s="15">
        <f>Q709/I709</f>
        <v>0.30666666666666664</v>
      </c>
      <c r="S709" s="5">
        <f>($AC709*$AD709)/(($Z709/$Y709)+($AA709/$Z709)+($AB709/$AA709))</f>
        <v>19.534883720930232</v>
      </c>
      <c r="U709" s="109" t="s">
        <v>129</v>
      </c>
      <c r="V709" s="21" t="s">
        <v>1395</v>
      </c>
      <c r="W709" s="179" t="s">
        <v>1389</v>
      </c>
      <c r="Y709" s="2">
        <v>4</v>
      </c>
      <c r="Z709" s="2">
        <v>8</v>
      </c>
      <c r="AA709" s="2">
        <v>30</v>
      </c>
      <c r="AB709" s="2">
        <v>150</v>
      </c>
      <c r="AC709" s="2">
        <v>14</v>
      </c>
      <c r="AD709" s="2">
        <v>15</v>
      </c>
      <c r="AE709" s="2">
        <f>AC709*AD709</f>
        <v>210</v>
      </c>
      <c r="AF709" s="2">
        <f>Z709/Y709</f>
        <v>2</v>
      </c>
      <c r="AG709" s="2">
        <f>AA709/Z709</f>
        <v>3.75</v>
      </c>
      <c r="AH709" s="2">
        <f>AB709/AA709</f>
        <v>5</v>
      </c>
    </row>
    <row r="710" spans="1:34">
      <c r="A710" s="102" t="s">
        <v>475</v>
      </c>
      <c r="B710" s="102" t="s">
        <v>476</v>
      </c>
      <c r="C710" s="41">
        <v>46186</v>
      </c>
      <c r="D710" s="42">
        <v>0.88194444444444442</v>
      </c>
      <c r="E710" s="193"/>
      <c r="F710" s="194" t="s">
        <v>483</v>
      </c>
      <c r="G710" s="2">
        <v>1</v>
      </c>
      <c r="H710" s="2">
        <v>9</v>
      </c>
      <c r="I710" s="126">
        <v>160</v>
      </c>
      <c r="J710" s="2" t="s">
        <v>766</v>
      </c>
      <c r="K710" s="109" t="s">
        <v>603</v>
      </c>
      <c r="L710" s="201">
        <v>20000</v>
      </c>
      <c r="M710" s="203">
        <v>20</v>
      </c>
      <c r="N710" s="39" t="s">
        <v>48</v>
      </c>
      <c r="O710" s="39" t="s">
        <v>49</v>
      </c>
      <c r="P710" s="211" t="s">
        <v>828</v>
      </c>
      <c r="Q710" s="19">
        <v>30</v>
      </c>
      <c r="R710" s="15">
        <f>Q710/I710</f>
        <v>0.1875</v>
      </c>
      <c r="S710" s="5">
        <f>($AC710*$AD710)/(($Z710/$Y710)+($AA710/$Z710)+($AB710/$AA710))</f>
        <v>20</v>
      </c>
      <c r="U710" s="109" t="s">
        <v>767</v>
      </c>
      <c r="V710" s="21" t="s">
        <v>595</v>
      </c>
      <c r="W710" s="107" t="s">
        <v>604</v>
      </c>
      <c r="Y710" s="2">
        <v>2</v>
      </c>
      <c r="Z710" s="2">
        <v>5</v>
      </c>
      <c r="AA710" s="2">
        <v>40</v>
      </c>
      <c r="AB710" s="2">
        <v>100</v>
      </c>
      <c r="AC710" s="2">
        <v>20</v>
      </c>
      <c r="AD710" s="2">
        <v>13</v>
      </c>
      <c r="AE710" s="2">
        <f>AC710*AD710</f>
        <v>260</v>
      </c>
      <c r="AF710" s="2">
        <f>Z710/Y710</f>
        <v>2.5</v>
      </c>
      <c r="AG710" s="2">
        <f>AA710/Z710</f>
        <v>8</v>
      </c>
      <c r="AH710" s="2">
        <f>AB710/AA710</f>
        <v>2.5</v>
      </c>
    </row>
    <row r="711" spans="1:34">
      <c r="A711" s="165" t="s">
        <v>1383</v>
      </c>
      <c r="B711" s="39" t="s">
        <v>63</v>
      </c>
      <c r="C711" s="41">
        <v>46186</v>
      </c>
      <c r="D711" s="144">
        <v>0.91666666666666663</v>
      </c>
      <c r="F711" s="194" t="s">
        <v>909</v>
      </c>
      <c r="G711" s="2">
        <v>1</v>
      </c>
      <c r="H711" s="2">
        <v>9</v>
      </c>
      <c r="I711" s="45">
        <v>135</v>
      </c>
      <c r="J711" s="2" t="s">
        <v>766</v>
      </c>
      <c r="K711" s="88" t="s">
        <v>813</v>
      </c>
      <c r="L711" s="92">
        <v>10000</v>
      </c>
      <c r="M711" s="69">
        <v>15</v>
      </c>
      <c r="N711" s="132" t="s">
        <v>821</v>
      </c>
      <c r="O711" s="39" t="s">
        <v>49</v>
      </c>
      <c r="P711" s="130"/>
      <c r="Q711" s="19">
        <v>35</v>
      </c>
      <c r="R711" s="15">
        <f>Q711/I711</f>
        <v>0.25925925925925924</v>
      </c>
      <c r="S711" s="5">
        <v>22</v>
      </c>
      <c r="U711" s="109" t="s">
        <v>767</v>
      </c>
      <c r="V711" s="71" t="s">
        <v>362</v>
      </c>
      <c r="W711" s="8" t="s">
        <v>369</v>
      </c>
      <c r="Y711" s="175"/>
      <c r="Z711" s="175"/>
      <c r="AA711" s="175"/>
      <c r="AB711" s="175"/>
      <c r="AC711" s="175"/>
      <c r="AD711" s="175"/>
      <c r="AE711" s="175"/>
      <c r="AF711" s="175"/>
      <c r="AG711" s="175"/>
      <c r="AH711" s="175"/>
    </row>
    <row r="712" spans="1:34">
      <c r="A712" s="96" t="s">
        <v>461</v>
      </c>
      <c r="B712" s="96" t="s">
        <v>462</v>
      </c>
      <c r="C712" s="41">
        <v>46186</v>
      </c>
      <c r="D712" s="42">
        <v>0.92361111111111116</v>
      </c>
      <c r="F712" s="194" t="s">
        <v>459</v>
      </c>
      <c r="G712" s="2">
        <v>1</v>
      </c>
      <c r="I712" s="126">
        <v>120</v>
      </c>
      <c r="J712" s="2" t="s">
        <v>766</v>
      </c>
      <c r="K712" s="109" t="s">
        <v>602</v>
      </c>
      <c r="L712" s="194">
        <v>20000</v>
      </c>
      <c r="M712" s="69">
        <v>20</v>
      </c>
      <c r="N712" s="39" t="s">
        <v>48</v>
      </c>
      <c r="O712" s="39" t="s">
        <v>465</v>
      </c>
      <c r="P712" s="53">
        <v>4000</v>
      </c>
      <c r="Q712" s="2">
        <v>24</v>
      </c>
      <c r="R712" s="15">
        <f>Q712/I712</f>
        <v>0.2</v>
      </c>
      <c r="S712" s="149" t="s">
        <v>110</v>
      </c>
      <c r="T712" s="149"/>
      <c r="U712" s="109" t="s">
        <v>767</v>
      </c>
      <c r="V712" s="2" t="s">
        <v>735</v>
      </c>
      <c r="AE712" s="2">
        <f>AC712*AD712</f>
        <v>0</v>
      </c>
      <c r="AF712" s="2" t="e">
        <f>Z712/Y712</f>
        <v>#DIV/0!</v>
      </c>
      <c r="AG712" s="2" t="e">
        <f>AA712/Z712</f>
        <v>#DIV/0!</v>
      </c>
      <c r="AH712" s="2" t="e">
        <f>AB712/AA712</f>
        <v>#DIV/0!</v>
      </c>
    </row>
    <row r="713" spans="1:34">
      <c r="A713" s="165" t="s">
        <v>1383</v>
      </c>
      <c r="B713" s="36" t="s">
        <v>63</v>
      </c>
      <c r="C713" s="41">
        <v>46186</v>
      </c>
      <c r="D713" s="144" t="s">
        <v>117</v>
      </c>
      <c r="E713" s="14">
        <v>34</v>
      </c>
      <c r="F713" s="194" t="s">
        <v>960</v>
      </c>
      <c r="G713" s="2">
        <v>4</v>
      </c>
      <c r="H713" s="2">
        <v>9</v>
      </c>
      <c r="I713" s="45">
        <v>500</v>
      </c>
      <c r="J713" s="2" t="s">
        <v>761</v>
      </c>
      <c r="K713" s="109" t="s">
        <v>601</v>
      </c>
      <c r="L713" s="92">
        <v>50000</v>
      </c>
      <c r="M713" s="69">
        <v>40</v>
      </c>
      <c r="N713" s="39" t="s">
        <v>48</v>
      </c>
      <c r="O713" s="39" t="s">
        <v>49</v>
      </c>
      <c r="P713" s="130"/>
      <c r="Q713" s="19">
        <f>R713*I713</f>
        <v>0</v>
      </c>
      <c r="R713" s="15">
        <v>0</v>
      </c>
      <c r="S713" s="5">
        <f>($AC713*$AD713)/(($Z713/$Y713)+($AA713/$Z713)+($AB713/$AA713))</f>
        <v>107.99584631360334</v>
      </c>
      <c r="U713" s="109" t="s">
        <v>767</v>
      </c>
      <c r="V713" s="2" t="s">
        <v>121</v>
      </c>
      <c r="W713" s="205"/>
      <c r="Y713" s="2">
        <v>2</v>
      </c>
      <c r="Z713" s="2">
        <v>5</v>
      </c>
      <c r="AA713" s="2">
        <v>13</v>
      </c>
      <c r="AB713" s="2">
        <v>30</v>
      </c>
      <c r="AC713" s="2">
        <v>20</v>
      </c>
      <c r="AD713" s="2">
        <v>40</v>
      </c>
      <c r="AE713" s="2">
        <f>AC713*AD713</f>
        <v>800</v>
      </c>
      <c r="AF713" s="2">
        <f>Z713/Y713</f>
        <v>2.5</v>
      </c>
      <c r="AG713" s="2">
        <f>AA713/Z713</f>
        <v>2.6</v>
      </c>
      <c r="AH713" s="2">
        <f>AB713/AA713</f>
        <v>2.3076923076923075</v>
      </c>
    </row>
    <row r="714" spans="1:34">
      <c r="A714" s="165" t="s">
        <v>1383</v>
      </c>
      <c r="B714" s="36" t="s">
        <v>63</v>
      </c>
      <c r="C714" s="41">
        <v>46186</v>
      </c>
      <c r="D714" s="144" t="s">
        <v>115</v>
      </c>
      <c r="E714" s="8">
        <v>41</v>
      </c>
      <c r="F714" s="194" t="s">
        <v>965</v>
      </c>
      <c r="G714" s="2">
        <v>3</v>
      </c>
      <c r="H714" s="2">
        <v>8</v>
      </c>
      <c r="I714" s="45">
        <v>250000</v>
      </c>
      <c r="J714" s="2" t="s">
        <v>760</v>
      </c>
      <c r="K714" s="109" t="s">
        <v>815</v>
      </c>
      <c r="L714" s="92">
        <v>1500000</v>
      </c>
      <c r="M714" s="69">
        <v>60</v>
      </c>
      <c r="N714" s="39" t="s">
        <v>48</v>
      </c>
      <c r="O714" s="39" t="s">
        <v>49</v>
      </c>
      <c r="P714" s="130"/>
      <c r="Q714" s="19">
        <f>R714*I714</f>
        <v>5000</v>
      </c>
      <c r="R714" s="15">
        <v>0.02</v>
      </c>
      <c r="S714" s="5">
        <f>($AC714*$AD714)/(($Z714/$Y714)+($AA714/$Z714)+($AB714/$AA714))</f>
        <v>178.37837837837836</v>
      </c>
      <c r="U714" s="109" t="s">
        <v>767</v>
      </c>
      <c r="V714" s="2" t="s">
        <v>121</v>
      </c>
      <c r="W714" s="10"/>
      <c r="Y714" s="2">
        <v>40</v>
      </c>
      <c r="Z714" s="2">
        <v>100</v>
      </c>
      <c r="AA714" s="2">
        <v>250</v>
      </c>
      <c r="AB714" s="2">
        <v>600</v>
      </c>
      <c r="AC714" s="2">
        <v>22</v>
      </c>
      <c r="AD714" s="2">
        <v>60</v>
      </c>
      <c r="AE714" s="2">
        <f>AC714*AD714</f>
        <v>1320</v>
      </c>
      <c r="AF714" s="2">
        <f>Z714/Y714</f>
        <v>2.5</v>
      </c>
      <c r="AG714" s="2">
        <f>AA714/Z714</f>
        <v>2.5</v>
      </c>
      <c r="AH714" s="2">
        <f>AB714/AA714</f>
        <v>2.4</v>
      </c>
    </row>
    <row r="715" spans="1:34">
      <c r="A715" s="165" t="s">
        <v>1383</v>
      </c>
      <c r="B715" s="36" t="s">
        <v>63</v>
      </c>
      <c r="C715" s="41">
        <v>46186</v>
      </c>
      <c r="D715" s="144" t="s">
        <v>115</v>
      </c>
      <c r="E715" s="8">
        <v>39</v>
      </c>
      <c r="F715" s="194" t="s">
        <v>1362</v>
      </c>
      <c r="G715" s="2">
        <v>4</v>
      </c>
      <c r="H715" s="2">
        <v>8</v>
      </c>
      <c r="I715" s="45">
        <v>5000</v>
      </c>
      <c r="J715" s="2" t="s">
        <v>760</v>
      </c>
      <c r="K715" s="109" t="s">
        <v>601</v>
      </c>
      <c r="L715" s="92">
        <v>50000</v>
      </c>
      <c r="M715" s="69">
        <v>60</v>
      </c>
      <c r="N715" s="39" t="s">
        <v>48</v>
      </c>
      <c r="O715" s="39" t="s">
        <v>49</v>
      </c>
      <c r="P715" s="130"/>
      <c r="Q715" s="19">
        <f>R715*I715</f>
        <v>400</v>
      </c>
      <c r="R715" s="15">
        <v>0.08</v>
      </c>
      <c r="S715" s="5">
        <f>($AC715*$AD715)/(($Z715/$Y715)+($AA715/$Z715)+($AB715/$AA715))</f>
        <v>161.993769470405</v>
      </c>
      <c r="U715" s="109" t="s">
        <v>54</v>
      </c>
      <c r="V715" s="2" t="s">
        <v>121</v>
      </c>
      <c r="W715" s="205"/>
      <c r="Y715" s="2">
        <v>2</v>
      </c>
      <c r="Z715" s="2">
        <v>5</v>
      </c>
      <c r="AA715" s="2">
        <v>13</v>
      </c>
      <c r="AB715" s="2">
        <v>30</v>
      </c>
      <c r="AC715" s="2">
        <v>20</v>
      </c>
      <c r="AD715" s="2">
        <v>60</v>
      </c>
      <c r="AE715" s="2">
        <f>AC715*AD715</f>
        <v>1200</v>
      </c>
      <c r="AF715" s="2">
        <f>Z715/Y715</f>
        <v>2.5</v>
      </c>
      <c r="AG715" s="2">
        <f>AA715/Z715</f>
        <v>2.6</v>
      </c>
      <c r="AH715" s="2">
        <f>AB715/AA715</f>
        <v>2.3076923076923075</v>
      </c>
    </row>
    <row r="716" spans="1:34">
      <c r="A716" s="165" t="s">
        <v>1383</v>
      </c>
      <c r="B716" s="36" t="s">
        <v>63</v>
      </c>
      <c r="C716" s="41">
        <v>46186</v>
      </c>
      <c r="D716" s="144" t="s">
        <v>116</v>
      </c>
      <c r="E716" s="8">
        <v>42</v>
      </c>
      <c r="F716" s="194" t="s">
        <v>165</v>
      </c>
      <c r="G716" s="2">
        <v>4</v>
      </c>
      <c r="H716" s="2">
        <v>8</v>
      </c>
      <c r="I716" s="45">
        <v>10000</v>
      </c>
      <c r="J716" s="2" t="s">
        <v>762</v>
      </c>
      <c r="K716" s="109" t="s">
        <v>601</v>
      </c>
      <c r="L716" s="92">
        <v>60000</v>
      </c>
      <c r="M716" s="69">
        <v>60</v>
      </c>
      <c r="N716" s="39" t="s">
        <v>48</v>
      </c>
      <c r="O716" s="39" t="s">
        <v>373</v>
      </c>
      <c r="P716" s="66"/>
      <c r="Q716" s="38">
        <f>R716*I716</f>
        <v>700.00000000000011</v>
      </c>
      <c r="R716" s="15">
        <v>7.0000000000000007E-2</v>
      </c>
      <c r="S716" s="149" t="s">
        <v>110</v>
      </c>
      <c r="T716" s="149"/>
      <c r="U716" s="109" t="s">
        <v>767</v>
      </c>
      <c r="V716" s="205" t="s">
        <v>121</v>
      </c>
      <c r="W716" s="205"/>
      <c r="AE716" s="2" t="e">
        <f>AD716*#REF!</f>
        <v>#REF!</v>
      </c>
      <c r="AF716" s="2" t="e">
        <f>Z716/Y716</f>
        <v>#DIV/0!</v>
      </c>
      <c r="AG716" s="2" t="e">
        <f>AA716/Z716</f>
        <v>#DIV/0!</v>
      </c>
      <c r="AH716" s="2" t="e">
        <f>AC716/AA716</f>
        <v>#DIV/0!</v>
      </c>
    </row>
    <row r="717" spans="1:34">
      <c r="A717" s="165" t="s">
        <v>1383</v>
      </c>
      <c r="B717" s="36" t="s">
        <v>63</v>
      </c>
      <c r="C717" s="41">
        <v>46186</v>
      </c>
      <c r="D717" s="144" t="s">
        <v>876</v>
      </c>
      <c r="E717" s="14">
        <v>35</v>
      </c>
      <c r="F717" s="194" t="s">
        <v>1231</v>
      </c>
      <c r="G717" s="2">
        <v>3</v>
      </c>
      <c r="H717" s="2">
        <v>9</v>
      </c>
      <c r="I717" s="45">
        <v>1500</v>
      </c>
      <c r="J717" s="2" t="s">
        <v>763</v>
      </c>
      <c r="K717" s="109" t="s">
        <v>598</v>
      </c>
      <c r="L717" s="92">
        <v>25000</v>
      </c>
      <c r="M717" s="69" t="s">
        <v>97</v>
      </c>
      <c r="N717" s="39" t="s">
        <v>48</v>
      </c>
      <c r="O717" s="39" t="s">
        <v>57</v>
      </c>
      <c r="P717" s="66"/>
      <c r="Q717" s="38">
        <f>R717*I717</f>
        <v>172.5</v>
      </c>
      <c r="R717" s="15">
        <v>0.115</v>
      </c>
      <c r="S717" s="149" t="s">
        <v>110</v>
      </c>
      <c r="T717" s="149"/>
      <c r="U717" s="109" t="s">
        <v>767</v>
      </c>
      <c r="V717" s="2" t="s">
        <v>121</v>
      </c>
      <c r="W717" s="205"/>
      <c r="AE717" s="2" t="e">
        <f>AD717*#REF!</f>
        <v>#REF!</v>
      </c>
      <c r="AF717" s="2" t="e">
        <f>Z717/Y717</f>
        <v>#DIV/0!</v>
      </c>
      <c r="AG717" s="2" t="e">
        <f>AA717/Z717</f>
        <v>#DIV/0!</v>
      </c>
      <c r="AH717" s="2" t="e">
        <f>AC717/AA717</f>
        <v>#DIV/0!</v>
      </c>
    </row>
    <row r="718" spans="1:34">
      <c r="A718" s="165" t="s">
        <v>1383</v>
      </c>
      <c r="B718" s="36" t="s">
        <v>63</v>
      </c>
      <c r="C718" s="41">
        <v>46186</v>
      </c>
      <c r="D718" s="144" t="s">
        <v>876</v>
      </c>
      <c r="E718" s="8">
        <v>38</v>
      </c>
      <c r="F718" s="194" t="s">
        <v>1245</v>
      </c>
      <c r="G718" s="2">
        <v>3</v>
      </c>
      <c r="H718" s="2">
        <v>7</v>
      </c>
      <c r="I718" s="45">
        <v>10000</v>
      </c>
      <c r="J718" s="2" t="s">
        <v>110</v>
      </c>
      <c r="K718" s="109" t="s">
        <v>816</v>
      </c>
      <c r="L718" s="92">
        <v>60000</v>
      </c>
      <c r="M718" s="69" t="s">
        <v>111</v>
      </c>
      <c r="N718" s="39" t="s">
        <v>48</v>
      </c>
      <c r="O718" s="39" t="s">
        <v>372</v>
      </c>
      <c r="P718" s="66"/>
      <c r="Q718" s="38">
        <f>R718*I718</f>
        <v>700.00000000000011</v>
      </c>
      <c r="R718" s="15">
        <v>7.0000000000000007E-2</v>
      </c>
      <c r="S718" s="149" t="s">
        <v>110</v>
      </c>
      <c r="T718" s="149"/>
      <c r="U718" s="109" t="s">
        <v>767</v>
      </c>
      <c r="V718" s="2" t="s">
        <v>121</v>
      </c>
      <c r="W718" s="205"/>
      <c r="AE718" s="2" t="e">
        <f>AD718*#REF!</f>
        <v>#REF!</v>
      </c>
      <c r="AF718" s="2" t="e">
        <f>Z718/Y718</f>
        <v>#DIV/0!</v>
      </c>
      <c r="AG718" s="2" t="e">
        <f>AA718/Z718</f>
        <v>#DIV/0!</v>
      </c>
      <c r="AH718" s="2" t="e">
        <f>AC718/AA718</f>
        <v>#DIV/0!</v>
      </c>
    </row>
    <row r="719" spans="1:34">
      <c r="A719" s="95" t="s">
        <v>447</v>
      </c>
      <c r="B719" s="95" t="s">
        <v>448</v>
      </c>
      <c r="C719" s="190">
        <v>46187</v>
      </c>
      <c r="D719" s="42">
        <v>0.375</v>
      </c>
      <c r="E719" s="193"/>
      <c r="F719" s="194" t="s">
        <v>418</v>
      </c>
      <c r="G719" s="2">
        <v>1</v>
      </c>
      <c r="H719" s="2">
        <v>9</v>
      </c>
      <c r="I719" s="126">
        <v>160</v>
      </c>
      <c r="J719" s="2" t="s">
        <v>766</v>
      </c>
      <c r="K719" s="109" t="s">
        <v>602</v>
      </c>
      <c r="L719" s="194">
        <v>20000</v>
      </c>
      <c r="M719" s="194">
        <v>15</v>
      </c>
      <c r="N719" s="39" t="s">
        <v>61</v>
      </c>
      <c r="O719" s="39" t="s">
        <v>49</v>
      </c>
      <c r="P719" s="214" t="s">
        <v>228</v>
      </c>
      <c r="Q719" s="19">
        <v>35</v>
      </c>
      <c r="R719" s="15">
        <f>Q719/I719</f>
        <v>0.21875</v>
      </c>
      <c r="S719" s="5">
        <f>($AC719*$AD719)/(($Z719/$Y719)+($AA719/$Z719)+($AB719/$AA719))</f>
        <v>23.333333333333332</v>
      </c>
      <c r="U719" s="109" t="s">
        <v>129</v>
      </c>
      <c r="V719" s="205" t="s">
        <v>741</v>
      </c>
      <c r="W719" s="116" t="s">
        <v>744</v>
      </c>
      <c r="Y719" s="2">
        <v>2</v>
      </c>
      <c r="Z719" s="2">
        <v>5</v>
      </c>
      <c r="AA719" s="2">
        <v>20</v>
      </c>
      <c r="AB719" s="2">
        <v>50</v>
      </c>
      <c r="AC719" s="2">
        <v>14</v>
      </c>
      <c r="AD719" s="2">
        <v>15</v>
      </c>
      <c r="AE719" s="2">
        <f>AC719*AD719</f>
        <v>210</v>
      </c>
      <c r="AF719" s="2">
        <f>Z719/Y719</f>
        <v>2.5</v>
      </c>
      <c r="AG719" s="2">
        <f>AA719/Z719</f>
        <v>4</v>
      </c>
      <c r="AH719" s="2">
        <f>AB719/AA719</f>
        <v>2.5</v>
      </c>
    </row>
    <row r="720" spans="1:34">
      <c r="A720" s="103" t="s">
        <v>539</v>
      </c>
      <c r="B720" s="103" t="s">
        <v>540</v>
      </c>
      <c r="C720" s="191">
        <v>46187</v>
      </c>
      <c r="D720" s="42">
        <v>0.41666666666666669</v>
      </c>
      <c r="E720" s="8">
        <v>43</v>
      </c>
      <c r="F720" s="197" t="s">
        <v>561</v>
      </c>
      <c r="G720" s="2">
        <v>1</v>
      </c>
      <c r="H720" s="2">
        <v>9</v>
      </c>
      <c r="I720" s="126">
        <v>500</v>
      </c>
      <c r="J720" s="179" t="s">
        <v>766</v>
      </c>
      <c r="K720" s="179" t="s">
        <v>815</v>
      </c>
      <c r="L720" s="92">
        <v>40000</v>
      </c>
      <c r="M720" s="69">
        <v>30</v>
      </c>
      <c r="N720" s="39" t="s">
        <v>48</v>
      </c>
      <c r="O720" s="39" t="s">
        <v>49</v>
      </c>
      <c r="P720" s="140" t="s">
        <v>838</v>
      </c>
      <c r="Q720" s="19">
        <v>70</v>
      </c>
      <c r="R720" s="15">
        <f>Q720/I720</f>
        <v>0.14000000000000001</v>
      </c>
      <c r="S720" s="5">
        <f>($AC720*$AD720)/(($Z720/$Y720)+($AA720/$Z720)+($AB720/$AA720))</f>
        <v>56.666666666666664</v>
      </c>
      <c r="U720" s="109" t="s">
        <v>54</v>
      </c>
      <c r="V720" s="71" t="s">
        <v>1395</v>
      </c>
      <c r="Y720" s="2">
        <v>2</v>
      </c>
      <c r="Z720" s="2">
        <v>5</v>
      </c>
      <c r="AA720" s="2">
        <v>20</v>
      </c>
      <c r="AB720" s="2">
        <v>50</v>
      </c>
      <c r="AC720" s="2">
        <v>17</v>
      </c>
      <c r="AD720" s="2">
        <v>30</v>
      </c>
      <c r="AE720" s="2">
        <f>AC720*AD720</f>
        <v>510</v>
      </c>
      <c r="AF720" s="2">
        <f>Z720/Y720</f>
        <v>2.5</v>
      </c>
      <c r="AG720" s="2">
        <f>AA720/Z720</f>
        <v>4</v>
      </c>
      <c r="AH720" s="2">
        <f>AB720/AA720</f>
        <v>2.5</v>
      </c>
    </row>
    <row r="721" spans="1:34">
      <c r="A721" s="68" t="s">
        <v>357</v>
      </c>
      <c r="B721" s="68" t="s">
        <v>358</v>
      </c>
      <c r="C721" s="191">
        <v>46187</v>
      </c>
      <c r="D721" s="42">
        <v>0.41666666666666669</v>
      </c>
      <c r="E721" s="8">
        <v>44</v>
      </c>
      <c r="F721" s="197" t="s">
        <v>1095</v>
      </c>
      <c r="G721" s="2">
        <v>2</v>
      </c>
      <c r="H721" s="2">
        <v>9</v>
      </c>
      <c r="I721" s="126">
        <v>1100</v>
      </c>
      <c r="J721" s="2" t="s">
        <v>766</v>
      </c>
      <c r="K721" s="137" t="s">
        <v>598</v>
      </c>
      <c r="L721" s="92">
        <v>40000</v>
      </c>
      <c r="M721" s="69">
        <v>40</v>
      </c>
      <c r="N721" s="39" t="s">
        <v>48</v>
      </c>
      <c r="O721" s="39" t="s">
        <v>49</v>
      </c>
      <c r="P721" s="211" t="s">
        <v>848</v>
      </c>
      <c r="Q721" s="19">
        <v>140</v>
      </c>
      <c r="R721" s="15">
        <f>Q721/I721</f>
        <v>0.12727272727272726</v>
      </c>
      <c r="S721" s="5">
        <f>($AC721*$AD721)/(($Z721/$Y721)+($AA721/$Z721)+($AB721/$AA721))</f>
        <v>102.59605399792316</v>
      </c>
      <c r="U721" s="109" t="s">
        <v>54</v>
      </c>
      <c r="V721" s="2" t="s">
        <v>674</v>
      </c>
      <c r="W721" s="205"/>
      <c r="Y721" s="2">
        <v>2</v>
      </c>
      <c r="Z721" s="2">
        <v>5</v>
      </c>
      <c r="AA721" s="2">
        <v>13</v>
      </c>
      <c r="AB721" s="2">
        <v>30</v>
      </c>
      <c r="AC721" s="2">
        <v>40</v>
      </c>
      <c r="AD721" s="2">
        <v>19</v>
      </c>
      <c r="AE721" s="2">
        <f>AC721*AD721</f>
        <v>760</v>
      </c>
      <c r="AF721" s="2">
        <f>Z721/Y721</f>
        <v>2.5</v>
      </c>
      <c r="AG721" s="2">
        <f>AA721/Z721</f>
        <v>2.6</v>
      </c>
      <c r="AH721" s="2">
        <f>AB721/AA721</f>
        <v>2.3076923076923075</v>
      </c>
    </row>
    <row r="722" spans="1:34">
      <c r="A722" s="96" t="s">
        <v>461</v>
      </c>
      <c r="B722" s="96" t="s">
        <v>462</v>
      </c>
      <c r="C722" s="41">
        <v>46187</v>
      </c>
      <c r="D722" s="42">
        <v>0.4236111111111111</v>
      </c>
      <c r="E722" s="193"/>
      <c r="F722" s="194" t="s">
        <v>457</v>
      </c>
      <c r="G722" s="2">
        <v>1</v>
      </c>
      <c r="I722" s="126">
        <v>120</v>
      </c>
      <c r="J722" s="2" t="s">
        <v>766</v>
      </c>
      <c r="K722" s="109" t="s">
        <v>602</v>
      </c>
      <c r="L722" s="194">
        <v>20000</v>
      </c>
      <c r="M722" s="69">
        <v>20</v>
      </c>
      <c r="N722" s="39" t="s">
        <v>48</v>
      </c>
      <c r="O722" s="39" t="s">
        <v>49</v>
      </c>
      <c r="P722" s="211" t="s">
        <v>832</v>
      </c>
      <c r="Q722" s="19">
        <v>24</v>
      </c>
      <c r="R722" s="15">
        <f>Q722/I722</f>
        <v>0.2</v>
      </c>
      <c r="S722" s="5">
        <f>($AC722*$AD722)/(($Z722/$Y722)+($AA722/$Z722)+($AB722/$AA722))</f>
        <v>25.161290322580644</v>
      </c>
      <c r="U722" s="109" t="s">
        <v>767</v>
      </c>
      <c r="V722" s="2" t="s">
        <v>735</v>
      </c>
      <c r="Y722" s="2">
        <v>2.5</v>
      </c>
      <c r="Z722" s="2">
        <v>7.5</v>
      </c>
      <c r="AA722" s="2">
        <v>30</v>
      </c>
      <c r="AB722" s="2">
        <v>100</v>
      </c>
      <c r="AC722" s="2">
        <v>13</v>
      </c>
      <c r="AD722" s="2">
        <v>20</v>
      </c>
      <c r="AE722" s="2">
        <f>AC722*AD722</f>
        <v>260</v>
      </c>
      <c r="AF722" s="2">
        <f>Z722/Y722</f>
        <v>3</v>
      </c>
      <c r="AG722" s="2">
        <f>AA722/Z722</f>
        <v>4</v>
      </c>
      <c r="AH722" s="2">
        <f>AB722/AA722</f>
        <v>3.3333333333333335</v>
      </c>
    </row>
    <row r="723" spans="1:34">
      <c r="A723" s="95" t="s">
        <v>447</v>
      </c>
      <c r="B723" s="95" t="s">
        <v>448</v>
      </c>
      <c r="C723" s="190">
        <v>46187</v>
      </c>
      <c r="D723" s="42">
        <v>0.45833333333333331</v>
      </c>
      <c r="E723" s="193"/>
      <c r="F723" s="194" t="s">
        <v>437</v>
      </c>
      <c r="G723" s="2">
        <v>1</v>
      </c>
      <c r="H723" s="2">
        <v>9</v>
      </c>
      <c r="I723" s="126">
        <v>1100</v>
      </c>
      <c r="J723" s="2" t="s">
        <v>766</v>
      </c>
      <c r="K723" s="109" t="s">
        <v>602</v>
      </c>
      <c r="L723" s="194">
        <v>30000</v>
      </c>
      <c r="M723" s="194">
        <v>30</v>
      </c>
      <c r="N723" s="39" t="s">
        <v>48</v>
      </c>
      <c r="O723" s="39" t="s">
        <v>49</v>
      </c>
      <c r="P723" s="211" t="s">
        <v>842</v>
      </c>
      <c r="Q723" s="19">
        <v>135</v>
      </c>
      <c r="R723" s="15">
        <f>Q723/I723</f>
        <v>0.12272727272727273</v>
      </c>
      <c r="S723" s="5">
        <f>($AC723*$AD723)/(($Z723/$Y723)+($AA723/$Z723)+($AB723/$AA723))</f>
        <v>72.897196261682254</v>
      </c>
      <c r="U723" s="109" t="s">
        <v>55</v>
      </c>
      <c r="V723" s="2" t="s">
        <v>741</v>
      </c>
      <c r="W723" s="116" t="s">
        <v>750</v>
      </c>
      <c r="Y723" s="2">
        <v>2</v>
      </c>
      <c r="Z723" s="2">
        <v>5</v>
      </c>
      <c r="AA723" s="2">
        <v>13</v>
      </c>
      <c r="AB723" s="2">
        <v>30</v>
      </c>
      <c r="AC723" s="2">
        <v>18</v>
      </c>
      <c r="AD723" s="2">
        <v>30</v>
      </c>
      <c r="AE723" s="2">
        <f>AC723*AD723</f>
        <v>540</v>
      </c>
      <c r="AF723" s="2">
        <f>Z723/Y723</f>
        <v>2.5</v>
      </c>
      <c r="AG723" s="2">
        <f>AA723/Z723</f>
        <v>2.6</v>
      </c>
      <c r="AH723" s="2">
        <f>AB723/AA723</f>
        <v>2.3076923076923075</v>
      </c>
    </row>
    <row r="724" spans="1:34">
      <c r="A724" s="165" t="s">
        <v>1383</v>
      </c>
      <c r="B724" s="36" t="s">
        <v>63</v>
      </c>
      <c r="C724" s="41">
        <v>46187</v>
      </c>
      <c r="D724" s="144">
        <v>0.45833333333333331</v>
      </c>
      <c r="E724" s="14">
        <v>34</v>
      </c>
      <c r="F724" s="194" t="s">
        <v>1196</v>
      </c>
      <c r="G724" s="2">
        <v>4</v>
      </c>
      <c r="H724" s="2">
        <v>9</v>
      </c>
      <c r="I724" s="45">
        <v>500</v>
      </c>
      <c r="J724" s="2" t="s">
        <v>761</v>
      </c>
      <c r="K724" s="109" t="s">
        <v>601</v>
      </c>
      <c r="L724" s="92">
        <v>50000</v>
      </c>
      <c r="M724" s="69">
        <v>40</v>
      </c>
      <c r="N724" s="39" t="s">
        <v>48</v>
      </c>
      <c r="O724" s="39" t="s">
        <v>49</v>
      </c>
      <c r="P724" s="130"/>
      <c r="Q724" s="19">
        <f>R724*I724</f>
        <v>0</v>
      </c>
      <c r="R724" s="15">
        <v>0</v>
      </c>
      <c r="S724" s="5">
        <f>($AC724*$AD724)/(($Z724/$Y724)+($AA724/$Z724)+($AB724/$AA724))</f>
        <v>107.99584631360334</v>
      </c>
      <c r="U724" s="109" t="s">
        <v>767</v>
      </c>
      <c r="V724" s="205" t="s">
        <v>121</v>
      </c>
      <c r="W724" s="205"/>
      <c r="Y724" s="2">
        <v>2</v>
      </c>
      <c r="Z724" s="2">
        <v>5</v>
      </c>
      <c r="AA724" s="2">
        <v>13</v>
      </c>
      <c r="AB724" s="2">
        <v>30</v>
      </c>
      <c r="AC724" s="2">
        <v>20</v>
      </c>
      <c r="AD724" s="2">
        <v>40</v>
      </c>
      <c r="AE724" s="2">
        <f>AC724*AD724</f>
        <v>800</v>
      </c>
      <c r="AF724" s="2">
        <f>Z724/Y724</f>
        <v>2.5</v>
      </c>
      <c r="AG724" s="2">
        <f>AA724/Z724</f>
        <v>2.6</v>
      </c>
      <c r="AH724" s="2">
        <f>AB724/AA724</f>
        <v>2.3076923076923075</v>
      </c>
    </row>
    <row r="725" spans="1:34">
      <c r="A725" s="102" t="s">
        <v>475</v>
      </c>
      <c r="B725" s="102" t="s">
        <v>476</v>
      </c>
      <c r="C725" s="190">
        <v>46187</v>
      </c>
      <c r="D725" s="42">
        <v>0.45833333333333331</v>
      </c>
      <c r="E725" s="8" t="s">
        <v>502</v>
      </c>
      <c r="F725" s="194" t="s">
        <v>501</v>
      </c>
      <c r="G725" s="2">
        <v>2</v>
      </c>
      <c r="H725" s="2">
        <v>9</v>
      </c>
      <c r="I725" s="126">
        <v>500</v>
      </c>
      <c r="J725" s="2" t="s">
        <v>766</v>
      </c>
      <c r="K725" s="109" t="s">
        <v>601</v>
      </c>
      <c r="L725" s="201">
        <v>40000</v>
      </c>
      <c r="M725" s="203" t="s">
        <v>22</v>
      </c>
      <c r="N725" s="39" t="s">
        <v>48</v>
      </c>
      <c r="O725" s="39" t="s">
        <v>49</v>
      </c>
      <c r="P725" s="211" t="s">
        <v>841</v>
      </c>
      <c r="Q725" s="19">
        <v>75</v>
      </c>
      <c r="R725" s="15">
        <f>Q725/I725</f>
        <v>0.15</v>
      </c>
      <c r="S725" s="5">
        <f>($AC725*$AD725)/(($Z725/$Y725)+($AA725/$Z725)+($AB725/$AA725))</f>
        <v>71.293161814488826</v>
      </c>
      <c r="U725" s="109" t="s">
        <v>767</v>
      </c>
      <c r="V725" s="2" t="s">
        <v>641</v>
      </c>
      <c r="Y725" s="2">
        <v>2.5</v>
      </c>
      <c r="Z725" s="2">
        <v>6.5</v>
      </c>
      <c r="AA725" s="2">
        <v>15</v>
      </c>
      <c r="AB725" s="2">
        <v>40</v>
      </c>
      <c r="AC725" s="2">
        <v>30</v>
      </c>
      <c r="AD725" s="2">
        <v>18</v>
      </c>
      <c r="AE725" s="2">
        <f>AC725*AD725</f>
        <v>540</v>
      </c>
      <c r="AF725" s="2">
        <f>Z725/Y725</f>
        <v>2.6</v>
      </c>
      <c r="AG725" s="2">
        <f>AA725/Z725</f>
        <v>2.3076923076923075</v>
      </c>
      <c r="AH725" s="2">
        <f>AB725/AA725</f>
        <v>2.6666666666666665</v>
      </c>
    </row>
    <row r="726" spans="1:34">
      <c r="A726" s="52" t="s">
        <v>229</v>
      </c>
      <c r="B726" s="52" t="s">
        <v>230</v>
      </c>
      <c r="C726" s="190">
        <v>46187</v>
      </c>
      <c r="D726" s="42">
        <v>0.45833333333333331</v>
      </c>
      <c r="E726" s="193"/>
      <c r="F726" s="194" t="s">
        <v>245</v>
      </c>
      <c r="G726" s="2">
        <v>1</v>
      </c>
      <c r="I726" s="126">
        <v>300</v>
      </c>
      <c r="J726" s="2" t="s">
        <v>766</v>
      </c>
      <c r="K726" s="88" t="s">
        <v>788</v>
      </c>
      <c r="L726" s="91">
        <v>25000</v>
      </c>
      <c r="M726" s="194">
        <v>30</v>
      </c>
      <c r="N726" s="39" t="s">
        <v>48</v>
      </c>
      <c r="O726" s="39" t="s">
        <v>49</v>
      </c>
      <c r="P726" s="140" t="s">
        <v>838</v>
      </c>
      <c r="Q726" s="19">
        <v>60</v>
      </c>
      <c r="R726" s="15">
        <f>IF(Q726&gt;0,Q726/I726,"")</f>
        <v>0.2</v>
      </c>
      <c r="S726" s="5">
        <f>($AC726*$AD726)/(($Z726/$Y726)+($AA726/$Z726)+($AB726/$AA726))</f>
        <v>80.996884735202499</v>
      </c>
      <c r="U726" s="109" t="s">
        <v>767</v>
      </c>
      <c r="V726" s="205" t="s">
        <v>719</v>
      </c>
      <c r="W726" s="205"/>
      <c r="Y726" s="2">
        <v>2</v>
      </c>
      <c r="Z726" s="2">
        <v>5</v>
      </c>
      <c r="AA726" s="2">
        <v>13</v>
      </c>
      <c r="AB726" s="2">
        <v>30</v>
      </c>
      <c r="AC726" s="2">
        <v>30</v>
      </c>
      <c r="AD726" s="2">
        <v>20</v>
      </c>
      <c r="AE726" s="2">
        <f>AC726*AD726</f>
        <v>600</v>
      </c>
      <c r="AF726" s="2">
        <f>Z726/Y726</f>
        <v>2.5</v>
      </c>
      <c r="AG726" s="2">
        <f>AA726/Z726</f>
        <v>2.6</v>
      </c>
      <c r="AH726" s="2">
        <f>AB726/AA726</f>
        <v>2.3076923076923075</v>
      </c>
    </row>
    <row r="727" spans="1:34">
      <c r="A727" s="68" t="s">
        <v>357</v>
      </c>
      <c r="B727" s="68" t="s">
        <v>358</v>
      </c>
      <c r="C727" s="191">
        <v>46187</v>
      </c>
      <c r="D727" s="42">
        <v>0.46527777777777779</v>
      </c>
      <c r="E727" s="8">
        <v>48</v>
      </c>
      <c r="F727" s="197" t="s">
        <v>309</v>
      </c>
      <c r="G727" s="2">
        <v>1</v>
      </c>
      <c r="H727" s="2">
        <v>9</v>
      </c>
      <c r="I727" s="126">
        <v>1100</v>
      </c>
      <c r="J727" s="2" t="s">
        <v>766</v>
      </c>
      <c r="K727" s="137" t="s">
        <v>816</v>
      </c>
      <c r="L727" s="92">
        <v>40000</v>
      </c>
      <c r="M727" s="69">
        <v>30</v>
      </c>
      <c r="N727" s="39" t="s">
        <v>48</v>
      </c>
      <c r="O727" s="39" t="s">
        <v>49</v>
      </c>
      <c r="P727" s="211" t="s">
        <v>840</v>
      </c>
      <c r="Q727" s="19">
        <v>135</v>
      </c>
      <c r="R727" s="15">
        <f>Q727/I727</f>
        <v>0.12272727272727273</v>
      </c>
      <c r="S727" s="5">
        <f>($AC727*$AD727)/(($Z727/$Y727)+($AA727/$Z727)+($AB727/$AA727))</f>
        <v>71.293161814488826</v>
      </c>
      <c r="U727" s="109" t="s">
        <v>767</v>
      </c>
      <c r="V727" s="10" t="s">
        <v>675</v>
      </c>
      <c r="Y727" s="2">
        <v>2.5</v>
      </c>
      <c r="Z727" s="2">
        <v>6.5</v>
      </c>
      <c r="AA727" s="2">
        <v>15</v>
      </c>
      <c r="AB727" s="2">
        <v>40</v>
      </c>
      <c r="AC727" s="2">
        <v>30</v>
      </c>
      <c r="AD727" s="2">
        <v>18</v>
      </c>
      <c r="AE727" s="2">
        <f>AC727*AD727</f>
        <v>540</v>
      </c>
      <c r="AF727" s="2">
        <f>Z727/Y727</f>
        <v>2.6</v>
      </c>
      <c r="AG727" s="2">
        <f>AA727/Z727</f>
        <v>2.3076923076923075</v>
      </c>
      <c r="AH727" s="2">
        <f>AB727/AA727</f>
        <v>2.6666666666666665</v>
      </c>
    </row>
    <row r="728" spans="1:34">
      <c r="A728" s="52" t="s">
        <v>220</v>
      </c>
      <c r="B728" s="52" t="s">
        <v>221</v>
      </c>
      <c r="C728" s="51">
        <v>46187</v>
      </c>
      <c r="D728" s="42">
        <v>0.5</v>
      </c>
      <c r="E728" s="193"/>
      <c r="F728" s="194" t="s">
        <v>1052</v>
      </c>
      <c r="G728" s="2">
        <v>3</v>
      </c>
      <c r="H728" s="2">
        <v>9</v>
      </c>
      <c r="I728" s="126">
        <v>3500</v>
      </c>
      <c r="J728" s="2" t="s">
        <v>766</v>
      </c>
      <c r="K728" s="88" t="s">
        <v>793</v>
      </c>
      <c r="L728" s="91">
        <v>40000</v>
      </c>
      <c r="M728" s="203" t="s">
        <v>97</v>
      </c>
      <c r="N728" s="39" t="s">
        <v>48</v>
      </c>
      <c r="O728" s="39" t="s">
        <v>49</v>
      </c>
      <c r="P728" s="211" t="s">
        <v>849</v>
      </c>
      <c r="Q728" s="19">
        <v>325</v>
      </c>
      <c r="R728" s="15">
        <f>Q728/I728</f>
        <v>9.285714285714286E-2</v>
      </c>
      <c r="S728" s="5">
        <f>($AC728*$AD728)/(($Z728/$Y728)+($AA728/$Z728)+($AB728/$AA728))</f>
        <v>88.052681091251188</v>
      </c>
      <c r="U728" s="109" t="s">
        <v>767</v>
      </c>
      <c r="V728" s="2" t="s">
        <v>738</v>
      </c>
      <c r="Y728" s="2">
        <v>2</v>
      </c>
      <c r="Z728" s="2">
        <v>5</v>
      </c>
      <c r="AA728" s="2">
        <v>13</v>
      </c>
      <c r="AB728" s="2">
        <v>40</v>
      </c>
      <c r="AC728" s="2">
        <v>18</v>
      </c>
      <c r="AD728" s="2">
        <v>40</v>
      </c>
      <c r="AE728" s="2">
        <f>AC728*AD728</f>
        <v>720</v>
      </c>
      <c r="AF728" s="2">
        <f>Z728/Y728</f>
        <v>2.5</v>
      </c>
      <c r="AG728" s="2">
        <f>AA728/Z728</f>
        <v>2.6</v>
      </c>
      <c r="AH728" s="2">
        <f>AB728/AA728</f>
        <v>3.0769230769230771</v>
      </c>
    </row>
    <row r="729" spans="1:34">
      <c r="A729" s="68" t="s">
        <v>357</v>
      </c>
      <c r="B729" s="68" t="s">
        <v>358</v>
      </c>
      <c r="C729" s="51">
        <v>46187</v>
      </c>
      <c r="D729" s="42">
        <v>0.50694444444444442</v>
      </c>
      <c r="E729" s="8">
        <v>49</v>
      </c>
      <c r="F729" s="197" t="s">
        <v>310</v>
      </c>
      <c r="G729" s="2">
        <v>1</v>
      </c>
      <c r="H729" s="2">
        <v>8</v>
      </c>
      <c r="I729" s="126">
        <v>800</v>
      </c>
      <c r="J729" s="2" t="s">
        <v>766</v>
      </c>
      <c r="K729" s="137" t="s">
        <v>815</v>
      </c>
      <c r="L729" s="92">
        <v>30000</v>
      </c>
      <c r="M729" s="69">
        <v>30</v>
      </c>
      <c r="N729" s="39" t="s">
        <v>48</v>
      </c>
      <c r="O729" s="39" t="s">
        <v>223</v>
      </c>
      <c r="P729" s="161">
        <v>100000</v>
      </c>
      <c r="Q729" s="2">
        <v>100</v>
      </c>
      <c r="R729" s="15">
        <f>Q729/I729</f>
        <v>0.125</v>
      </c>
      <c r="S729" s="149" t="s">
        <v>110</v>
      </c>
      <c r="T729" s="149"/>
      <c r="U729" s="109" t="s">
        <v>767</v>
      </c>
      <c r="V729" s="10" t="s">
        <v>676</v>
      </c>
      <c r="W729" s="218" t="s">
        <v>655</v>
      </c>
      <c r="Z729" s="109"/>
      <c r="AE729" s="2">
        <f>AC729*AD729</f>
        <v>0</v>
      </c>
      <c r="AF729" s="2" t="e">
        <f>Z729/Y729</f>
        <v>#DIV/0!</v>
      </c>
      <c r="AG729" s="2" t="e">
        <f>AA729/Z729</f>
        <v>#DIV/0!</v>
      </c>
      <c r="AH729" s="2" t="e">
        <f>AB729/AA729</f>
        <v>#DIV/0!</v>
      </c>
    </row>
    <row r="730" spans="1:34">
      <c r="A730" s="165" t="s">
        <v>1383</v>
      </c>
      <c r="B730" s="36" t="s">
        <v>63</v>
      </c>
      <c r="C730" s="41">
        <v>46187</v>
      </c>
      <c r="D730" s="144">
        <v>0.54166666666666663</v>
      </c>
      <c r="E730" s="8">
        <v>42</v>
      </c>
      <c r="F730" s="194" t="s">
        <v>1141</v>
      </c>
      <c r="G730" s="2">
        <v>4</v>
      </c>
      <c r="H730" s="2">
        <v>8</v>
      </c>
      <c r="I730" s="45">
        <v>10000</v>
      </c>
      <c r="J730" s="2" t="s">
        <v>762</v>
      </c>
      <c r="K730" s="109" t="s">
        <v>601</v>
      </c>
      <c r="L730" s="92">
        <v>60000</v>
      </c>
      <c r="M730" s="69">
        <v>60</v>
      </c>
      <c r="N730" s="39" t="s">
        <v>48</v>
      </c>
      <c r="O730" s="39" t="s">
        <v>373</v>
      </c>
      <c r="P730" s="66"/>
      <c r="Q730" s="38">
        <f>R730*I730</f>
        <v>700.00000000000011</v>
      </c>
      <c r="R730" s="15">
        <v>7.0000000000000007E-2</v>
      </c>
      <c r="S730" s="149" t="s">
        <v>110</v>
      </c>
      <c r="T730" s="149"/>
      <c r="U730" s="109" t="s">
        <v>767</v>
      </c>
      <c r="V730" s="205" t="s">
        <v>121</v>
      </c>
      <c r="W730" s="205"/>
      <c r="AE730" s="2" t="e">
        <f>AD730*#REF!</f>
        <v>#REF!</v>
      </c>
      <c r="AF730" s="2" t="e">
        <f>Z730/Y730</f>
        <v>#DIV/0!</v>
      </c>
      <c r="AG730" s="2" t="e">
        <f>AA730/Z730</f>
        <v>#DIV/0!</v>
      </c>
      <c r="AH730" s="2" t="e">
        <f>AC730/AA730</f>
        <v>#DIV/0!</v>
      </c>
    </row>
    <row r="731" spans="1:34">
      <c r="A731" s="165" t="s">
        <v>1383</v>
      </c>
      <c r="B731" s="72" t="s">
        <v>63</v>
      </c>
      <c r="C731" s="77">
        <v>46187</v>
      </c>
      <c r="D731" s="144">
        <v>0.54166666666666663</v>
      </c>
      <c r="E731" s="138"/>
      <c r="F731" s="194" t="s">
        <v>881</v>
      </c>
      <c r="G731" s="73">
        <v>1</v>
      </c>
      <c r="H731" s="73">
        <v>9</v>
      </c>
      <c r="I731" s="78">
        <v>250</v>
      </c>
      <c r="J731" s="2" t="s">
        <v>766</v>
      </c>
      <c r="K731" s="88" t="s">
        <v>787</v>
      </c>
      <c r="L731" s="154">
        <v>25000</v>
      </c>
      <c r="M731" s="79">
        <v>30</v>
      </c>
      <c r="N731" s="39" t="s">
        <v>817</v>
      </c>
      <c r="O731" s="39" t="s">
        <v>49</v>
      </c>
      <c r="P731" s="155"/>
      <c r="Q731" s="74">
        <v>50</v>
      </c>
      <c r="R731" s="75">
        <f>Q731/I731</f>
        <v>0.2</v>
      </c>
      <c r="S731" s="121">
        <v>44</v>
      </c>
      <c r="T731" s="121"/>
      <c r="U731" s="109" t="s">
        <v>767</v>
      </c>
      <c r="V731" s="80" t="s">
        <v>360</v>
      </c>
      <c r="W731" s="73"/>
      <c r="Y731" s="175"/>
      <c r="Z731" s="175"/>
      <c r="AA731" s="175"/>
      <c r="AB731" s="175"/>
      <c r="AC731" s="175"/>
      <c r="AD731" s="175"/>
      <c r="AE731" s="175"/>
      <c r="AF731" s="175"/>
      <c r="AG731" s="175"/>
      <c r="AH731" s="175"/>
    </row>
    <row r="732" spans="1:34">
      <c r="A732" s="103" t="s">
        <v>539</v>
      </c>
      <c r="B732" s="103" t="s">
        <v>540</v>
      </c>
      <c r="C732" s="191">
        <v>46187</v>
      </c>
      <c r="D732" s="42">
        <v>0.58333333333333337</v>
      </c>
      <c r="E732" s="8">
        <v>44</v>
      </c>
      <c r="F732" s="197" t="s">
        <v>562</v>
      </c>
      <c r="G732" s="2">
        <v>1</v>
      </c>
      <c r="H732" s="2">
        <v>8</v>
      </c>
      <c r="I732" s="126">
        <v>400</v>
      </c>
      <c r="J732" s="179" t="s">
        <v>766</v>
      </c>
      <c r="K732" s="179" t="s">
        <v>602</v>
      </c>
      <c r="L732" s="92">
        <v>30000</v>
      </c>
      <c r="M732" s="69">
        <v>30</v>
      </c>
      <c r="N732" s="39" t="s">
        <v>48</v>
      </c>
      <c r="O732" s="39" t="s">
        <v>858</v>
      </c>
      <c r="P732" s="197">
        <v>30000</v>
      </c>
      <c r="Q732" s="2">
        <v>65</v>
      </c>
      <c r="R732" s="15">
        <f>Q732/I732</f>
        <v>0.16250000000000001</v>
      </c>
      <c r="S732" s="142"/>
      <c r="U732" s="109" t="s">
        <v>767</v>
      </c>
      <c r="V732" s="71" t="s">
        <v>1395</v>
      </c>
      <c r="W732" s="205"/>
      <c r="AE732" s="2">
        <f>AC732*AD732</f>
        <v>0</v>
      </c>
      <c r="AF732" s="2" t="e">
        <f>Z732/Y732</f>
        <v>#DIV/0!</v>
      </c>
      <c r="AG732" s="2" t="e">
        <f>AA732/Z732</f>
        <v>#DIV/0!</v>
      </c>
      <c r="AH732" s="2" t="e">
        <f>AB732/AA732</f>
        <v>#DIV/0!</v>
      </c>
    </row>
    <row r="733" spans="1:34">
      <c r="A733" s="96" t="s">
        <v>461</v>
      </c>
      <c r="B733" s="96" t="s">
        <v>462</v>
      </c>
      <c r="C733" s="41">
        <v>46187</v>
      </c>
      <c r="D733" s="42">
        <v>0.59027777777777779</v>
      </c>
      <c r="F733" s="194" t="s">
        <v>456</v>
      </c>
      <c r="G733" s="2">
        <v>1</v>
      </c>
      <c r="I733" s="126">
        <v>120</v>
      </c>
      <c r="J733" s="2" t="s">
        <v>766</v>
      </c>
      <c r="K733" s="109" t="s">
        <v>737</v>
      </c>
      <c r="L733" s="194">
        <v>20000</v>
      </c>
      <c r="M733" s="69">
        <v>15</v>
      </c>
      <c r="N733" s="39" t="s">
        <v>48</v>
      </c>
      <c r="O733" s="39" t="s">
        <v>49</v>
      </c>
      <c r="P733" s="211" t="s">
        <v>829</v>
      </c>
      <c r="Q733" s="19">
        <v>24</v>
      </c>
      <c r="R733" s="15">
        <f>Q733/I733</f>
        <v>0.2</v>
      </c>
      <c r="S733" s="5">
        <f>($AC733*$AD733)/(($Z733/$Y733)+($AA733/$Z733)+($AB733/$AA733))</f>
        <v>25.161290322580644</v>
      </c>
      <c r="U733" s="109" t="s">
        <v>463</v>
      </c>
      <c r="V733" s="2" t="s">
        <v>735</v>
      </c>
      <c r="W733" s="2" t="s">
        <v>464</v>
      </c>
      <c r="Y733" s="2">
        <v>2.5</v>
      </c>
      <c r="Z733" s="2">
        <v>7.5</v>
      </c>
      <c r="AA733" s="2">
        <v>30</v>
      </c>
      <c r="AB733" s="2">
        <v>100</v>
      </c>
      <c r="AC733" s="2">
        <v>13</v>
      </c>
      <c r="AD733" s="2">
        <v>20</v>
      </c>
      <c r="AE733" s="2">
        <f>AC733*AD733</f>
        <v>260</v>
      </c>
      <c r="AF733" s="2">
        <f>Z733/Y733</f>
        <v>3</v>
      </c>
      <c r="AG733" s="2">
        <f>AA733/Z733</f>
        <v>4</v>
      </c>
      <c r="AH733" s="2">
        <f>AB733/AA733</f>
        <v>3.3333333333333335</v>
      </c>
    </row>
    <row r="734" spans="1:34">
      <c r="A734" s="165" t="s">
        <v>1383</v>
      </c>
      <c r="B734" s="39" t="s">
        <v>63</v>
      </c>
      <c r="C734" s="41">
        <v>46187</v>
      </c>
      <c r="D734" s="144">
        <v>0.625</v>
      </c>
      <c r="F734" s="194" t="s">
        <v>912</v>
      </c>
      <c r="G734" s="2">
        <v>1</v>
      </c>
      <c r="H734" s="2">
        <v>9</v>
      </c>
      <c r="I734" s="45">
        <v>240</v>
      </c>
      <c r="J734" s="2" t="s">
        <v>766</v>
      </c>
      <c r="K734" s="88" t="s">
        <v>784</v>
      </c>
      <c r="L734" s="92">
        <v>10000</v>
      </c>
      <c r="M734" s="69">
        <v>20</v>
      </c>
      <c r="N734" s="132" t="s">
        <v>821</v>
      </c>
      <c r="O734" s="39" t="s">
        <v>49</v>
      </c>
      <c r="P734" s="130"/>
      <c r="Q734" s="19">
        <v>40</v>
      </c>
      <c r="R734" s="15">
        <v>0.16666666666666666</v>
      </c>
      <c r="S734" s="5">
        <v>29</v>
      </c>
      <c r="U734" s="109" t="s">
        <v>767</v>
      </c>
      <c r="V734" s="71" t="s">
        <v>362</v>
      </c>
      <c r="W734" s="8" t="s">
        <v>367</v>
      </c>
      <c r="Y734" s="175"/>
      <c r="Z734" s="175"/>
      <c r="AA734" s="175"/>
      <c r="AB734" s="175"/>
      <c r="AC734" s="175"/>
      <c r="AD734" s="175"/>
      <c r="AE734" s="175"/>
      <c r="AF734" s="175"/>
      <c r="AG734" s="175"/>
      <c r="AH734" s="175"/>
    </row>
    <row r="735" spans="1:34">
      <c r="A735" s="165" t="s">
        <v>1383</v>
      </c>
      <c r="B735" s="39" t="s">
        <v>63</v>
      </c>
      <c r="C735" s="47">
        <v>46187</v>
      </c>
      <c r="D735" s="144">
        <v>0.625</v>
      </c>
      <c r="F735" s="194" t="s">
        <v>1025</v>
      </c>
      <c r="G735" s="2">
        <v>1</v>
      </c>
      <c r="I735" s="126">
        <v>325</v>
      </c>
      <c r="J735" s="2" t="s">
        <v>766</v>
      </c>
      <c r="K735" s="88" t="s">
        <v>782</v>
      </c>
      <c r="L735" s="91">
        <v>10000</v>
      </c>
      <c r="M735" s="194">
        <v>15</v>
      </c>
      <c r="N735" s="132" t="s">
        <v>821</v>
      </c>
      <c r="O735" s="39" t="s">
        <v>57</v>
      </c>
      <c r="P735" s="66"/>
      <c r="Q735" s="2">
        <v>50</v>
      </c>
      <c r="R735" s="15">
        <f>Q735/I735</f>
        <v>0.15384615384615385</v>
      </c>
      <c r="S735" s="149" t="s">
        <v>110</v>
      </c>
      <c r="T735" s="149"/>
      <c r="U735" s="109" t="s">
        <v>767</v>
      </c>
      <c r="V735" s="71" t="s">
        <v>362</v>
      </c>
      <c r="W735" s="194" t="s">
        <v>145</v>
      </c>
      <c r="AE735" s="2" t="e">
        <f>AD735*#REF!</f>
        <v>#REF!</v>
      </c>
      <c r="AF735" s="2" t="e">
        <f>Z735/Y735</f>
        <v>#DIV/0!</v>
      </c>
      <c r="AG735" s="2" t="e">
        <f>AA735/Z735</f>
        <v>#DIV/0!</v>
      </c>
      <c r="AH735" s="2" t="e">
        <f>AC735/AA735</f>
        <v>#DIV/0!</v>
      </c>
    </row>
    <row r="736" spans="1:34">
      <c r="A736" s="165" t="s">
        <v>1383</v>
      </c>
      <c r="B736" s="72" t="s">
        <v>63</v>
      </c>
      <c r="C736" s="77">
        <v>46187</v>
      </c>
      <c r="D736" s="144">
        <v>0.66666666666666663</v>
      </c>
      <c r="E736" s="138"/>
      <c r="F736" s="194" t="s">
        <v>1024</v>
      </c>
      <c r="G736" s="73">
        <v>1</v>
      </c>
      <c r="H736" s="73">
        <v>9</v>
      </c>
      <c r="I736" s="78">
        <v>400</v>
      </c>
      <c r="J736" s="2" t="s">
        <v>766</v>
      </c>
      <c r="K736" s="88" t="s">
        <v>794</v>
      </c>
      <c r="L736" s="154">
        <v>30000</v>
      </c>
      <c r="M736" s="79">
        <v>20</v>
      </c>
      <c r="N736" s="39" t="s">
        <v>817</v>
      </c>
      <c r="O736" s="39" t="s">
        <v>49</v>
      </c>
      <c r="P736" s="155"/>
      <c r="Q736" s="74">
        <v>70</v>
      </c>
      <c r="R736" s="75">
        <f>Q736/I736</f>
        <v>0.17499999999999999</v>
      </c>
      <c r="S736" s="121">
        <v>37</v>
      </c>
      <c r="T736" s="121"/>
      <c r="U736" s="109" t="s">
        <v>129</v>
      </c>
      <c r="V736" s="80" t="s">
        <v>360</v>
      </c>
      <c r="W736" s="73"/>
      <c r="Y736" s="175"/>
      <c r="Z736" s="175"/>
      <c r="AA736" s="175"/>
      <c r="AB736" s="175"/>
      <c r="AC736" s="175"/>
      <c r="AD736" s="175"/>
      <c r="AE736" s="175"/>
      <c r="AF736" s="175"/>
      <c r="AG736" s="175"/>
      <c r="AH736" s="175"/>
    </row>
    <row r="737" spans="1:34">
      <c r="A737" s="103" t="s">
        <v>539</v>
      </c>
      <c r="B737" s="103" t="s">
        <v>540</v>
      </c>
      <c r="C737" s="191">
        <v>46187</v>
      </c>
      <c r="D737" s="42">
        <v>0.70833333333333337</v>
      </c>
      <c r="E737" s="8">
        <v>45</v>
      </c>
      <c r="F737" s="197" t="s">
        <v>542</v>
      </c>
      <c r="G737" s="2">
        <v>1</v>
      </c>
      <c r="H737" s="2">
        <v>9</v>
      </c>
      <c r="I737" s="151">
        <v>170</v>
      </c>
      <c r="J737" s="179" t="s">
        <v>766</v>
      </c>
      <c r="K737" s="179" t="s">
        <v>598</v>
      </c>
      <c r="L737" s="160">
        <v>30000</v>
      </c>
      <c r="M737" s="69">
        <v>20</v>
      </c>
      <c r="N737" s="39" t="s">
        <v>48</v>
      </c>
      <c r="O737" s="39" t="s">
        <v>49</v>
      </c>
      <c r="P737" s="211" t="s">
        <v>830</v>
      </c>
      <c r="Q737" s="19">
        <v>49</v>
      </c>
      <c r="R737" s="59">
        <f>Q737/I737</f>
        <v>0.28823529411764703</v>
      </c>
      <c r="S737" s="5">
        <f>($AC737*$AD737)/(($Z737/$Y737)+($AA737/$Z737)+($AB737/$AA737))</f>
        <v>26.046511627906977</v>
      </c>
      <c r="U737" s="109" t="s">
        <v>767</v>
      </c>
      <c r="V737" s="71" t="s">
        <v>1395</v>
      </c>
      <c r="W737" s="221" t="s">
        <v>1389</v>
      </c>
      <c r="Y737" s="2">
        <v>4</v>
      </c>
      <c r="Z737" s="2">
        <v>8</v>
      </c>
      <c r="AA737" s="2">
        <v>30</v>
      </c>
      <c r="AB737" s="2">
        <v>150</v>
      </c>
      <c r="AC737" s="2">
        <v>14</v>
      </c>
      <c r="AD737" s="2">
        <v>20</v>
      </c>
      <c r="AE737" s="2">
        <f>AC737*AD737</f>
        <v>280</v>
      </c>
      <c r="AF737" s="2">
        <f>Z737/Y737</f>
        <v>2</v>
      </c>
      <c r="AG737" s="2">
        <f>AA737/Z737</f>
        <v>3.75</v>
      </c>
      <c r="AH737" s="2">
        <f>AB737/AA737</f>
        <v>5</v>
      </c>
    </row>
    <row r="738" spans="1:34">
      <c r="A738" s="165" t="s">
        <v>1383</v>
      </c>
      <c r="B738" s="39" t="s">
        <v>63</v>
      </c>
      <c r="C738" s="47">
        <v>46187</v>
      </c>
      <c r="D738" s="144">
        <v>0.75</v>
      </c>
      <c r="E738" s="193"/>
      <c r="F738" s="8" t="s">
        <v>897</v>
      </c>
      <c r="G738" s="2">
        <v>1</v>
      </c>
      <c r="I738" s="126">
        <v>2750</v>
      </c>
      <c r="J738" s="2" t="s">
        <v>766</v>
      </c>
      <c r="K738" s="88" t="s">
        <v>801</v>
      </c>
      <c r="L738" s="91">
        <v>20000</v>
      </c>
      <c r="M738" s="194">
        <v>30</v>
      </c>
      <c r="N738" s="132" t="s">
        <v>821</v>
      </c>
      <c r="O738" s="39" t="s">
        <v>57</v>
      </c>
      <c r="P738" s="66"/>
      <c r="Q738" s="2">
        <v>250</v>
      </c>
      <c r="R738" s="15">
        <f>Q738/I738</f>
        <v>9.0909090909090912E-2</v>
      </c>
      <c r="S738" s="149" t="s">
        <v>110</v>
      </c>
      <c r="T738" s="149"/>
      <c r="U738" s="109" t="s">
        <v>767</v>
      </c>
      <c r="V738" s="71" t="s">
        <v>362</v>
      </c>
      <c r="W738" s="8" t="s">
        <v>143</v>
      </c>
      <c r="AC738" s="70"/>
      <c r="AD738" s="70"/>
      <c r="AE738" s="2" t="e">
        <f>AD738*#REF!</f>
        <v>#REF!</v>
      </c>
      <c r="AF738" s="2" t="e">
        <f>Z738/Y738</f>
        <v>#DIV/0!</v>
      </c>
      <c r="AG738" s="2" t="e">
        <f>AA738/Z738</f>
        <v>#DIV/0!</v>
      </c>
      <c r="AH738" s="2" t="e">
        <f>AC738/AA738</f>
        <v>#DIV/0!</v>
      </c>
    </row>
    <row r="739" spans="1:34">
      <c r="A739" s="102" t="s">
        <v>475</v>
      </c>
      <c r="B739" s="102" t="s">
        <v>476</v>
      </c>
      <c r="C739" s="47">
        <v>46187</v>
      </c>
      <c r="D739" s="42">
        <v>0.75</v>
      </c>
      <c r="E739" s="8" t="s">
        <v>503</v>
      </c>
      <c r="F739" s="194" t="s">
        <v>501</v>
      </c>
      <c r="G739" s="2">
        <v>2</v>
      </c>
      <c r="H739" s="2">
        <v>9</v>
      </c>
      <c r="I739" s="126">
        <v>500</v>
      </c>
      <c r="J739" s="2" t="s">
        <v>766</v>
      </c>
      <c r="K739" s="109" t="s">
        <v>601</v>
      </c>
      <c r="L739" s="201">
        <v>40000</v>
      </c>
      <c r="M739" s="203" t="s">
        <v>22</v>
      </c>
      <c r="N739" s="39" t="s">
        <v>48</v>
      </c>
      <c r="O739" s="39" t="s">
        <v>49</v>
      </c>
      <c r="P739" s="211" t="s">
        <v>841</v>
      </c>
      <c r="Q739" s="19">
        <v>75</v>
      </c>
      <c r="R739" s="15">
        <f>Q739/I739</f>
        <v>0.15</v>
      </c>
      <c r="S739" s="5">
        <f>($AC739*$AD739)/(($Z739/$Y739)+($AA739/$Z739)+($AB739/$AA739))</f>
        <v>71.293161814488826</v>
      </c>
      <c r="U739" s="109" t="s">
        <v>767</v>
      </c>
      <c r="V739" s="10" t="s">
        <v>641</v>
      </c>
      <c r="W739" s="10"/>
      <c r="Y739" s="2">
        <v>2.5</v>
      </c>
      <c r="Z739" s="2">
        <v>6.5</v>
      </c>
      <c r="AA739" s="2">
        <v>15</v>
      </c>
      <c r="AB739" s="2">
        <v>40</v>
      </c>
      <c r="AC739" s="2">
        <v>30</v>
      </c>
      <c r="AD739" s="2">
        <v>18</v>
      </c>
      <c r="AE739" s="2">
        <f>AC739*AD739</f>
        <v>540</v>
      </c>
      <c r="AF739" s="2">
        <f>Z739/Y739</f>
        <v>2.6</v>
      </c>
      <c r="AG739" s="2">
        <f>AA739/Z739</f>
        <v>2.3076923076923075</v>
      </c>
      <c r="AH739" s="2">
        <f>AB739/AA739</f>
        <v>2.6666666666666665</v>
      </c>
    </row>
    <row r="740" spans="1:34">
      <c r="A740" s="52" t="s">
        <v>229</v>
      </c>
      <c r="B740" s="52" t="s">
        <v>230</v>
      </c>
      <c r="C740" s="190">
        <v>46187</v>
      </c>
      <c r="D740" s="42">
        <v>0.75</v>
      </c>
      <c r="E740" s="193"/>
      <c r="F740" s="194" t="s">
        <v>57</v>
      </c>
      <c r="G740" s="2">
        <v>1</v>
      </c>
      <c r="I740" s="126">
        <v>240</v>
      </c>
      <c r="J740" s="2" t="s">
        <v>766</v>
      </c>
      <c r="K740" s="88" t="s">
        <v>804</v>
      </c>
      <c r="L740" s="91">
        <v>30000</v>
      </c>
      <c r="M740" s="194">
        <v>20</v>
      </c>
      <c r="N740" s="39" t="s">
        <v>48</v>
      </c>
      <c r="O740" s="39" t="s">
        <v>57</v>
      </c>
      <c r="P740" s="66">
        <v>10000</v>
      </c>
      <c r="Q740" s="2">
        <v>40</v>
      </c>
      <c r="R740" s="15">
        <f>IF(Q740&gt;0,Q740/I740,"")</f>
        <v>0.16666666666666666</v>
      </c>
      <c r="S740" s="149" t="s">
        <v>110</v>
      </c>
      <c r="T740" s="149"/>
      <c r="U740" s="109" t="s">
        <v>767</v>
      </c>
      <c r="V740" s="205" t="s">
        <v>719</v>
      </c>
      <c r="W740" s="205"/>
      <c r="Y740" s="70"/>
      <c r="Z740" s="70"/>
      <c r="AA740" s="70"/>
      <c r="AB740" s="70"/>
      <c r="AC740" s="70"/>
      <c r="AD740" s="70"/>
      <c r="AE740" s="2">
        <f>AC740*AD740</f>
        <v>0</v>
      </c>
      <c r="AF740" s="2" t="e">
        <f>Z740/Y740</f>
        <v>#DIV/0!</v>
      </c>
      <c r="AG740" s="2" t="e">
        <f>AA740/Z740</f>
        <v>#DIV/0!</v>
      </c>
      <c r="AH740" s="2" t="e">
        <f>AB740/AA740</f>
        <v>#DIV/0!</v>
      </c>
    </row>
    <row r="741" spans="1:34">
      <c r="A741" s="96" t="s">
        <v>461</v>
      </c>
      <c r="B741" s="96" t="s">
        <v>462</v>
      </c>
      <c r="C741" s="41">
        <v>46187</v>
      </c>
      <c r="D741" s="42">
        <v>0.75694444444444442</v>
      </c>
      <c r="F741" s="194" t="s">
        <v>459</v>
      </c>
      <c r="G741" s="2">
        <v>1</v>
      </c>
      <c r="I741" s="126">
        <v>120</v>
      </c>
      <c r="J741" s="2" t="s">
        <v>766</v>
      </c>
      <c r="K741" s="109" t="s">
        <v>602</v>
      </c>
      <c r="L741" s="194">
        <v>20000</v>
      </c>
      <c r="M741" s="69">
        <v>20</v>
      </c>
      <c r="N741" s="39" t="s">
        <v>48</v>
      </c>
      <c r="O741" s="39" t="s">
        <v>465</v>
      </c>
      <c r="P741" s="197">
        <v>10000</v>
      </c>
      <c r="Q741" s="2">
        <v>24</v>
      </c>
      <c r="R741" s="15">
        <f>Q741/I741</f>
        <v>0.2</v>
      </c>
      <c r="S741" s="149" t="s">
        <v>110</v>
      </c>
      <c r="T741" s="149"/>
      <c r="U741" s="109" t="s">
        <v>767</v>
      </c>
      <c r="V741" s="205" t="s">
        <v>735</v>
      </c>
      <c r="W741" s="205" t="s">
        <v>592</v>
      </c>
      <c r="AE741" s="2">
        <f>AC741*AD741</f>
        <v>0</v>
      </c>
      <c r="AF741" s="2" t="e">
        <f>Z741/Y741</f>
        <v>#DIV/0!</v>
      </c>
      <c r="AG741" s="2" t="e">
        <f>AA741/Z741</f>
        <v>#DIV/0!</v>
      </c>
      <c r="AH741" s="2" t="e">
        <f>AB741/AA741</f>
        <v>#DIV/0!</v>
      </c>
    </row>
    <row r="742" spans="1:34">
      <c r="A742" s="95" t="s">
        <v>447</v>
      </c>
      <c r="B742" s="95" t="s">
        <v>448</v>
      </c>
      <c r="C742" s="190">
        <v>46187</v>
      </c>
      <c r="D742" s="42">
        <v>0.79166666666666663</v>
      </c>
      <c r="E742" s="193"/>
      <c r="F742" s="194" t="s">
        <v>419</v>
      </c>
      <c r="G742" s="2">
        <v>1</v>
      </c>
      <c r="H742" s="2">
        <v>9</v>
      </c>
      <c r="I742" s="126">
        <v>240</v>
      </c>
      <c r="J742" s="2" t="s">
        <v>766</v>
      </c>
      <c r="K742" s="109" t="s">
        <v>602</v>
      </c>
      <c r="L742" s="194">
        <v>20000</v>
      </c>
      <c r="M742" s="194">
        <v>20</v>
      </c>
      <c r="N742" s="39" t="s">
        <v>61</v>
      </c>
      <c r="O742" s="39" t="s">
        <v>49</v>
      </c>
      <c r="P742" s="214" t="s">
        <v>225</v>
      </c>
      <c r="Q742" s="19">
        <v>40</v>
      </c>
      <c r="R742" s="59">
        <f>Q742/I742</f>
        <v>0.16666666666666666</v>
      </c>
      <c r="S742" s="5">
        <f>($AC742*$AD742)/(($Z742/$Y742)+($AA742/$Z742)+($AB742/$AA742))</f>
        <v>31.111111111111111</v>
      </c>
      <c r="U742" s="109" t="s">
        <v>767</v>
      </c>
      <c r="V742" s="205" t="s">
        <v>741</v>
      </c>
      <c r="W742" s="116" t="s">
        <v>745</v>
      </c>
      <c r="Y742" s="2">
        <v>2</v>
      </c>
      <c r="Z742" s="2">
        <v>5</v>
      </c>
      <c r="AA742" s="2">
        <v>20</v>
      </c>
      <c r="AB742" s="2">
        <v>50</v>
      </c>
      <c r="AC742" s="2">
        <v>14</v>
      </c>
      <c r="AD742" s="2">
        <v>20</v>
      </c>
      <c r="AE742" s="2">
        <f>AC742*AD742</f>
        <v>280</v>
      </c>
      <c r="AF742" s="2">
        <f>Z742/Y742</f>
        <v>2.5</v>
      </c>
      <c r="AG742" s="2">
        <f>AA742/Z742</f>
        <v>4</v>
      </c>
      <c r="AH742" s="2">
        <f>AB742/AA742</f>
        <v>2.5</v>
      </c>
    </row>
    <row r="743" spans="1:34">
      <c r="A743" s="165" t="s">
        <v>1383</v>
      </c>
      <c r="B743" s="39" t="s">
        <v>63</v>
      </c>
      <c r="C743" s="41">
        <v>46187</v>
      </c>
      <c r="D743" s="144">
        <v>0.79166666666666663</v>
      </c>
      <c r="F743" s="194" t="s">
        <v>894</v>
      </c>
      <c r="G743" s="2">
        <v>1</v>
      </c>
      <c r="I743" s="45">
        <v>1100</v>
      </c>
      <c r="J743" s="2" t="s">
        <v>766</v>
      </c>
      <c r="K743" s="88" t="s">
        <v>807</v>
      </c>
      <c r="L743" s="92">
        <v>15000</v>
      </c>
      <c r="M743" s="82">
        <v>30</v>
      </c>
      <c r="N743" s="132" t="s">
        <v>821</v>
      </c>
      <c r="O743" s="39" t="s">
        <v>374</v>
      </c>
      <c r="P743" s="66"/>
      <c r="Q743" s="2">
        <f>88+37</f>
        <v>125</v>
      </c>
      <c r="R743" s="15">
        <f>Q743/I743</f>
        <v>0.11363636363636363</v>
      </c>
      <c r="S743" s="149" t="s">
        <v>110</v>
      </c>
      <c r="T743" s="149"/>
      <c r="U743" s="109" t="s">
        <v>767</v>
      </c>
      <c r="V743" s="71" t="s">
        <v>362</v>
      </c>
      <c r="W743" s="8" t="s">
        <v>370</v>
      </c>
      <c r="AE743" s="2" t="e">
        <f>AD743*#REF!</f>
        <v>#REF!</v>
      </c>
      <c r="AF743" s="2" t="e">
        <f>Z743/Y743</f>
        <v>#DIV/0!</v>
      </c>
      <c r="AG743" s="2" t="e">
        <f>AA743/Z743</f>
        <v>#DIV/0!</v>
      </c>
      <c r="AH743" s="2" t="e">
        <f>AC743/AA743</f>
        <v>#DIV/0!</v>
      </c>
    </row>
    <row r="744" spans="1:34">
      <c r="A744" s="165" t="s">
        <v>1383</v>
      </c>
      <c r="B744" s="72" t="s">
        <v>63</v>
      </c>
      <c r="C744" s="77">
        <v>46187</v>
      </c>
      <c r="D744" s="144">
        <v>0.83333333333333337</v>
      </c>
      <c r="E744" s="138"/>
      <c r="F744" s="194" t="s">
        <v>1023</v>
      </c>
      <c r="G744" s="73">
        <v>1</v>
      </c>
      <c r="H744" s="73">
        <v>9</v>
      </c>
      <c r="I744" s="78">
        <v>200</v>
      </c>
      <c r="J744" s="2" t="s">
        <v>766</v>
      </c>
      <c r="K744" s="88" t="s">
        <v>806</v>
      </c>
      <c r="L744" s="154">
        <v>20000</v>
      </c>
      <c r="M744" s="79">
        <v>20</v>
      </c>
      <c r="N744" s="39" t="s">
        <v>817</v>
      </c>
      <c r="O744" s="39" t="s">
        <v>49</v>
      </c>
      <c r="P744" s="155"/>
      <c r="Q744" s="74">
        <v>45</v>
      </c>
      <c r="R744" s="75">
        <f>Q744/I744</f>
        <v>0.22500000000000001</v>
      </c>
      <c r="S744" s="121">
        <v>23</v>
      </c>
      <c r="T744" s="121"/>
      <c r="U744" s="109" t="s">
        <v>129</v>
      </c>
      <c r="V744" s="80" t="s">
        <v>360</v>
      </c>
      <c r="W744" s="73"/>
      <c r="Y744" s="175"/>
      <c r="Z744" s="175"/>
      <c r="AA744" s="175"/>
      <c r="AB744" s="175"/>
      <c r="AC744" s="175"/>
      <c r="AD744" s="175"/>
      <c r="AE744" s="175"/>
      <c r="AF744" s="175"/>
      <c r="AG744" s="175"/>
      <c r="AH744" s="175"/>
    </row>
    <row r="745" spans="1:34">
      <c r="A745" s="103" t="s">
        <v>539</v>
      </c>
      <c r="B745" s="103" t="s">
        <v>540</v>
      </c>
      <c r="C745" s="191">
        <v>46187</v>
      </c>
      <c r="D745" s="42">
        <v>0.875</v>
      </c>
      <c r="E745" s="8">
        <v>46</v>
      </c>
      <c r="F745" s="63" t="s">
        <v>544</v>
      </c>
      <c r="G745" s="2">
        <v>1</v>
      </c>
      <c r="H745" s="2">
        <v>9</v>
      </c>
      <c r="I745" s="126">
        <v>150</v>
      </c>
      <c r="J745" s="179" t="s">
        <v>766</v>
      </c>
      <c r="K745" s="179" t="s">
        <v>602</v>
      </c>
      <c r="L745" s="92">
        <v>30000</v>
      </c>
      <c r="M745" s="69">
        <v>15</v>
      </c>
      <c r="N745" s="39" t="s">
        <v>48</v>
      </c>
      <c r="O745" s="39" t="s">
        <v>49</v>
      </c>
      <c r="P745" s="211" t="s">
        <v>828</v>
      </c>
      <c r="Q745" s="19">
        <v>46</v>
      </c>
      <c r="R745" s="15">
        <f>Q745/I745</f>
        <v>0.30666666666666664</v>
      </c>
      <c r="S745" s="5">
        <f>($AC745*$AD745)/(($Z745/$Y745)+($AA745/$Z745)+($AB745/$AA745))</f>
        <v>19.534883720930232</v>
      </c>
      <c r="U745" s="109" t="s">
        <v>129</v>
      </c>
      <c r="V745" s="21" t="s">
        <v>1395</v>
      </c>
      <c r="W745" s="221" t="s">
        <v>1389</v>
      </c>
      <c r="Y745" s="2">
        <v>4</v>
      </c>
      <c r="Z745" s="2">
        <v>8</v>
      </c>
      <c r="AA745" s="2">
        <v>30</v>
      </c>
      <c r="AB745" s="2">
        <v>150</v>
      </c>
      <c r="AC745" s="2">
        <v>14</v>
      </c>
      <c r="AD745" s="2">
        <v>15</v>
      </c>
      <c r="AE745" s="2">
        <f>AC745*AD745</f>
        <v>210</v>
      </c>
      <c r="AF745" s="2">
        <f>Z745/Y745</f>
        <v>2</v>
      </c>
      <c r="AG745" s="2">
        <f>AA745/Z745</f>
        <v>3.75</v>
      </c>
      <c r="AH745" s="2">
        <f>AB745/AA745</f>
        <v>5</v>
      </c>
    </row>
    <row r="746" spans="1:34">
      <c r="A746" s="165" t="s">
        <v>1383</v>
      </c>
      <c r="B746" s="39" t="s">
        <v>63</v>
      </c>
      <c r="C746" s="41">
        <v>46187</v>
      </c>
      <c r="D746" s="144">
        <v>0.91666666666666663</v>
      </c>
      <c r="F746" s="8" t="s">
        <v>909</v>
      </c>
      <c r="G746" s="2">
        <v>1</v>
      </c>
      <c r="H746" s="2">
        <v>9</v>
      </c>
      <c r="I746" s="45">
        <v>135</v>
      </c>
      <c r="J746" s="2" t="s">
        <v>766</v>
      </c>
      <c r="K746" s="88" t="s">
        <v>813</v>
      </c>
      <c r="L746" s="92">
        <v>10000</v>
      </c>
      <c r="M746" s="69">
        <v>15</v>
      </c>
      <c r="N746" s="132" t="s">
        <v>821</v>
      </c>
      <c r="O746" s="39" t="s">
        <v>49</v>
      </c>
      <c r="P746" s="130"/>
      <c r="Q746" s="19">
        <v>35</v>
      </c>
      <c r="R746" s="15">
        <f>Q746/I746</f>
        <v>0.25925925925925924</v>
      </c>
      <c r="S746" s="5">
        <v>22</v>
      </c>
      <c r="U746" s="109" t="s">
        <v>767</v>
      </c>
      <c r="V746" s="71" t="s">
        <v>362</v>
      </c>
      <c r="W746" s="8" t="s">
        <v>369</v>
      </c>
      <c r="Y746" s="175"/>
      <c r="Z746" s="175"/>
      <c r="AA746" s="175"/>
      <c r="AB746" s="175"/>
      <c r="AC746" s="175"/>
      <c r="AD746" s="175"/>
      <c r="AE746" s="175"/>
      <c r="AF746" s="175"/>
      <c r="AG746" s="175"/>
      <c r="AH746" s="175"/>
    </row>
    <row r="747" spans="1:34">
      <c r="A747" s="96" t="s">
        <v>461</v>
      </c>
      <c r="B747" s="96" t="s">
        <v>462</v>
      </c>
      <c r="C747" s="41">
        <v>46187</v>
      </c>
      <c r="D747" s="42">
        <v>0.92361111111111116</v>
      </c>
      <c r="F747" s="8" t="s">
        <v>456</v>
      </c>
      <c r="G747" s="2">
        <v>1</v>
      </c>
      <c r="I747" s="126">
        <v>120</v>
      </c>
      <c r="J747" s="2" t="s">
        <v>766</v>
      </c>
      <c r="K747" s="109" t="s">
        <v>737</v>
      </c>
      <c r="L747" s="194">
        <v>20000</v>
      </c>
      <c r="M747" s="69">
        <v>15</v>
      </c>
      <c r="N747" s="39" t="s">
        <v>48</v>
      </c>
      <c r="O747" s="39" t="s">
        <v>49</v>
      </c>
      <c r="P747" s="211" t="s">
        <v>827</v>
      </c>
      <c r="Q747" s="19">
        <v>24</v>
      </c>
      <c r="R747" s="15">
        <f>Q747/I747</f>
        <v>0.2</v>
      </c>
      <c r="S747" s="5">
        <f>($AC747*$AD747)/(($Z747/$Y747)+($AA747/$Z747)+($AB747/$AA747))</f>
        <v>25.161290322580644</v>
      </c>
      <c r="U747" s="109" t="s">
        <v>463</v>
      </c>
      <c r="V747" s="2" t="s">
        <v>735</v>
      </c>
      <c r="W747" s="205" t="s">
        <v>464</v>
      </c>
      <c r="Y747" s="2">
        <v>2.5</v>
      </c>
      <c r="Z747" s="2">
        <v>7.5</v>
      </c>
      <c r="AA747" s="2">
        <v>30</v>
      </c>
      <c r="AB747" s="2">
        <v>100</v>
      </c>
      <c r="AC747" s="2">
        <v>13</v>
      </c>
      <c r="AD747" s="2">
        <v>20</v>
      </c>
      <c r="AE747" s="2">
        <f>AC747*AD747</f>
        <v>260</v>
      </c>
      <c r="AF747" s="2">
        <f>Z747/Y747</f>
        <v>3</v>
      </c>
      <c r="AG747" s="2">
        <f>AA747/Z747</f>
        <v>4</v>
      </c>
      <c r="AH747" s="2">
        <f>AB747/AA747</f>
        <v>3.3333333333333335</v>
      </c>
    </row>
    <row r="748" spans="1:34">
      <c r="A748" s="165" t="s">
        <v>1383</v>
      </c>
      <c r="B748" s="36" t="s">
        <v>63</v>
      </c>
      <c r="C748" s="41">
        <v>46187</v>
      </c>
      <c r="D748" s="144" t="s">
        <v>117</v>
      </c>
      <c r="E748" s="8">
        <v>43</v>
      </c>
      <c r="F748" s="8" t="s">
        <v>966</v>
      </c>
      <c r="G748" s="2">
        <v>2</v>
      </c>
      <c r="H748" s="2">
        <v>8</v>
      </c>
      <c r="I748" s="45">
        <v>800</v>
      </c>
      <c r="J748" s="2" t="s">
        <v>760</v>
      </c>
      <c r="K748" s="109" t="s">
        <v>601</v>
      </c>
      <c r="L748" s="92">
        <v>40000</v>
      </c>
      <c r="M748" s="69">
        <v>30</v>
      </c>
      <c r="N748" s="39" t="s">
        <v>48</v>
      </c>
      <c r="O748" s="39" t="s">
        <v>49</v>
      </c>
      <c r="P748" s="130"/>
      <c r="Q748" s="19">
        <f>R748*I748</f>
        <v>100</v>
      </c>
      <c r="R748" s="15">
        <v>0.125</v>
      </c>
      <c r="S748" s="5">
        <f>($AC748*$AD748)/(($Z748/$Y748)+($AA748/$Z748)+($AB748/$AA748))</f>
        <v>78.260869565217391</v>
      </c>
      <c r="U748" s="109" t="s">
        <v>767</v>
      </c>
      <c r="V748" s="10" t="s">
        <v>121</v>
      </c>
      <c r="W748" s="205"/>
      <c r="Y748" s="2">
        <v>1.5</v>
      </c>
      <c r="Z748" s="2">
        <v>4</v>
      </c>
      <c r="AA748" s="2">
        <v>10</v>
      </c>
      <c r="AB748" s="2">
        <v>25</v>
      </c>
      <c r="AC748" s="2">
        <v>20</v>
      </c>
      <c r="AD748" s="2">
        <v>30</v>
      </c>
      <c r="AE748" s="2">
        <f>AC748*AD748</f>
        <v>600</v>
      </c>
      <c r="AF748" s="2">
        <f>Z748/Y748</f>
        <v>2.6666666666666665</v>
      </c>
      <c r="AG748" s="2">
        <f>AA748/Z748</f>
        <v>2.5</v>
      </c>
      <c r="AH748" s="2">
        <f>AB748/AA748</f>
        <v>2.5</v>
      </c>
    </row>
    <row r="749" spans="1:34">
      <c r="A749" s="165" t="s">
        <v>1383</v>
      </c>
      <c r="B749" s="36" t="s">
        <v>63</v>
      </c>
      <c r="C749" s="41">
        <v>46187</v>
      </c>
      <c r="D749" s="144" t="s">
        <v>115</v>
      </c>
      <c r="E749" s="8">
        <v>41</v>
      </c>
      <c r="F749" s="8" t="s">
        <v>1174</v>
      </c>
      <c r="G749" s="2">
        <v>3</v>
      </c>
      <c r="H749" s="2">
        <v>8</v>
      </c>
      <c r="I749" s="45">
        <v>250000</v>
      </c>
      <c r="J749" s="2" t="s">
        <v>760</v>
      </c>
      <c r="K749" s="109" t="s">
        <v>815</v>
      </c>
      <c r="L749" s="92">
        <v>1500000</v>
      </c>
      <c r="M749" s="69">
        <v>60</v>
      </c>
      <c r="N749" s="39" t="s">
        <v>48</v>
      </c>
      <c r="O749" s="39" t="s">
        <v>49</v>
      </c>
      <c r="P749" s="130"/>
      <c r="Q749" s="19">
        <f>R749*I749</f>
        <v>5000</v>
      </c>
      <c r="R749" s="15">
        <v>0.02</v>
      </c>
      <c r="S749" s="5">
        <f>($AC749*$AD749)/(($Z749/$Y749)+($AA749/$Z749)+($AB749/$AA749))</f>
        <v>178.37837837837836</v>
      </c>
      <c r="U749" s="109" t="s">
        <v>767</v>
      </c>
      <c r="V749" s="10" t="s">
        <v>121</v>
      </c>
      <c r="Y749" s="2">
        <v>40</v>
      </c>
      <c r="Z749" s="2">
        <v>100</v>
      </c>
      <c r="AA749" s="2">
        <v>250</v>
      </c>
      <c r="AB749" s="2">
        <v>600</v>
      </c>
      <c r="AC749" s="2">
        <v>22</v>
      </c>
      <c r="AD749" s="2">
        <v>60</v>
      </c>
      <c r="AE749" s="2">
        <f>AC749*AD749</f>
        <v>1320</v>
      </c>
      <c r="AF749" s="2">
        <f>Z749/Y749</f>
        <v>2.5</v>
      </c>
      <c r="AG749" s="2">
        <f>AA749/Z749</f>
        <v>2.5</v>
      </c>
      <c r="AH749" s="2">
        <f>AB749/AA749</f>
        <v>2.4</v>
      </c>
    </row>
    <row r="750" spans="1:34">
      <c r="A750" s="165" t="s">
        <v>1383</v>
      </c>
      <c r="B750" s="36" t="s">
        <v>63</v>
      </c>
      <c r="C750" s="41">
        <v>46187</v>
      </c>
      <c r="D750" s="144" t="s">
        <v>115</v>
      </c>
      <c r="E750" s="8">
        <v>44</v>
      </c>
      <c r="F750" s="8" t="s">
        <v>967</v>
      </c>
      <c r="G750" s="2">
        <v>1</v>
      </c>
      <c r="H750" s="2">
        <v>8</v>
      </c>
      <c r="I750" s="45">
        <v>10000</v>
      </c>
      <c r="J750" s="2" t="s">
        <v>760</v>
      </c>
      <c r="K750" s="109" t="s">
        <v>601</v>
      </c>
      <c r="L750" s="92">
        <v>60000</v>
      </c>
      <c r="M750" s="69">
        <v>20</v>
      </c>
      <c r="N750" s="39" t="s">
        <v>48</v>
      </c>
      <c r="O750" s="39" t="s">
        <v>49</v>
      </c>
      <c r="P750" s="130"/>
      <c r="Q750" s="19">
        <f>R750*I750</f>
        <v>700.00000000000011</v>
      </c>
      <c r="R750" s="15">
        <v>7.0000000000000007E-2</v>
      </c>
      <c r="S750" s="5">
        <f>($AC750*$AD750)/(($Z750/$Y750)+($AA750/$Z750)+($AB750/$AA750))</f>
        <v>56.756756756756751</v>
      </c>
      <c r="U750" s="109" t="s">
        <v>463</v>
      </c>
      <c r="V750" s="10" t="s">
        <v>121</v>
      </c>
      <c r="W750" s="205"/>
      <c r="Y750" s="2">
        <v>2</v>
      </c>
      <c r="Z750" s="2">
        <v>5</v>
      </c>
      <c r="AA750" s="2">
        <v>12.5</v>
      </c>
      <c r="AB750" s="2">
        <v>30</v>
      </c>
      <c r="AC750" s="2">
        <v>21</v>
      </c>
      <c r="AD750" s="2">
        <v>20</v>
      </c>
      <c r="AE750" s="2">
        <f>AC750*AD750</f>
        <v>420</v>
      </c>
      <c r="AF750" s="2">
        <f>Z750/Y750</f>
        <v>2.5</v>
      </c>
      <c r="AG750" s="2">
        <f>AA750/Z750</f>
        <v>2.5</v>
      </c>
      <c r="AH750" s="2">
        <f>AB750/AA750</f>
        <v>2.4</v>
      </c>
    </row>
    <row r="751" spans="1:34">
      <c r="A751" s="165" t="s">
        <v>1383</v>
      </c>
      <c r="B751" s="36" t="s">
        <v>63</v>
      </c>
      <c r="C751" s="41">
        <v>46187</v>
      </c>
      <c r="D751" s="144" t="s">
        <v>115</v>
      </c>
      <c r="E751" s="8">
        <v>39</v>
      </c>
      <c r="F751" s="8" t="s">
        <v>1363</v>
      </c>
      <c r="G751" s="2">
        <v>4</v>
      </c>
      <c r="H751" s="2">
        <v>8</v>
      </c>
      <c r="I751" s="45">
        <v>5000</v>
      </c>
      <c r="J751" s="2" t="s">
        <v>760</v>
      </c>
      <c r="K751" s="109" t="s">
        <v>601</v>
      </c>
      <c r="L751" s="92">
        <v>50000</v>
      </c>
      <c r="M751" s="69">
        <v>60</v>
      </c>
      <c r="N751" s="39" t="s">
        <v>48</v>
      </c>
      <c r="O751" s="39" t="s">
        <v>49</v>
      </c>
      <c r="P751" s="130"/>
      <c r="Q751" s="19">
        <f>R751*I751</f>
        <v>400</v>
      </c>
      <c r="R751" s="15">
        <v>0.08</v>
      </c>
      <c r="S751" s="5">
        <f>($AC751*$AD751)/(($Z751/$Y751)+($AA751/$Z751)+($AB751/$AA751))</f>
        <v>161.993769470405</v>
      </c>
      <c r="U751" s="109" t="s">
        <v>54</v>
      </c>
      <c r="V751" s="2" t="s">
        <v>121</v>
      </c>
      <c r="W751" s="205"/>
      <c r="Y751" s="2">
        <v>2</v>
      </c>
      <c r="Z751" s="2">
        <v>5</v>
      </c>
      <c r="AA751" s="2">
        <v>13</v>
      </c>
      <c r="AB751" s="2">
        <v>30</v>
      </c>
      <c r="AC751" s="2">
        <v>20</v>
      </c>
      <c r="AD751" s="2">
        <v>60</v>
      </c>
      <c r="AE751" s="2">
        <f>AC751*AD751</f>
        <v>1200</v>
      </c>
      <c r="AF751" s="2">
        <f>Z751/Y751</f>
        <v>2.5</v>
      </c>
      <c r="AG751" s="2">
        <f>AA751/Z751</f>
        <v>2.6</v>
      </c>
      <c r="AH751" s="2">
        <f>AB751/AA751</f>
        <v>2.3076923076923075</v>
      </c>
    </row>
    <row r="752" spans="1:34">
      <c r="A752" s="165" t="s">
        <v>1383</v>
      </c>
      <c r="B752" s="36" t="s">
        <v>63</v>
      </c>
      <c r="C752" s="41">
        <v>46187</v>
      </c>
      <c r="D752" s="144" t="s">
        <v>116</v>
      </c>
      <c r="E752" s="8">
        <v>45</v>
      </c>
      <c r="F752" s="8" t="s">
        <v>968</v>
      </c>
      <c r="G752" s="2">
        <v>3</v>
      </c>
      <c r="H752" s="2">
        <v>9</v>
      </c>
      <c r="I752" s="45">
        <v>2500</v>
      </c>
      <c r="J752" s="2" t="s">
        <v>760</v>
      </c>
      <c r="K752" s="109" t="s">
        <v>815</v>
      </c>
      <c r="L752" s="92">
        <v>35000</v>
      </c>
      <c r="M752" s="69" t="s">
        <v>97</v>
      </c>
      <c r="N752" s="39" t="s">
        <v>48</v>
      </c>
      <c r="O752" s="39" t="s">
        <v>874</v>
      </c>
      <c r="P752" s="66"/>
      <c r="Q752" s="38">
        <f>R752*I752</f>
        <v>275</v>
      </c>
      <c r="R752" s="15">
        <v>0.11</v>
      </c>
      <c r="S752" s="149" t="s">
        <v>110</v>
      </c>
      <c r="T752" s="149"/>
      <c r="U752" s="109" t="s">
        <v>767</v>
      </c>
      <c r="V752" s="2" t="s">
        <v>121</v>
      </c>
      <c r="W752" s="205"/>
      <c r="AE752" s="2" t="e">
        <f>AD752*#REF!</f>
        <v>#REF!</v>
      </c>
      <c r="AF752" s="2" t="e">
        <f>Z752/Y752</f>
        <v>#DIV/0!</v>
      </c>
      <c r="AG752" s="2" t="e">
        <f>AA752/Z752</f>
        <v>#DIV/0!</v>
      </c>
      <c r="AH752" s="2" t="e">
        <f>AC752/AA752</f>
        <v>#DIV/0!</v>
      </c>
    </row>
    <row r="753" spans="1:34">
      <c r="A753" s="165" t="s">
        <v>1383</v>
      </c>
      <c r="B753" s="36" t="s">
        <v>63</v>
      </c>
      <c r="C753" s="41">
        <v>46187</v>
      </c>
      <c r="D753" s="144" t="s">
        <v>876</v>
      </c>
      <c r="E753" s="8">
        <v>40</v>
      </c>
      <c r="F753" s="8" t="s">
        <v>1233</v>
      </c>
      <c r="G753" s="2">
        <v>3</v>
      </c>
      <c r="H753" s="2">
        <v>9</v>
      </c>
      <c r="I753" s="45">
        <v>1500</v>
      </c>
      <c r="J753" s="2" t="s">
        <v>110</v>
      </c>
      <c r="K753" s="109" t="s">
        <v>598</v>
      </c>
      <c r="L753" s="92">
        <v>25000</v>
      </c>
      <c r="M753" s="69" t="s">
        <v>97</v>
      </c>
      <c r="N753" s="39" t="s">
        <v>48</v>
      </c>
      <c r="O753" s="39" t="s">
        <v>374</v>
      </c>
      <c r="P753" s="66"/>
      <c r="Q753" s="38">
        <f>R753*I753</f>
        <v>172.5</v>
      </c>
      <c r="R753" s="15">
        <v>0.115</v>
      </c>
      <c r="S753" s="149" t="s">
        <v>110</v>
      </c>
      <c r="T753" s="149"/>
      <c r="U753" s="109" t="s">
        <v>767</v>
      </c>
      <c r="V753" s="10" t="s">
        <v>121</v>
      </c>
      <c r="W753" s="10"/>
      <c r="Y753" s="85"/>
      <c r="Z753" s="85"/>
      <c r="AA753" s="85"/>
      <c r="AC753" s="85"/>
      <c r="AD753" s="85"/>
      <c r="AE753" s="2" t="e">
        <f>AD753*#REF!</f>
        <v>#REF!</v>
      </c>
      <c r="AF753" s="2" t="e">
        <f>Z753/Y753</f>
        <v>#DIV/0!</v>
      </c>
      <c r="AG753" s="2" t="e">
        <f>AA753/Z753</f>
        <v>#DIV/0!</v>
      </c>
      <c r="AH753" s="2" t="e">
        <f>AC753/AA753</f>
        <v>#DIV/0!</v>
      </c>
    </row>
    <row r="754" spans="1:34">
      <c r="A754" s="95" t="s">
        <v>447</v>
      </c>
      <c r="B754" s="95" t="s">
        <v>448</v>
      </c>
      <c r="C754" s="190">
        <v>46188</v>
      </c>
      <c r="D754" s="42">
        <v>0.375</v>
      </c>
      <c r="E754" s="193"/>
      <c r="F754" s="8" t="s">
        <v>420</v>
      </c>
      <c r="G754" s="2">
        <v>1</v>
      </c>
      <c r="H754" s="2">
        <v>9</v>
      </c>
      <c r="I754" s="126">
        <v>240</v>
      </c>
      <c r="J754" s="2" t="s">
        <v>766</v>
      </c>
      <c r="K754" s="109" t="s">
        <v>602</v>
      </c>
      <c r="L754" s="194">
        <v>20000</v>
      </c>
      <c r="M754" s="194">
        <v>15</v>
      </c>
      <c r="N754" s="39" t="s">
        <v>61</v>
      </c>
      <c r="O754" s="39" t="s">
        <v>49</v>
      </c>
      <c r="P754" s="214" t="s">
        <v>228</v>
      </c>
      <c r="Q754" s="19">
        <v>40</v>
      </c>
      <c r="R754" s="15">
        <f>Q754/I754</f>
        <v>0.16666666666666666</v>
      </c>
      <c r="S754" s="5">
        <f>($AC754*$AD754)/(($Z754/$Y754)+($AA754/$Z754)+($AB754/$AA754))</f>
        <v>24.705882352941178</v>
      </c>
      <c r="U754" s="109" t="s">
        <v>129</v>
      </c>
      <c r="V754" s="2" t="s">
        <v>741</v>
      </c>
      <c r="W754" s="116" t="s">
        <v>754</v>
      </c>
      <c r="Y754" s="2">
        <v>2</v>
      </c>
      <c r="Z754" s="2">
        <v>5</v>
      </c>
      <c r="AA754" s="2">
        <v>20</v>
      </c>
      <c r="AB754" s="2">
        <v>40</v>
      </c>
      <c r="AC754" s="2">
        <v>14</v>
      </c>
      <c r="AD754" s="2">
        <v>15</v>
      </c>
      <c r="AE754" s="2">
        <f>AC754*AD754</f>
        <v>210</v>
      </c>
      <c r="AF754" s="2">
        <f>Z754/Y754</f>
        <v>2.5</v>
      </c>
      <c r="AG754" s="2">
        <f>AA754/Z754</f>
        <v>4</v>
      </c>
      <c r="AH754" s="2">
        <f>AB754/AA754</f>
        <v>2</v>
      </c>
    </row>
    <row r="755" spans="1:34">
      <c r="A755" s="96" t="s">
        <v>461</v>
      </c>
      <c r="B755" s="96" t="s">
        <v>462</v>
      </c>
      <c r="C755" s="41">
        <v>46188</v>
      </c>
      <c r="D755" s="42">
        <v>0.4236111111111111</v>
      </c>
      <c r="E755" s="193"/>
      <c r="F755" s="8" t="s">
        <v>467</v>
      </c>
      <c r="G755" s="2">
        <v>2</v>
      </c>
      <c r="I755" s="126">
        <v>300</v>
      </c>
      <c r="J755" s="2" t="s">
        <v>766</v>
      </c>
      <c r="K755" s="109" t="s">
        <v>598</v>
      </c>
      <c r="L755" s="194">
        <v>30000</v>
      </c>
      <c r="M755" s="69">
        <v>30</v>
      </c>
      <c r="N755" s="39" t="s">
        <v>48</v>
      </c>
      <c r="O755" s="39" t="s">
        <v>49</v>
      </c>
      <c r="P755" s="211" t="s">
        <v>842</v>
      </c>
      <c r="Q755" s="19">
        <v>65</v>
      </c>
      <c r="R755" s="15">
        <f>Q755/I755</f>
        <v>0.21666666666666667</v>
      </c>
      <c r="S755" s="5">
        <f>($AC755*$AD755)/(($Z755/$Y755)+($AA755/$Z755)+($AB755/$AA755))</f>
        <v>53.333333333333336</v>
      </c>
      <c r="U755" s="109" t="s">
        <v>767</v>
      </c>
      <c r="V755" s="205" t="s">
        <v>735</v>
      </c>
      <c r="W755" s="205"/>
      <c r="Y755" s="2">
        <v>2</v>
      </c>
      <c r="Z755" s="2">
        <v>5</v>
      </c>
      <c r="AA755" s="2">
        <v>20</v>
      </c>
      <c r="AB755" s="2">
        <v>50</v>
      </c>
      <c r="AC755" s="2">
        <v>16</v>
      </c>
      <c r="AD755" s="2">
        <v>30</v>
      </c>
      <c r="AE755" s="2">
        <f>AC755*AD755</f>
        <v>480</v>
      </c>
      <c r="AF755" s="2">
        <f>Z755/Y755</f>
        <v>2.5</v>
      </c>
      <c r="AG755" s="2">
        <f>AA755/Z755</f>
        <v>4</v>
      </c>
      <c r="AH755" s="2">
        <f>AB755/AA755</f>
        <v>2.5</v>
      </c>
    </row>
    <row r="756" spans="1:34">
      <c r="A756" s="165" t="s">
        <v>1383</v>
      </c>
      <c r="B756" s="36" t="s">
        <v>63</v>
      </c>
      <c r="C756" s="173">
        <v>46188</v>
      </c>
      <c r="D756" s="144">
        <v>0.45833333333333331</v>
      </c>
      <c r="E756" s="14">
        <v>34</v>
      </c>
      <c r="F756" s="8" t="s">
        <v>1287</v>
      </c>
      <c r="G756" s="2">
        <v>4</v>
      </c>
      <c r="H756" s="2">
        <v>9</v>
      </c>
      <c r="I756" s="45">
        <v>500</v>
      </c>
      <c r="J756" s="2" t="s">
        <v>761</v>
      </c>
      <c r="K756" s="109" t="s">
        <v>601</v>
      </c>
      <c r="L756" s="92">
        <v>50000</v>
      </c>
      <c r="M756" s="69">
        <v>40</v>
      </c>
      <c r="N756" s="39" t="s">
        <v>48</v>
      </c>
      <c r="O756" s="39" t="s">
        <v>49</v>
      </c>
      <c r="P756" s="130"/>
      <c r="Q756" s="19">
        <f>R756*I756</f>
        <v>0</v>
      </c>
      <c r="R756" s="15">
        <v>0</v>
      </c>
      <c r="S756" s="5">
        <f>($AC756*$AD756)/(($Z756/$Y756)+($AA756/$Z756)+($AB756/$AA756))</f>
        <v>107.99584631360334</v>
      </c>
      <c r="U756" s="109" t="s">
        <v>767</v>
      </c>
      <c r="V756" s="205" t="s">
        <v>121</v>
      </c>
      <c r="W756" s="205"/>
      <c r="Y756" s="2">
        <v>2</v>
      </c>
      <c r="Z756" s="2">
        <v>5</v>
      </c>
      <c r="AA756" s="2">
        <v>13</v>
      </c>
      <c r="AB756" s="2">
        <v>30</v>
      </c>
      <c r="AC756" s="2">
        <v>20</v>
      </c>
      <c r="AD756" s="2">
        <v>40</v>
      </c>
      <c r="AE756" s="2">
        <f>AC756*AD756</f>
        <v>800</v>
      </c>
      <c r="AF756" s="2">
        <f>Z756/Y756</f>
        <v>2.5</v>
      </c>
      <c r="AG756" s="2">
        <f>AA756/Z756</f>
        <v>2.6</v>
      </c>
      <c r="AH756" s="2">
        <f>AB756/AA756</f>
        <v>2.3076923076923075</v>
      </c>
    </row>
    <row r="757" spans="1:34">
      <c r="A757" s="165" t="s">
        <v>1383</v>
      </c>
      <c r="B757" s="36" t="s">
        <v>63</v>
      </c>
      <c r="C757" s="41">
        <v>46188</v>
      </c>
      <c r="D757" s="144">
        <v>0.45833333333333331</v>
      </c>
      <c r="E757" s="8">
        <v>43</v>
      </c>
      <c r="F757" s="8" t="s">
        <v>1205</v>
      </c>
      <c r="G757" s="2">
        <v>2</v>
      </c>
      <c r="H757" s="2">
        <v>8</v>
      </c>
      <c r="I757" s="45">
        <v>800</v>
      </c>
      <c r="J757" s="2" t="s">
        <v>760</v>
      </c>
      <c r="K757" s="109" t="s">
        <v>601</v>
      </c>
      <c r="L757" s="92">
        <v>40000</v>
      </c>
      <c r="M757" s="69">
        <v>30</v>
      </c>
      <c r="N757" s="39" t="s">
        <v>48</v>
      </c>
      <c r="O757" s="39" t="s">
        <v>49</v>
      </c>
      <c r="P757" s="130"/>
      <c r="Q757" s="19">
        <f>R757*I757</f>
        <v>100</v>
      </c>
      <c r="R757" s="15">
        <v>0.125</v>
      </c>
      <c r="S757" s="5">
        <f>($AC757*$AD757)/(($Z757/$Y757)+($AA757/$Z757)+($AB757/$AA757))</f>
        <v>78.260869565217391</v>
      </c>
      <c r="U757" s="109" t="s">
        <v>767</v>
      </c>
      <c r="V757" s="2" t="s">
        <v>121</v>
      </c>
      <c r="W757" s="205"/>
      <c r="Y757" s="2">
        <v>1.5</v>
      </c>
      <c r="Z757" s="2">
        <v>4</v>
      </c>
      <c r="AA757" s="2">
        <v>10</v>
      </c>
      <c r="AB757" s="2">
        <v>25</v>
      </c>
      <c r="AC757" s="2">
        <v>20</v>
      </c>
      <c r="AD757" s="2">
        <v>30</v>
      </c>
      <c r="AE757" s="2">
        <f>AC757*AD757</f>
        <v>600</v>
      </c>
      <c r="AF757" s="2">
        <f>Z757/Y757</f>
        <v>2.6666666666666665</v>
      </c>
      <c r="AG757" s="2">
        <f>AA757/Z757</f>
        <v>2.5</v>
      </c>
      <c r="AH757" s="2">
        <f>AB757/AA757</f>
        <v>2.5</v>
      </c>
    </row>
    <row r="758" spans="1:34">
      <c r="A758" s="102" t="s">
        <v>475</v>
      </c>
      <c r="B758" s="102" t="s">
        <v>476</v>
      </c>
      <c r="C758" s="190">
        <v>46188</v>
      </c>
      <c r="D758" s="42">
        <v>0.45833333333333331</v>
      </c>
      <c r="E758" s="8" t="s">
        <v>504</v>
      </c>
      <c r="F758" s="194" t="s">
        <v>501</v>
      </c>
      <c r="G758" s="2">
        <v>2</v>
      </c>
      <c r="H758" s="2">
        <v>9</v>
      </c>
      <c r="I758" s="126">
        <v>500</v>
      </c>
      <c r="J758" s="2" t="s">
        <v>766</v>
      </c>
      <c r="K758" s="109" t="s">
        <v>601</v>
      </c>
      <c r="L758" s="201">
        <v>40000</v>
      </c>
      <c r="M758" s="203" t="s">
        <v>22</v>
      </c>
      <c r="N758" s="39" t="s">
        <v>48</v>
      </c>
      <c r="O758" s="39" t="s">
        <v>49</v>
      </c>
      <c r="P758" s="211" t="s">
        <v>841</v>
      </c>
      <c r="Q758" s="19">
        <v>75</v>
      </c>
      <c r="R758" s="15">
        <f>Q758/I758</f>
        <v>0.15</v>
      </c>
      <c r="S758" s="5">
        <f>($AC758*$AD758)/(($Z758/$Y758)+($AA758/$Z758)+($AB758/$AA758))</f>
        <v>71.293161814488826</v>
      </c>
      <c r="U758" s="109" t="s">
        <v>767</v>
      </c>
      <c r="V758" s="2" t="s">
        <v>641</v>
      </c>
      <c r="Y758" s="2">
        <v>2.5</v>
      </c>
      <c r="Z758" s="2">
        <v>6.5</v>
      </c>
      <c r="AA758" s="2">
        <v>15</v>
      </c>
      <c r="AB758" s="2">
        <v>40</v>
      </c>
      <c r="AC758" s="2">
        <v>30</v>
      </c>
      <c r="AD758" s="2">
        <v>18</v>
      </c>
      <c r="AE758" s="2">
        <f>AC758*AD758</f>
        <v>540</v>
      </c>
      <c r="AF758" s="2">
        <f>Z758/Y758</f>
        <v>2.6</v>
      </c>
      <c r="AG758" s="2">
        <f>AA758/Z758</f>
        <v>2.3076923076923075</v>
      </c>
      <c r="AH758" s="2">
        <f>AB758/AA758</f>
        <v>2.6666666666666665</v>
      </c>
    </row>
    <row r="759" spans="1:34">
      <c r="A759" s="52" t="s">
        <v>229</v>
      </c>
      <c r="B759" s="52" t="s">
        <v>230</v>
      </c>
      <c r="C759" s="190">
        <v>46188</v>
      </c>
      <c r="D759" s="42">
        <v>0.45833333333333331</v>
      </c>
      <c r="E759" s="193"/>
      <c r="F759" s="194" t="s">
        <v>240</v>
      </c>
      <c r="G759" s="2">
        <v>1</v>
      </c>
      <c r="I759" s="126">
        <v>400</v>
      </c>
      <c r="J759" s="2" t="s">
        <v>766</v>
      </c>
      <c r="K759" s="88" t="s">
        <v>788</v>
      </c>
      <c r="L759" s="91">
        <v>40000</v>
      </c>
      <c r="M759" s="195" t="s">
        <v>22</v>
      </c>
      <c r="N759" s="39" t="s">
        <v>48</v>
      </c>
      <c r="O759" s="39" t="s">
        <v>49</v>
      </c>
      <c r="P759" s="140" t="s">
        <v>836</v>
      </c>
      <c r="Q759" s="19">
        <v>60</v>
      </c>
      <c r="R759" s="15">
        <f>IF(Q759&gt;0,Q759/I759,"")</f>
        <v>0.15</v>
      </c>
      <c r="S759" s="5">
        <f>($AC759*$AD759)/(($Z759/$Y759)+($AA759/$Z759)+($AB759/$AA759))</f>
        <v>76.947040498442377</v>
      </c>
      <c r="U759" s="109" t="s">
        <v>767</v>
      </c>
      <c r="V759" s="205" t="s">
        <v>719</v>
      </c>
      <c r="W759" s="205"/>
      <c r="Y759" s="2">
        <v>2</v>
      </c>
      <c r="Z759" s="2">
        <v>5</v>
      </c>
      <c r="AA759" s="2">
        <v>13</v>
      </c>
      <c r="AB759" s="2">
        <v>30</v>
      </c>
      <c r="AC759" s="2">
        <v>19</v>
      </c>
      <c r="AD759" s="2">
        <v>30</v>
      </c>
      <c r="AE759" s="2">
        <f>AC759*AD759</f>
        <v>570</v>
      </c>
      <c r="AF759" s="2">
        <f>Z759/Y759</f>
        <v>2.5</v>
      </c>
      <c r="AG759" s="2">
        <f>AA759/Z759</f>
        <v>2.6</v>
      </c>
      <c r="AH759" s="2">
        <f>AB759/AA759</f>
        <v>2.3076923076923075</v>
      </c>
    </row>
    <row r="760" spans="1:34">
      <c r="A760" s="52" t="s">
        <v>220</v>
      </c>
      <c r="B760" s="52" t="s">
        <v>221</v>
      </c>
      <c r="C760" s="191">
        <v>46188</v>
      </c>
      <c r="D760" s="42">
        <v>0.45833333333333331</v>
      </c>
      <c r="E760" s="193"/>
      <c r="F760" s="194" t="s">
        <v>1075</v>
      </c>
      <c r="G760" s="2">
        <v>2</v>
      </c>
      <c r="H760" s="2">
        <v>9</v>
      </c>
      <c r="I760" s="126">
        <v>2200</v>
      </c>
      <c r="J760" s="2" t="s">
        <v>766</v>
      </c>
      <c r="K760" s="88" t="s">
        <v>791</v>
      </c>
      <c r="L760" s="91">
        <v>40000</v>
      </c>
      <c r="M760" s="203">
        <v>40</v>
      </c>
      <c r="N760" s="39" t="s">
        <v>48</v>
      </c>
      <c r="O760" s="39" t="s">
        <v>49</v>
      </c>
      <c r="P760" s="211" t="s">
        <v>845</v>
      </c>
      <c r="Q760" s="19">
        <v>215</v>
      </c>
      <c r="R760" s="15">
        <f>Q760/I760</f>
        <v>9.7727272727272732E-2</v>
      </c>
      <c r="S760" s="5">
        <f>($AC760*$AD760)/(($Z760/$Y760)+($AA760/$Z760)+($AB760/$AA760))</f>
        <v>101.33333333333333</v>
      </c>
      <c r="U760" s="109" t="s">
        <v>219</v>
      </c>
      <c r="V760" s="205" t="s">
        <v>738</v>
      </c>
      <c r="W760" s="10"/>
      <c r="Y760" s="2">
        <v>2</v>
      </c>
      <c r="Z760" s="2">
        <v>5</v>
      </c>
      <c r="AA760" s="2">
        <v>15</v>
      </c>
      <c r="AB760" s="2">
        <v>30</v>
      </c>
      <c r="AC760" s="2">
        <v>19</v>
      </c>
      <c r="AD760" s="2">
        <v>40</v>
      </c>
      <c r="AE760" s="2">
        <f>AC760*AD760</f>
        <v>760</v>
      </c>
      <c r="AF760" s="2">
        <f>Z760/Y760</f>
        <v>2.5</v>
      </c>
      <c r="AG760" s="2">
        <f>AA760/Z760</f>
        <v>3</v>
      </c>
      <c r="AH760" s="2">
        <f>AB760/AA760</f>
        <v>2</v>
      </c>
    </row>
    <row r="761" spans="1:34">
      <c r="A761" s="68" t="s">
        <v>357</v>
      </c>
      <c r="B761" s="68" t="s">
        <v>358</v>
      </c>
      <c r="C761" s="191">
        <v>46188</v>
      </c>
      <c r="D761" s="42">
        <v>0.46527777777777779</v>
      </c>
      <c r="E761" s="8">
        <v>50</v>
      </c>
      <c r="F761" s="197" t="s">
        <v>311</v>
      </c>
      <c r="G761" s="2">
        <v>1</v>
      </c>
      <c r="H761" s="2">
        <v>9</v>
      </c>
      <c r="I761" s="126">
        <v>800</v>
      </c>
      <c r="J761" s="2" t="s">
        <v>766</v>
      </c>
      <c r="K761" s="137" t="s">
        <v>816</v>
      </c>
      <c r="L761" s="92">
        <v>40000</v>
      </c>
      <c r="M761" s="69">
        <v>30</v>
      </c>
      <c r="N761" s="39" t="s">
        <v>48</v>
      </c>
      <c r="O761" s="39" t="s">
        <v>49</v>
      </c>
      <c r="P761" s="140" t="s">
        <v>839</v>
      </c>
      <c r="Q761" s="19">
        <v>100</v>
      </c>
      <c r="R761" s="15">
        <f>Q761/I761</f>
        <v>0.125</v>
      </c>
      <c r="S761" s="5">
        <f>($AC761*$AD761)/(($Z761/$Y761)+($AA761/$Z761)+($AB761/$AA761))</f>
        <v>71.293161814488826</v>
      </c>
      <c r="U761" s="109" t="s">
        <v>219</v>
      </c>
      <c r="V761" s="2" t="s">
        <v>677</v>
      </c>
      <c r="W761" s="218" t="s">
        <v>389</v>
      </c>
      <c r="Y761" s="2">
        <v>2.5</v>
      </c>
      <c r="Z761" s="2">
        <v>6.5</v>
      </c>
      <c r="AA761" s="2">
        <v>15</v>
      </c>
      <c r="AB761" s="2">
        <v>40</v>
      </c>
      <c r="AC761" s="2">
        <v>30</v>
      </c>
      <c r="AD761" s="2">
        <v>18</v>
      </c>
      <c r="AE761" s="2">
        <f>AC761*AD761</f>
        <v>540</v>
      </c>
      <c r="AF761" s="2">
        <f>Z761/Y761</f>
        <v>2.6</v>
      </c>
      <c r="AG761" s="2">
        <f>AA761/Z761</f>
        <v>2.3076923076923075</v>
      </c>
      <c r="AH761" s="2">
        <f>AB761/AA761</f>
        <v>2.6666666666666665</v>
      </c>
    </row>
    <row r="762" spans="1:34">
      <c r="A762" s="95" t="s">
        <v>447</v>
      </c>
      <c r="B762" s="95" t="s">
        <v>448</v>
      </c>
      <c r="C762" s="190">
        <v>46188</v>
      </c>
      <c r="D762" s="42">
        <v>0.5</v>
      </c>
      <c r="E762" s="193"/>
      <c r="F762" s="194" t="s">
        <v>435</v>
      </c>
      <c r="G762" s="2">
        <v>1</v>
      </c>
      <c r="H762" s="2">
        <v>8</v>
      </c>
      <c r="I762" s="126">
        <v>1600</v>
      </c>
      <c r="J762" s="2" t="s">
        <v>766</v>
      </c>
      <c r="K762" s="109" t="s">
        <v>598</v>
      </c>
      <c r="L762" s="194">
        <v>40000</v>
      </c>
      <c r="M762" s="194">
        <v>30</v>
      </c>
      <c r="N762" s="39" t="s">
        <v>48</v>
      </c>
      <c r="O762" s="39" t="s">
        <v>49</v>
      </c>
      <c r="P762" s="211" t="s">
        <v>843</v>
      </c>
      <c r="Q762" s="19">
        <v>180</v>
      </c>
      <c r="R762" s="15">
        <f>Q762/I762</f>
        <v>0.1125</v>
      </c>
      <c r="S762" s="5">
        <f>($AC762*$AD762)/(($Z762/$Y762)+($AA762/$Z762)+($AB762/$AA762))</f>
        <v>76.947040498442377</v>
      </c>
      <c r="U762" s="109" t="s">
        <v>767</v>
      </c>
      <c r="V762" s="2" t="s">
        <v>741</v>
      </c>
      <c r="W762" s="205"/>
      <c r="Y762" s="2">
        <v>2</v>
      </c>
      <c r="Z762" s="2">
        <v>5</v>
      </c>
      <c r="AA762" s="2">
        <v>13</v>
      </c>
      <c r="AB762" s="2">
        <v>30</v>
      </c>
      <c r="AC762" s="2">
        <v>19</v>
      </c>
      <c r="AD762" s="2">
        <v>30</v>
      </c>
      <c r="AE762" s="2">
        <f>AC762*AD762</f>
        <v>570</v>
      </c>
      <c r="AF762" s="2">
        <f>Z762/Y762</f>
        <v>2.5</v>
      </c>
      <c r="AG762" s="2">
        <f>AA762/Z762</f>
        <v>2.6</v>
      </c>
      <c r="AH762" s="2">
        <f>AB762/AA762</f>
        <v>2.3076923076923075</v>
      </c>
    </row>
    <row r="763" spans="1:34">
      <c r="A763" s="52" t="s">
        <v>229</v>
      </c>
      <c r="B763" s="52" t="s">
        <v>230</v>
      </c>
      <c r="C763" s="190">
        <v>46188</v>
      </c>
      <c r="D763" s="42">
        <v>0.5</v>
      </c>
      <c r="F763" s="194" t="s">
        <v>265</v>
      </c>
      <c r="G763" s="2">
        <v>1</v>
      </c>
      <c r="I763" s="45">
        <v>600</v>
      </c>
      <c r="J763" s="2" t="s">
        <v>766</v>
      </c>
      <c r="K763" s="88" t="s">
        <v>788</v>
      </c>
      <c r="L763" s="91">
        <v>40000</v>
      </c>
      <c r="M763" s="195" t="s">
        <v>22</v>
      </c>
      <c r="N763" s="39" t="s">
        <v>48</v>
      </c>
      <c r="O763" s="39" t="s">
        <v>452</v>
      </c>
      <c r="P763" s="66">
        <v>50000</v>
      </c>
      <c r="Q763" s="2">
        <v>85</v>
      </c>
      <c r="R763" s="15">
        <f>IF(Q763&gt;0,Q763/I763,"")</f>
        <v>0.14166666666666666</v>
      </c>
      <c r="S763" s="149" t="s">
        <v>110</v>
      </c>
      <c r="T763" s="149"/>
      <c r="U763" s="109" t="s">
        <v>767</v>
      </c>
      <c r="V763" s="205" t="s">
        <v>719</v>
      </c>
      <c r="W763" s="205"/>
      <c r="AE763" s="2">
        <f>AC763*AD763</f>
        <v>0</v>
      </c>
      <c r="AF763" s="2" t="e">
        <f>Z763/Y763</f>
        <v>#DIV/0!</v>
      </c>
      <c r="AG763" s="2" t="e">
        <f>AA763/Z763</f>
        <v>#DIV/0!</v>
      </c>
      <c r="AH763" s="2" t="e">
        <f>AB763/AA763</f>
        <v>#DIV/0!</v>
      </c>
    </row>
    <row r="764" spans="1:34">
      <c r="A764" s="52" t="s">
        <v>220</v>
      </c>
      <c r="B764" s="52" t="s">
        <v>221</v>
      </c>
      <c r="C764" s="191">
        <v>46188</v>
      </c>
      <c r="D764" s="42">
        <v>0.5</v>
      </c>
      <c r="E764" s="193"/>
      <c r="F764" s="194" t="s">
        <v>1300</v>
      </c>
      <c r="G764" s="2">
        <v>3</v>
      </c>
      <c r="H764" s="2">
        <v>9</v>
      </c>
      <c r="I764" s="126">
        <v>3500</v>
      </c>
      <c r="J764" s="2" t="s">
        <v>766</v>
      </c>
      <c r="K764" s="109" t="s">
        <v>767</v>
      </c>
      <c r="L764" s="91">
        <v>40000</v>
      </c>
      <c r="M764" s="203" t="s">
        <v>97</v>
      </c>
      <c r="N764" s="39" t="s">
        <v>48</v>
      </c>
      <c r="O764" s="39" t="s">
        <v>49</v>
      </c>
      <c r="P764" s="211" t="s">
        <v>849</v>
      </c>
      <c r="Q764" s="19">
        <v>325</v>
      </c>
      <c r="R764" s="15">
        <f>Q764/I764</f>
        <v>9.285714285714286E-2</v>
      </c>
      <c r="S764" s="5">
        <f>($AC764*$AD764)/(($Z764/$Y764)+($AA764/$Z764)+($AB764/$AA764))</f>
        <v>88.052681091251188</v>
      </c>
      <c r="U764" s="109" t="s">
        <v>767</v>
      </c>
      <c r="V764" s="2" t="s">
        <v>738</v>
      </c>
      <c r="W764" s="205"/>
      <c r="Y764" s="2">
        <v>2</v>
      </c>
      <c r="Z764" s="2">
        <v>5</v>
      </c>
      <c r="AA764" s="2">
        <v>13</v>
      </c>
      <c r="AB764" s="2">
        <v>40</v>
      </c>
      <c r="AC764" s="2">
        <v>18</v>
      </c>
      <c r="AD764" s="2">
        <v>40</v>
      </c>
      <c r="AE764" s="2">
        <f>AC764*AD764</f>
        <v>720</v>
      </c>
      <c r="AF764" s="2">
        <f>Z764/Y764</f>
        <v>2.5</v>
      </c>
      <c r="AG764" s="2">
        <f>AA764/Z764</f>
        <v>2.6</v>
      </c>
      <c r="AH764" s="2">
        <f>AB764/AA764</f>
        <v>3.0769230769230771</v>
      </c>
    </row>
    <row r="765" spans="1:34">
      <c r="A765" s="68" t="s">
        <v>357</v>
      </c>
      <c r="B765" s="68" t="s">
        <v>358</v>
      </c>
      <c r="C765" s="51">
        <v>46188</v>
      </c>
      <c r="D765" s="42">
        <v>0.50694444444444442</v>
      </c>
      <c r="E765" s="8">
        <v>51</v>
      </c>
      <c r="F765" s="197" t="s">
        <v>312</v>
      </c>
      <c r="G765" s="2">
        <v>1</v>
      </c>
      <c r="H765" s="2">
        <v>8</v>
      </c>
      <c r="I765" s="126">
        <v>1100</v>
      </c>
      <c r="J765" s="2" t="s">
        <v>766</v>
      </c>
      <c r="K765" s="137" t="s">
        <v>815</v>
      </c>
      <c r="L765" s="92">
        <v>30000</v>
      </c>
      <c r="M765" s="69">
        <v>30</v>
      </c>
      <c r="N765" s="39" t="s">
        <v>48</v>
      </c>
      <c r="O765" s="39" t="s">
        <v>57</v>
      </c>
      <c r="P765" s="161">
        <v>150000</v>
      </c>
      <c r="Q765" s="2">
        <v>130</v>
      </c>
      <c r="R765" s="15">
        <f>Q765/I765</f>
        <v>0.11818181818181818</v>
      </c>
      <c r="S765" s="149" t="s">
        <v>110</v>
      </c>
      <c r="T765" s="149"/>
      <c r="U765" s="109" t="s">
        <v>219</v>
      </c>
      <c r="V765" s="2" t="s">
        <v>678</v>
      </c>
      <c r="W765" s="218" t="s">
        <v>655</v>
      </c>
      <c r="AE765" s="2">
        <f>AC765*AD765</f>
        <v>0</v>
      </c>
      <c r="AF765" s="2" t="e">
        <f>Z765/Y765</f>
        <v>#DIV/0!</v>
      </c>
      <c r="AG765" s="2" t="e">
        <f>AA765/Z765</f>
        <v>#DIV/0!</v>
      </c>
      <c r="AH765" s="2" t="e">
        <f>AB765/AA765</f>
        <v>#DIV/0!</v>
      </c>
    </row>
    <row r="766" spans="1:34">
      <c r="A766" s="165" t="s">
        <v>1383</v>
      </c>
      <c r="B766" s="36" t="s">
        <v>63</v>
      </c>
      <c r="C766" s="41">
        <v>46188</v>
      </c>
      <c r="D766" s="144">
        <v>0.54166666666666663</v>
      </c>
      <c r="E766" s="8">
        <v>45</v>
      </c>
      <c r="F766" s="194" t="s">
        <v>1165</v>
      </c>
      <c r="G766" s="2">
        <v>3</v>
      </c>
      <c r="H766" s="2">
        <v>9</v>
      </c>
      <c r="I766" s="45">
        <v>2500</v>
      </c>
      <c r="J766" s="2" t="s">
        <v>760</v>
      </c>
      <c r="K766" s="109" t="s">
        <v>815</v>
      </c>
      <c r="L766" s="92">
        <v>35000</v>
      </c>
      <c r="M766" s="69" t="s">
        <v>97</v>
      </c>
      <c r="N766" s="39" t="s">
        <v>48</v>
      </c>
      <c r="O766" s="39" t="s">
        <v>874</v>
      </c>
      <c r="P766" s="66"/>
      <c r="Q766" s="38">
        <f>R766*I766</f>
        <v>275</v>
      </c>
      <c r="R766" s="15">
        <v>0.11</v>
      </c>
      <c r="S766" s="149" t="s">
        <v>110</v>
      </c>
      <c r="T766" s="149"/>
      <c r="U766" s="109" t="s">
        <v>767</v>
      </c>
      <c r="V766" s="2" t="s">
        <v>121</v>
      </c>
      <c r="W766" s="205"/>
      <c r="AE766" s="2" t="e">
        <f>AD766*#REF!</f>
        <v>#REF!</v>
      </c>
      <c r="AF766" s="2" t="e">
        <f>Z766/Y766</f>
        <v>#DIV/0!</v>
      </c>
      <c r="AG766" s="2" t="e">
        <f>AA766/Z766</f>
        <v>#DIV/0!</v>
      </c>
      <c r="AH766" s="2" t="e">
        <f>AC766/AA766</f>
        <v>#DIV/0!</v>
      </c>
    </row>
    <row r="767" spans="1:34">
      <c r="A767" s="165" t="s">
        <v>1383</v>
      </c>
      <c r="B767" s="36" t="s">
        <v>63</v>
      </c>
      <c r="C767" s="41">
        <v>46188</v>
      </c>
      <c r="D767" s="144">
        <v>0.54166666666666663</v>
      </c>
      <c r="E767" s="8">
        <v>42</v>
      </c>
      <c r="F767" s="194" t="s">
        <v>1239</v>
      </c>
      <c r="G767" s="2">
        <v>4</v>
      </c>
      <c r="H767" s="2">
        <v>8</v>
      </c>
      <c r="I767" s="45">
        <v>10000</v>
      </c>
      <c r="J767" s="2" t="s">
        <v>762</v>
      </c>
      <c r="K767" s="109" t="s">
        <v>601</v>
      </c>
      <c r="L767" s="92">
        <v>60000</v>
      </c>
      <c r="M767" s="69">
        <v>60</v>
      </c>
      <c r="N767" s="39" t="s">
        <v>48</v>
      </c>
      <c r="O767" s="39" t="s">
        <v>373</v>
      </c>
      <c r="P767" s="66"/>
      <c r="Q767" s="38">
        <f>R767*I767</f>
        <v>700.00000000000011</v>
      </c>
      <c r="R767" s="15">
        <v>7.0000000000000007E-2</v>
      </c>
      <c r="S767" s="149" t="s">
        <v>110</v>
      </c>
      <c r="T767" s="149"/>
      <c r="U767" s="109" t="s">
        <v>767</v>
      </c>
      <c r="V767" s="2" t="s">
        <v>121</v>
      </c>
      <c r="W767" s="205"/>
      <c r="AE767" s="2" t="e">
        <f>AD767*#REF!</f>
        <v>#REF!</v>
      </c>
      <c r="AF767" s="2" t="e">
        <f>Z767/Y767</f>
        <v>#DIV/0!</v>
      </c>
      <c r="AG767" s="2" t="e">
        <f>AA767/Z767</f>
        <v>#DIV/0!</v>
      </c>
      <c r="AH767" s="2" t="e">
        <f>AC767/AA767</f>
        <v>#DIV/0!</v>
      </c>
    </row>
    <row r="768" spans="1:34">
      <c r="A768" s="165" t="s">
        <v>1383</v>
      </c>
      <c r="B768" s="72" t="s">
        <v>63</v>
      </c>
      <c r="C768" s="77">
        <v>46188</v>
      </c>
      <c r="D768" s="144">
        <v>0.54166666666666663</v>
      </c>
      <c r="E768" s="138"/>
      <c r="F768" s="194" t="s">
        <v>881</v>
      </c>
      <c r="G768" s="73">
        <v>1</v>
      </c>
      <c r="H768" s="73">
        <v>9</v>
      </c>
      <c r="I768" s="78">
        <v>250</v>
      </c>
      <c r="J768" s="2" t="s">
        <v>766</v>
      </c>
      <c r="K768" s="88" t="s">
        <v>787</v>
      </c>
      <c r="L768" s="154">
        <v>25000</v>
      </c>
      <c r="M768" s="79">
        <v>30</v>
      </c>
      <c r="N768" s="39" t="s">
        <v>817</v>
      </c>
      <c r="O768" s="39" t="s">
        <v>49</v>
      </c>
      <c r="P768" s="155"/>
      <c r="Q768" s="74">
        <v>50</v>
      </c>
      <c r="R768" s="75">
        <f>Q768/I768</f>
        <v>0.2</v>
      </c>
      <c r="S768" s="121">
        <v>44</v>
      </c>
      <c r="T768" s="121"/>
      <c r="U768" s="109" t="s">
        <v>767</v>
      </c>
      <c r="V768" s="80" t="s">
        <v>360</v>
      </c>
      <c r="W768" s="73"/>
      <c r="Y768" s="175"/>
      <c r="Z768" s="175"/>
      <c r="AA768" s="175"/>
      <c r="AB768" s="175"/>
      <c r="AC768" s="175"/>
      <c r="AD768" s="175"/>
      <c r="AE768" s="175"/>
      <c r="AF768" s="175"/>
      <c r="AG768" s="175"/>
      <c r="AH768" s="175"/>
    </row>
    <row r="769" spans="1:34">
      <c r="A769" s="52" t="s">
        <v>220</v>
      </c>
      <c r="B769" s="52" t="s">
        <v>221</v>
      </c>
      <c r="C769" s="51">
        <v>46188</v>
      </c>
      <c r="D769" s="42">
        <v>0.58333333333333337</v>
      </c>
      <c r="E769" s="193"/>
      <c r="F769" s="194" t="s">
        <v>1085</v>
      </c>
      <c r="G769" s="2">
        <v>1</v>
      </c>
      <c r="H769" s="2">
        <v>9</v>
      </c>
      <c r="I769" s="126">
        <v>400</v>
      </c>
      <c r="J769" s="2" t="s">
        <v>766</v>
      </c>
      <c r="K769" s="88" t="s">
        <v>783</v>
      </c>
      <c r="L769" s="91">
        <v>20000</v>
      </c>
      <c r="M769">
        <v>20</v>
      </c>
      <c r="N769" s="39" t="s">
        <v>61</v>
      </c>
      <c r="O769" s="39" t="s">
        <v>49</v>
      </c>
      <c r="P769" s="141" t="s">
        <v>225</v>
      </c>
      <c r="Q769" s="19">
        <v>63</v>
      </c>
      <c r="R769" s="15">
        <f>Q769/I769</f>
        <v>0.1575</v>
      </c>
      <c r="S769" s="5">
        <f>($AC769*$AD769)/(($Z769/$Y769)+($AA769/$Z769)+($AB769/$AA769))</f>
        <v>31.111111111111111</v>
      </c>
      <c r="U769" s="109" t="s">
        <v>767</v>
      </c>
      <c r="V769" s="2" t="s">
        <v>738</v>
      </c>
      <c r="Y769" s="2">
        <v>2</v>
      </c>
      <c r="Z769" s="2">
        <v>5</v>
      </c>
      <c r="AA769" s="2">
        <v>20</v>
      </c>
      <c r="AB769" s="2">
        <v>50</v>
      </c>
      <c r="AC769" s="2">
        <v>14</v>
      </c>
      <c r="AD769" s="2">
        <v>20</v>
      </c>
      <c r="AE769" s="2">
        <f>AC769*AD769</f>
        <v>280</v>
      </c>
      <c r="AF769" s="2">
        <f>Z769/Y769</f>
        <v>2.5</v>
      </c>
      <c r="AG769" s="2">
        <f>AA769/Z769</f>
        <v>4</v>
      </c>
      <c r="AH769" s="2">
        <f>AB769/AA769</f>
        <v>2.5</v>
      </c>
    </row>
    <row r="770" spans="1:34">
      <c r="A770" s="96" t="s">
        <v>461</v>
      </c>
      <c r="B770" s="96" t="s">
        <v>462</v>
      </c>
      <c r="C770" s="41">
        <v>46188</v>
      </c>
      <c r="D770" s="42">
        <v>0.59027777777777779</v>
      </c>
      <c r="F770" s="194" t="s">
        <v>455</v>
      </c>
      <c r="G770" s="2">
        <v>1</v>
      </c>
      <c r="I770" s="126">
        <v>120</v>
      </c>
      <c r="J770" s="2" t="s">
        <v>766</v>
      </c>
      <c r="K770" s="109" t="s">
        <v>603</v>
      </c>
      <c r="L770">
        <v>20000</v>
      </c>
      <c r="M770" s="69">
        <v>20</v>
      </c>
      <c r="N770" s="39" t="s">
        <v>736</v>
      </c>
      <c r="O770" s="39" t="s">
        <v>49</v>
      </c>
      <c r="P770" s="136" t="s">
        <v>829</v>
      </c>
      <c r="Q770" s="19">
        <v>24</v>
      </c>
      <c r="R770" s="15">
        <f>Q770/I770</f>
        <v>0.2</v>
      </c>
      <c r="S770" s="178" t="s">
        <v>110</v>
      </c>
      <c r="T770" s="120"/>
      <c r="U770" s="109" t="s">
        <v>736</v>
      </c>
      <c r="V770" s="2" t="s">
        <v>735</v>
      </c>
      <c r="AE770" s="2">
        <f>AC770*AD770</f>
        <v>0</v>
      </c>
      <c r="AF770" s="2" t="e">
        <f>Z770/Y770</f>
        <v>#DIV/0!</v>
      </c>
      <c r="AG770" s="2" t="e">
        <f>AA770/Z770</f>
        <v>#DIV/0!</v>
      </c>
      <c r="AH770" s="2" t="e">
        <f>AB770/AA770</f>
        <v>#DIV/0!</v>
      </c>
    </row>
    <row r="771" spans="1:34">
      <c r="A771" s="165" t="s">
        <v>1383</v>
      </c>
      <c r="B771" s="39" t="s">
        <v>63</v>
      </c>
      <c r="C771" s="41">
        <v>46188</v>
      </c>
      <c r="D771" s="144">
        <v>0.625</v>
      </c>
      <c r="F771" s="194" t="s">
        <v>912</v>
      </c>
      <c r="G771" s="2">
        <v>1</v>
      </c>
      <c r="H771" s="2">
        <v>9</v>
      </c>
      <c r="I771" s="45">
        <v>240</v>
      </c>
      <c r="J771" s="2" t="s">
        <v>766</v>
      </c>
      <c r="K771" s="88" t="s">
        <v>784</v>
      </c>
      <c r="L771" s="92">
        <v>10000</v>
      </c>
      <c r="M771" s="69">
        <v>20</v>
      </c>
      <c r="N771" s="132" t="s">
        <v>821</v>
      </c>
      <c r="O771" s="39" t="s">
        <v>49</v>
      </c>
      <c r="P771" s="130"/>
      <c r="Q771" s="19">
        <v>40</v>
      </c>
      <c r="R771" s="15">
        <v>0.16666666666666666</v>
      </c>
      <c r="S771" s="5">
        <v>29</v>
      </c>
      <c r="U771" s="109" t="s">
        <v>767</v>
      </c>
      <c r="V771" s="71" t="s">
        <v>362</v>
      </c>
      <c r="W771" s="8" t="s">
        <v>367</v>
      </c>
      <c r="Y771" s="175"/>
      <c r="Z771" s="175"/>
      <c r="AA771" s="175"/>
      <c r="AB771" s="175"/>
      <c r="AC771" s="175"/>
      <c r="AD771" s="175"/>
      <c r="AE771" s="175"/>
      <c r="AF771" s="175"/>
      <c r="AG771" s="175"/>
      <c r="AH771" s="175"/>
    </row>
    <row r="772" spans="1:34">
      <c r="A772" s="165" t="s">
        <v>1383</v>
      </c>
      <c r="B772" s="39" t="s">
        <v>63</v>
      </c>
      <c r="C772" s="47">
        <v>46188</v>
      </c>
      <c r="D772" s="144">
        <v>0.625</v>
      </c>
      <c r="F772" s="194" t="s">
        <v>1025</v>
      </c>
      <c r="G772" s="2">
        <v>1</v>
      </c>
      <c r="I772" s="126">
        <v>325</v>
      </c>
      <c r="J772" s="2" t="s">
        <v>766</v>
      </c>
      <c r="K772" s="88" t="s">
        <v>782</v>
      </c>
      <c r="L772" s="91">
        <v>10000</v>
      </c>
      <c r="M772">
        <v>15</v>
      </c>
      <c r="N772" s="132" t="s">
        <v>821</v>
      </c>
      <c r="O772" s="39" t="s">
        <v>57</v>
      </c>
      <c r="P772" s="66"/>
      <c r="Q772" s="2">
        <v>50</v>
      </c>
      <c r="R772" s="15">
        <f>Q772/I772</f>
        <v>0.15384615384615385</v>
      </c>
      <c r="S772" s="149" t="s">
        <v>110</v>
      </c>
      <c r="T772" s="149"/>
      <c r="U772" s="109" t="s">
        <v>767</v>
      </c>
      <c r="V772" s="71" t="s">
        <v>362</v>
      </c>
      <c r="W772" s="8" t="s">
        <v>145</v>
      </c>
      <c r="AE772" s="2" t="e">
        <f>AD772*#REF!</f>
        <v>#REF!</v>
      </c>
      <c r="AF772" s="2" t="e">
        <f>Z772/Y772</f>
        <v>#DIV/0!</v>
      </c>
      <c r="AG772" s="2" t="e">
        <f>AA772/Z772</f>
        <v>#DIV/0!</v>
      </c>
      <c r="AH772" s="2" t="e">
        <f>AC772/AA772</f>
        <v>#DIV/0!</v>
      </c>
    </row>
    <row r="773" spans="1:34">
      <c r="A773" s="165" t="s">
        <v>1383</v>
      </c>
      <c r="B773" s="72" t="s">
        <v>63</v>
      </c>
      <c r="C773" s="77">
        <v>46188</v>
      </c>
      <c r="D773" s="144">
        <v>0.66666666666666663</v>
      </c>
      <c r="E773" s="138"/>
      <c r="F773" s="194" t="s">
        <v>1024</v>
      </c>
      <c r="G773" s="73">
        <v>1</v>
      </c>
      <c r="H773" s="73">
        <v>9</v>
      </c>
      <c r="I773" s="78">
        <v>400</v>
      </c>
      <c r="J773" s="2" t="s">
        <v>766</v>
      </c>
      <c r="K773" s="88" t="s">
        <v>794</v>
      </c>
      <c r="L773" s="154">
        <v>30000</v>
      </c>
      <c r="M773" s="79">
        <v>20</v>
      </c>
      <c r="N773" s="39" t="s">
        <v>817</v>
      </c>
      <c r="O773" s="39" t="s">
        <v>49</v>
      </c>
      <c r="P773" s="155"/>
      <c r="Q773" s="74">
        <v>70</v>
      </c>
      <c r="R773" s="75">
        <f>Q773/I773</f>
        <v>0.17499999999999999</v>
      </c>
      <c r="S773" s="121">
        <v>37</v>
      </c>
      <c r="T773" s="121"/>
      <c r="U773" s="109" t="s">
        <v>129</v>
      </c>
      <c r="V773" s="76" t="s">
        <v>360</v>
      </c>
      <c r="W773" s="217"/>
      <c r="Y773" s="175"/>
      <c r="Z773" s="175"/>
      <c r="AA773" s="175"/>
      <c r="AB773" s="175"/>
      <c r="AC773" s="175"/>
      <c r="AD773" s="175"/>
      <c r="AE773" s="175"/>
      <c r="AF773" s="175"/>
      <c r="AG773" s="175"/>
      <c r="AH773" s="175"/>
    </row>
    <row r="774" spans="1:34">
      <c r="A774" s="52" t="s">
        <v>229</v>
      </c>
      <c r="B774" s="52" t="s">
        <v>230</v>
      </c>
      <c r="C774" s="190">
        <v>46188</v>
      </c>
      <c r="D774" s="42">
        <v>0.66666666666666663</v>
      </c>
      <c r="E774" s="193"/>
      <c r="F774" s="194" t="s">
        <v>122</v>
      </c>
      <c r="G774" s="2">
        <v>1</v>
      </c>
      <c r="I774" s="126">
        <v>240</v>
      </c>
      <c r="J774" s="2" t="s">
        <v>766</v>
      </c>
      <c r="K774" s="88" t="s">
        <v>795</v>
      </c>
      <c r="L774" s="91">
        <v>30000</v>
      </c>
      <c r="M774" s="194">
        <v>20</v>
      </c>
      <c r="N774" s="39" t="s">
        <v>48</v>
      </c>
      <c r="O774" s="39" t="s">
        <v>122</v>
      </c>
      <c r="P774" s="66">
        <v>10000</v>
      </c>
      <c r="Q774" s="2">
        <v>40</v>
      </c>
      <c r="R774" s="15">
        <f>IF(Q774&gt;0,Q774/I774,"")</f>
        <v>0.16666666666666666</v>
      </c>
      <c r="S774" s="149" t="s">
        <v>110</v>
      </c>
      <c r="T774" s="149"/>
      <c r="U774" s="109" t="s">
        <v>767</v>
      </c>
      <c r="V774" s="205" t="s">
        <v>719</v>
      </c>
      <c r="W774" s="205"/>
      <c r="AE774" s="2">
        <f>AC774*AD774</f>
        <v>0</v>
      </c>
      <c r="AF774" s="2" t="e">
        <f>Z774/Y774</f>
        <v>#DIV/0!</v>
      </c>
      <c r="AG774" s="2" t="e">
        <f>AA774/Z774</f>
        <v>#DIV/0!</v>
      </c>
      <c r="AH774" s="2" t="e">
        <f>AB774/AA774</f>
        <v>#DIV/0!</v>
      </c>
    </row>
    <row r="775" spans="1:34">
      <c r="A775" s="165" t="s">
        <v>1383</v>
      </c>
      <c r="B775" s="39" t="s">
        <v>63</v>
      </c>
      <c r="C775" s="47">
        <v>46188</v>
      </c>
      <c r="D775" s="144">
        <v>0.75</v>
      </c>
      <c r="E775" s="193"/>
      <c r="F775" s="194" t="s">
        <v>897</v>
      </c>
      <c r="G775" s="2">
        <v>1</v>
      </c>
      <c r="I775" s="126">
        <v>2750</v>
      </c>
      <c r="J775" s="2" t="s">
        <v>766</v>
      </c>
      <c r="K775" s="88" t="s">
        <v>801</v>
      </c>
      <c r="L775" s="90">
        <v>20000</v>
      </c>
      <c r="M775" s="8">
        <v>30</v>
      </c>
      <c r="N775" s="132" t="s">
        <v>821</v>
      </c>
      <c r="O775" s="39" t="s">
        <v>57</v>
      </c>
      <c r="P775" s="66"/>
      <c r="Q775" s="2">
        <v>250</v>
      </c>
      <c r="R775" s="15">
        <f>Q775/I775</f>
        <v>9.0909090909090912E-2</v>
      </c>
      <c r="S775" s="149" t="s">
        <v>110</v>
      </c>
      <c r="T775" s="149"/>
      <c r="U775" s="109" t="s">
        <v>767</v>
      </c>
      <c r="V775" s="21" t="s">
        <v>362</v>
      </c>
      <c r="W775" s="8" t="s">
        <v>143</v>
      </c>
      <c r="AC775" s="70"/>
      <c r="AD775" s="70"/>
      <c r="AE775" s="2" t="e">
        <f>AD775*#REF!</f>
        <v>#REF!</v>
      </c>
      <c r="AF775" s="2" t="e">
        <f>Z775/Y775</f>
        <v>#DIV/0!</v>
      </c>
      <c r="AG775" s="2" t="e">
        <f>AA775/Z775</f>
        <v>#DIV/0!</v>
      </c>
      <c r="AH775" s="2" t="e">
        <f>AC775/AA775</f>
        <v>#DIV/0!</v>
      </c>
    </row>
    <row r="776" spans="1:34">
      <c r="A776" s="102" t="s">
        <v>475</v>
      </c>
      <c r="B776" s="102" t="s">
        <v>476</v>
      </c>
      <c r="C776" s="47">
        <v>46188</v>
      </c>
      <c r="D776" s="42">
        <v>0.75</v>
      </c>
      <c r="E776" s="8" t="s">
        <v>505</v>
      </c>
      <c r="F776" s="194" t="s">
        <v>501</v>
      </c>
      <c r="G776" s="2">
        <v>2</v>
      </c>
      <c r="H776" s="2">
        <v>9</v>
      </c>
      <c r="I776" s="126">
        <v>500</v>
      </c>
      <c r="J776" s="2" t="s">
        <v>766</v>
      </c>
      <c r="K776" s="109" t="s">
        <v>601</v>
      </c>
      <c r="L776" s="201">
        <v>40000</v>
      </c>
      <c r="M776" s="203" t="s">
        <v>22</v>
      </c>
      <c r="N776" s="39" t="s">
        <v>48</v>
      </c>
      <c r="O776" s="39" t="s">
        <v>49</v>
      </c>
      <c r="P776" s="211" t="s">
        <v>841</v>
      </c>
      <c r="Q776" s="19">
        <v>75</v>
      </c>
      <c r="R776" s="15">
        <f>Q776/I776</f>
        <v>0.15</v>
      </c>
      <c r="S776" s="5">
        <f>($AC776*$AD776)/(($Z776/$Y776)+($AA776/$Z776)+($AB776/$AA776))</f>
        <v>71.293161814488826</v>
      </c>
      <c r="U776" s="109" t="s">
        <v>767</v>
      </c>
      <c r="V776" s="2" t="s">
        <v>641</v>
      </c>
      <c r="Y776" s="2">
        <v>2.5</v>
      </c>
      <c r="Z776" s="2">
        <v>6.5</v>
      </c>
      <c r="AA776" s="2">
        <v>15</v>
      </c>
      <c r="AB776" s="2">
        <v>40</v>
      </c>
      <c r="AC776" s="2">
        <v>30</v>
      </c>
      <c r="AD776" s="2">
        <v>18</v>
      </c>
      <c r="AE776" s="2">
        <f>AC776*AD776</f>
        <v>540</v>
      </c>
      <c r="AF776" s="2">
        <f>Z776/Y776</f>
        <v>2.6</v>
      </c>
      <c r="AG776" s="2">
        <f>AA776/Z776</f>
        <v>2.3076923076923075</v>
      </c>
      <c r="AH776" s="2">
        <f>AB776/AA776</f>
        <v>2.6666666666666665</v>
      </c>
    </row>
    <row r="777" spans="1:34">
      <c r="A777" s="52" t="s">
        <v>229</v>
      </c>
      <c r="B777" s="52" t="s">
        <v>230</v>
      </c>
      <c r="C777" s="190">
        <v>46188</v>
      </c>
      <c r="D777" s="42">
        <v>0.75</v>
      </c>
      <c r="E777" s="193"/>
      <c r="F777" s="194" t="s">
        <v>244</v>
      </c>
      <c r="G777" s="2">
        <v>1</v>
      </c>
      <c r="I777" s="126">
        <v>200</v>
      </c>
      <c r="J777" s="2" t="s">
        <v>766</v>
      </c>
      <c r="K777" s="88" t="s">
        <v>804</v>
      </c>
      <c r="L777" s="91">
        <v>30000</v>
      </c>
      <c r="M777" s="194">
        <v>20</v>
      </c>
      <c r="N777" s="39" t="s">
        <v>48</v>
      </c>
      <c r="O777" s="39" t="s">
        <v>49</v>
      </c>
      <c r="P777" s="211" t="s">
        <v>832</v>
      </c>
      <c r="Q777" s="19">
        <v>40</v>
      </c>
      <c r="R777" s="15">
        <f>IF(Q777&gt;0,Q777/I777,"")</f>
        <v>0.2</v>
      </c>
      <c r="S777" s="5">
        <f>($AC777*$AD777)/(($Z777/$Y777)+($AA777/$Z777)+($AB777/$AA777))</f>
        <v>35.555555555555557</v>
      </c>
      <c r="U777" s="109" t="s">
        <v>767</v>
      </c>
      <c r="V777" s="205" t="s">
        <v>719</v>
      </c>
      <c r="W777" s="205"/>
      <c r="Y777" s="2">
        <v>2</v>
      </c>
      <c r="Z777" s="2">
        <v>5</v>
      </c>
      <c r="AA777" s="2">
        <v>20</v>
      </c>
      <c r="AB777" s="2">
        <v>50</v>
      </c>
      <c r="AC777" s="2">
        <v>20</v>
      </c>
      <c r="AD777" s="2">
        <v>16</v>
      </c>
      <c r="AE777" s="2">
        <f>AC777*AD777</f>
        <v>320</v>
      </c>
      <c r="AF777" s="2">
        <f>Z777/Y777</f>
        <v>2.5</v>
      </c>
      <c r="AG777" s="2">
        <f>AA777/Z777</f>
        <v>4</v>
      </c>
      <c r="AH777" s="2">
        <f>AB777/AA777</f>
        <v>2.5</v>
      </c>
    </row>
    <row r="778" spans="1:34">
      <c r="A778" s="52" t="s">
        <v>220</v>
      </c>
      <c r="B778" s="52" t="s">
        <v>221</v>
      </c>
      <c r="C778" s="191">
        <v>46188</v>
      </c>
      <c r="D778" s="42">
        <v>0.75</v>
      </c>
      <c r="E778" s="193"/>
      <c r="F778" s="194" t="s">
        <v>1073</v>
      </c>
      <c r="G778" s="2">
        <v>1</v>
      </c>
      <c r="H778" s="2">
        <v>9</v>
      </c>
      <c r="I778" s="126">
        <v>1100</v>
      </c>
      <c r="J778" s="2" t="s">
        <v>766</v>
      </c>
      <c r="K778" s="88" t="s">
        <v>799</v>
      </c>
      <c r="L778" s="91">
        <v>30000</v>
      </c>
      <c r="M778" s="203">
        <v>20</v>
      </c>
      <c r="N778" s="39" t="s">
        <v>48</v>
      </c>
      <c r="O778" s="39" t="s">
        <v>49</v>
      </c>
      <c r="P778" s="140" t="s">
        <v>838</v>
      </c>
      <c r="Q778" s="19">
        <v>125</v>
      </c>
      <c r="R778" s="15">
        <f>Q778/I778</f>
        <v>0.11363636363636363</v>
      </c>
      <c r="S778" s="5">
        <f>($AC778*$AD778)/(($Z778/$Y778)+($AA778/$Z778)+($AB778/$AA778))</f>
        <v>62.448979591836739</v>
      </c>
      <c r="U778" s="109" t="s">
        <v>129</v>
      </c>
      <c r="V778" s="205" t="s">
        <v>738</v>
      </c>
      <c r="W778" s="205"/>
      <c r="Y778" s="2">
        <v>2</v>
      </c>
      <c r="Z778" s="2">
        <v>5</v>
      </c>
      <c r="AA778" s="2">
        <v>15</v>
      </c>
      <c r="AB778" s="2">
        <v>40</v>
      </c>
      <c r="AC778" s="2">
        <v>17</v>
      </c>
      <c r="AD778" s="2">
        <v>30</v>
      </c>
      <c r="AE778" s="2">
        <f>AC778*AD778</f>
        <v>510</v>
      </c>
      <c r="AF778" s="2">
        <f>Z778/Y778</f>
        <v>2.5</v>
      </c>
      <c r="AG778" s="2">
        <f>AA778/Z778</f>
        <v>3</v>
      </c>
      <c r="AH778" s="2">
        <f>AB778/AA778</f>
        <v>2.6666666666666665</v>
      </c>
    </row>
    <row r="779" spans="1:34">
      <c r="A779" s="96" t="s">
        <v>461</v>
      </c>
      <c r="B779" s="96" t="s">
        <v>462</v>
      </c>
      <c r="C779" s="41">
        <v>46188</v>
      </c>
      <c r="D779" s="42">
        <v>0.75694444444444442</v>
      </c>
      <c r="F779" s="194" t="s">
        <v>468</v>
      </c>
      <c r="G779" s="2">
        <v>2</v>
      </c>
      <c r="I779" s="126">
        <v>300</v>
      </c>
      <c r="J779" s="2" t="s">
        <v>766</v>
      </c>
      <c r="K779" s="109" t="s">
        <v>598</v>
      </c>
      <c r="L779" s="194">
        <v>30000</v>
      </c>
      <c r="M779" s="69">
        <v>30</v>
      </c>
      <c r="N779" s="39" t="s">
        <v>48</v>
      </c>
      <c r="O779" s="39" t="s">
        <v>49</v>
      </c>
      <c r="P779" s="211" t="s">
        <v>842</v>
      </c>
      <c r="Q779" s="19">
        <v>65</v>
      </c>
      <c r="R779" s="15">
        <f>Q779/I779</f>
        <v>0.21666666666666667</v>
      </c>
      <c r="S779" s="5">
        <f>($AC779*$AD779)/(($Z779/$Y779)+($AA779/$Z779)+($AB779/$AA779))</f>
        <v>53.333333333333336</v>
      </c>
      <c r="U779" s="109" t="s">
        <v>767</v>
      </c>
      <c r="V779" s="205" t="s">
        <v>735</v>
      </c>
      <c r="W779" s="205"/>
      <c r="Y779" s="2">
        <v>2</v>
      </c>
      <c r="Z779" s="2">
        <v>5</v>
      </c>
      <c r="AA779" s="2">
        <v>20</v>
      </c>
      <c r="AB779" s="2">
        <v>50</v>
      </c>
      <c r="AC779" s="2">
        <v>16</v>
      </c>
      <c r="AD779" s="2">
        <v>30</v>
      </c>
      <c r="AE779" s="2">
        <f>AC779*AD779</f>
        <v>480</v>
      </c>
      <c r="AF779" s="2">
        <f>Z779/Y779</f>
        <v>2.5</v>
      </c>
      <c r="AG779" s="2">
        <f>AA779/Z779</f>
        <v>4</v>
      </c>
      <c r="AH779" s="2">
        <f>AB779/AA779</f>
        <v>2.5</v>
      </c>
    </row>
    <row r="780" spans="1:34">
      <c r="A780" s="95" t="s">
        <v>447</v>
      </c>
      <c r="B780" s="95" t="s">
        <v>448</v>
      </c>
      <c r="C780" s="190">
        <v>46188</v>
      </c>
      <c r="D780" s="42">
        <v>0.79166666666666663</v>
      </c>
      <c r="E780" s="193"/>
      <c r="F780" s="194" t="s">
        <v>403</v>
      </c>
      <c r="G780" s="2">
        <v>1</v>
      </c>
      <c r="H780" s="2">
        <v>9</v>
      </c>
      <c r="I780" s="126">
        <v>300</v>
      </c>
      <c r="J780" s="2" t="s">
        <v>766</v>
      </c>
      <c r="K780" s="109" t="s">
        <v>602</v>
      </c>
      <c r="L780" s="194">
        <v>25000</v>
      </c>
      <c r="M780" s="194">
        <v>25</v>
      </c>
      <c r="N780" s="39" t="s">
        <v>48</v>
      </c>
      <c r="O780" s="39" t="s">
        <v>49</v>
      </c>
      <c r="P780" s="140" t="s">
        <v>834</v>
      </c>
      <c r="Q780" s="19">
        <v>50</v>
      </c>
      <c r="R780" s="15">
        <f>Q780/I780</f>
        <v>0.16666666666666666</v>
      </c>
      <c r="S780" s="5">
        <f>($AC780*$AD780)/(($Z780/$Y780)+($AA780/$Z780)+($AB780/$AA780))</f>
        <v>37.5</v>
      </c>
      <c r="U780" s="109" t="s">
        <v>767</v>
      </c>
      <c r="V780" s="2" t="s">
        <v>741</v>
      </c>
      <c r="Y780" s="2">
        <v>2.5</v>
      </c>
      <c r="Z780" s="2">
        <v>7.5</v>
      </c>
      <c r="AA780" s="2">
        <v>25</v>
      </c>
      <c r="AB780" s="2">
        <v>75</v>
      </c>
      <c r="AC780" s="2">
        <v>14</v>
      </c>
      <c r="AD780" s="2">
        <v>25</v>
      </c>
      <c r="AE780" s="2">
        <f>AC780*AD780</f>
        <v>350</v>
      </c>
      <c r="AF780" s="2">
        <f>Z780/Y780</f>
        <v>3</v>
      </c>
      <c r="AG780" s="2">
        <f>AA780/Z780</f>
        <v>3.3333333333333335</v>
      </c>
      <c r="AH780" s="2">
        <f>AB780/AA780</f>
        <v>3</v>
      </c>
    </row>
    <row r="781" spans="1:34">
      <c r="A781" s="165" t="s">
        <v>1383</v>
      </c>
      <c r="B781" s="39" t="s">
        <v>63</v>
      </c>
      <c r="C781" s="41">
        <v>46188</v>
      </c>
      <c r="D781" s="144">
        <v>0.79166666666666663</v>
      </c>
      <c r="F781" s="194" t="s">
        <v>917</v>
      </c>
      <c r="G781" s="2">
        <v>1</v>
      </c>
      <c r="H781" s="2">
        <v>9</v>
      </c>
      <c r="I781" s="81">
        <v>585</v>
      </c>
      <c r="J781" s="2" t="s">
        <v>766</v>
      </c>
      <c r="K781" s="88" t="s">
        <v>800</v>
      </c>
      <c r="L781" s="92">
        <v>10000</v>
      </c>
      <c r="M781" s="69">
        <v>20</v>
      </c>
      <c r="N781" s="132" t="s">
        <v>821</v>
      </c>
      <c r="O781" s="39" t="s">
        <v>49</v>
      </c>
      <c r="P781" s="130"/>
      <c r="Q781" s="19">
        <v>89</v>
      </c>
      <c r="R781" s="59">
        <f>Q781/I781</f>
        <v>0.15213675213675212</v>
      </c>
      <c r="S781" s="5">
        <v>29</v>
      </c>
      <c r="U781" s="109" t="s">
        <v>767</v>
      </c>
      <c r="V781" s="83" t="s">
        <v>362</v>
      </c>
      <c r="W781" s="8" t="s">
        <v>368</v>
      </c>
      <c r="Y781" s="175"/>
      <c r="Z781" s="175"/>
      <c r="AA781" s="175"/>
      <c r="AB781" s="175"/>
      <c r="AC781" s="175"/>
      <c r="AD781" s="175"/>
      <c r="AE781" s="175"/>
      <c r="AF781" s="175"/>
      <c r="AG781" s="175"/>
      <c r="AH781" s="175"/>
    </row>
    <row r="782" spans="1:34">
      <c r="A782" s="165" t="s">
        <v>1383</v>
      </c>
      <c r="B782" s="72" t="s">
        <v>63</v>
      </c>
      <c r="C782" s="77">
        <v>46188</v>
      </c>
      <c r="D782" s="144">
        <v>0.83333333333333337</v>
      </c>
      <c r="E782" s="138"/>
      <c r="F782" s="194" t="s">
        <v>1023</v>
      </c>
      <c r="G782" s="73">
        <v>1</v>
      </c>
      <c r="H782" s="73">
        <v>9</v>
      </c>
      <c r="I782" s="78">
        <v>200</v>
      </c>
      <c r="J782" s="2" t="s">
        <v>766</v>
      </c>
      <c r="K782" s="88" t="s">
        <v>806</v>
      </c>
      <c r="L782" s="154">
        <v>20000</v>
      </c>
      <c r="M782" s="79">
        <v>20</v>
      </c>
      <c r="N782" s="39" t="s">
        <v>817</v>
      </c>
      <c r="O782" s="39" t="s">
        <v>49</v>
      </c>
      <c r="P782" s="155"/>
      <c r="Q782" s="74">
        <v>45</v>
      </c>
      <c r="R782" s="75">
        <f>Q782/I782</f>
        <v>0.22500000000000001</v>
      </c>
      <c r="S782" s="121">
        <v>23</v>
      </c>
      <c r="T782" s="121"/>
      <c r="U782" s="109" t="s">
        <v>129</v>
      </c>
      <c r="V782" s="80" t="s">
        <v>360</v>
      </c>
      <c r="W782" s="73"/>
      <c r="Y782" s="175"/>
      <c r="Z782" s="175"/>
      <c r="AA782" s="175"/>
      <c r="AB782" s="175"/>
      <c r="AC782" s="175"/>
      <c r="AD782" s="175"/>
      <c r="AE782" s="175"/>
      <c r="AF782" s="175"/>
      <c r="AG782" s="175"/>
      <c r="AH782" s="175"/>
    </row>
    <row r="783" spans="1:34">
      <c r="A783" s="165" t="s">
        <v>1383</v>
      </c>
      <c r="B783" s="39" t="s">
        <v>63</v>
      </c>
      <c r="C783" s="41">
        <v>46188</v>
      </c>
      <c r="D783" s="144">
        <v>0.91666666666666663</v>
      </c>
      <c r="F783" s="194" t="s">
        <v>909</v>
      </c>
      <c r="G783" s="2">
        <v>1</v>
      </c>
      <c r="H783" s="2">
        <v>9</v>
      </c>
      <c r="I783" s="45">
        <v>135</v>
      </c>
      <c r="J783" s="2" t="s">
        <v>766</v>
      </c>
      <c r="K783" s="88" t="s">
        <v>813</v>
      </c>
      <c r="L783" s="92">
        <v>10000</v>
      </c>
      <c r="M783" s="69">
        <v>15</v>
      </c>
      <c r="N783" s="132" t="s">
        <v>821</v>
      </c>
      <c r="O783" s="39" t="s">
        <v>49</v>
      </c>
      <c r="P783" s="130"/>
      <c r="Q783" s="19">
        <v>35</v>
      </c>
      <c r="R783" s="15">
        <f>Q783/I783</f>
        <v>0.25925925925925924</v>
      </c>
      <c r="S783" s="5">
        <v>22</v>
      </c>
      <c r="U783" s="109" t="s">
        <v>767</v>
      </c>
      <c r="V783" s="71" t="s">
        <v>362</v>
      </c>
      <c r="W783" s="8" t="s">
        <v>369</v>
      </c>
      <c r="Y783" s="175"/>
      <c r="Z783" s="175"/>
      <c r="AA783" s="175"/>
      <c r="AB783" s="175"/>
      <c r="AC783" s="175"/>
      <c r="AD783" s="175"/>
      <c r="AE783" s="175"/>
      <c r="AF783" s="175"/>
      <c r="AG783" s="175"/>
      <c r="AH783" s="175"/>
    </row>
    <row r="784" spans="1:34">
      <c r="A784" s="96" t="s">
        <v>461</v>
      </c>
      <c r="B784" s="96" t="s">
        <v>462</v>
      </c>
      <c r="C784" s="41">
        <v>46188</v>
      </c>
      <c r="D784" s="42">
        <v>0.92361111111111116</v>
      </c>
      <c r="F784" s="194" t="s">
        <v>456</v>
      </c>
      <c r="G784" s="2">
        <v>1</v>
      </c>
      <c r="I784" s="126">
        <v>120</v>
      </c>
      <c r="J784" s="2" t="s">
        <v>766</v>
      </c>
      <c r="K784" s="109" t="s">
        <v>737</v>
      </c>
      <c r="L784" s="194">
        <v>20000</v>
      </c>
      <c r="M784" s="69">
        <v>15</v>
      </c>
      <c r="N784" s="39" t="s">
        <v>48</v>
      </c>
      <c r="O784" s="39" t="s">
        <v>49</v>
      </c>
      <c r="P784" s="211" t="s">
        <v>827</v>
      </c>
      <c r="Q784" s="19">
        <v>24</v>
      </c>
      <c r="R784" s="15">
        <f>Q784/I784</f>
        <v>0.2</v>
      </c>
      <c r="S784" s="5">
        <f>($AC784*$AD784)/(($Z784/$Y784)+($AA784/$Z784)+($AB784/$AA784))</f>
        <v>25.161290322580644</v>
      </c>
      <c r="U784" s="109" t="s">
        <v>463</v>
      </c>
      <c r="V784" s="2" t="s">
        <v>735</v>
      </c>
      <c r="W784" s="2" t="s">
        <v>464</v>
      </c>
      <c r="Y784" s="2">
        <v>2.5</v>
      </c>
      <c r="Z784" s="2">
        <v>7.5</v>
      </c>
      <c r="AA784" s="2">
        <v>30</v>
      </c>
      <c r="AB784" s="2">
        <v>100</v>
      </c>
      <c r="AC784" s="2">
        <v>13</v>
      </c>
      <c r="AD784" s="2">
        <v>20</v>
      </c>
      <c r="AE784" s="2">
        <f>AC784*AD784</f>
        <v>260</v>
      </c>
      <c r="AF784" s="2">
        <f>Z784/Y784</f>
        <v>3</v>
      </c>
      <c r="AG784" s="2">
        <f>AA784/Z784</f>
        <v>4</v>
      </c>
      <c r="AH784" s="2">
        <f>AB784/AA784</f>
        <v>3.3333333333333335</v>
      </c>
    </row>
    <row r="785" spans="1:34">
      <c r="A785" s="165" t="s">
        <v>1383</v>
      </c>
      <c r="B785" s="36" t="s">
        <v>63</v>
      </c>
      <c r="C785" s="41">
        <v>46188</v>
      </c>
      <c r="D785" s="144" t="s">
        <v>117</v>
      </c>
      <c r="E785" s="14">
        <v>46</v>
      </c>
      <c r="F785" s="194" t="s">
        <v>969</v>
      </c>
      <c r="G785" s="2">
        <v>5</v>
      </c>
      <c r="H785" s="2">
        <v>9</v>
      </c>
      <c r="I785" s="45">
        <v>1000</v>
      </c>
      <c r="J785" s="2" t="s">
        <v>761</v>
      </c>
      <c r="K785" s="109" t="s">
        <v>602</v>
      </c>
      <c r="L785" s="92">
        <v>20000</v>
      </c>
      <c r="M785" s="69">
        <v>60</v>
      </c>
      <c r="N785" s="39" t="s">
        <v>48</v>
      </c>
      <c r="O785" s="39" t="s">
        <v>49</v>
      </c>
      <c r="P785" s="130"/>
      <c r="Q785" s="19">
        <f>R785*I785</f>
        <v>120</v>
      </c>
      <c r="R785" s="15">
        <v>0.12</v>
      </c>
      <c r="S785" s="5">
        <f>($AC785*$AD785)/(($Z785/$Y785)+($AA785/$Z785)+($AB785/$AA785))</f>
        <v>133.04347826086956</v>
      </c>
      <c r="U785" s="109" t="s">
        <v>54</v>
      </c>
      <c r="V785" s="2" t="s">
        <v>121</v>
      </c>
      <c r="Y785" s="2">
        <v>1.5</v>
      </c>
      <c r="Z785" s="2">
        <v>4</v>
      </c>
      <c r="AA785" s="2">
        <v>10</v>
      </c>
      <c r="AB785" s="2">
        <v>25</v>
      </c>
      <c r="AC785" s="2">
        <v>17</v>
      </c>
      <c r="AD785" s="2">
        <v>60</v>
      </c>
      <c r="AE785" s="2">
        <f>AC785*AD785</f>
        <v>1020</v>
      </c>
      <c r="AF785" s="2">
        <f>Z785/Y785</f>
        <v>2.6666666666666665</v>
      </c>
      <c r="AG785" s="2">
        <f>AA785/Z785</f>
        <v>2.5</v>
      </c>
      <c r="AH785" s="2">
        <f>AB785/AA785</f>
        <v>2.5</v>
      </c>
    </row>
    <row r="786" spans="1:34">
      <c r="A786" s="165" t="s">
        <v>1383</v>
      </c>
      <c r="B786" s="36" t="s">
        <v>63</v>
      </c>
      <c r="C786" s="41">
        <v>46188</v>
      </c>
      <c r="D786" s="144" t="s">
        <v>115</v>
      </c>
      <c r="E786" s="14">
        <v>47</v>
      </c>
      <c r="F786" s="194" t="s">
        <v>192</v>
      </c>
      <c r="G786" s="2">
        <v>4</v>
      </c>
      <c r="H786" s="2">
        <v>8</v>
      </c>
      <c r="I786" s="45">
        <v>25000</v>
      </c>
      <c r="J786" s="2" t="s">
        <v>762</v>
      </c>
      <c r="K786" s="109" t="s">
        <v>601</v>
      </c>
      <c r="L786" s="89">
        <v>150000</v>
      </c>
      <c r="M786" s="202">
        <v>60</v>
      </c>
      <c r="N786" s="39" t="s">
        <v>48</v>
      </c>
      <c r="O786" s="39" t="s">
        <v>57</v>
      </c>
      <c r="P786" s="66"/>
      <c r="Q786" s="38">
        <f>R786*I786</f>
        <v>1500</v>
      </c>
      <c r="R786" s="15">
        <v>0.06</v>
      </c>
      <c r="S786" s="149" t="s">
        <v>110</v>
      </c>
      <c r="T786" s="149"/>
      <c r="U786" s="109" t="s">
        <v>767</v>
      </c>
      <c r="V786" s="205" t="s">
        <v>121</v>
      </c>
      <c r="W786" s="205"/>
      <c r="Y786" s="70"/>
      <c r="Z786" s="70"/>
      <c r="AA786" s="70"/>
      <c r="AC786" s="70"/>
      <c r="AD786" s="70"/>
      <c r="AE786" s="2" t="e">
        <f>AD786*#REF!</f>
        <v>#REF!</v>
      </c>
      <c r="AF786" s="2" t="e">
        <f>Z786/Y786</f>
        <v>#DIV/0!</v>
      </c>
      <c r="AG786" s="2" t="e">
        <f>AA786/Z786</f>
        <v>#DIV/0!</v>
      </c>
      <c r="AH786" s="2" t="e">
        <f>AC786/AA786</f>
        <v>#DIV/0!</v>
      </c>
    </row>
    <row r="787" spans="1:34">
      <c r="A787" s="165" t="s">
        <v>1383</v>
      </c>
      <c r="B787" s="36" t="s">
        <v>63</v>
      </c>
      <c r="C787" s="41">
        <v>46188</v>
      </c>
      <c r="D787" s="144" t="s">
        <v>116</v>
      </c>
      <c r="E787" s="8">
        <v>48</v>
      </c>
      <c r="F787" s="194" t="s">
        <v>166</v>
      </c>
      <c r="G787" s="2">
        <v>3</v>
      </c>
      <c r="H787" s="2">
        <v>9</v>
      </c>
      <c r="I787" s="45">
        <v>10000</v>
      </c>
      <c r="J787" s="2" t="s">
        <v>110</v>
      </c>
      <c r="K787" s="109" t="s">
        <v>815</v>
      </c>
      <c r="L787" s="92">
        <v>60000</v>
      </c>
      <c r="M787" s="69" t="s">
        <v>111</v>
      </c>
      <c r="N787" s="39" t="s">
        <v>48</v>
      </c>
      <c r="O787" s="39" t="s">
        <v>374</v>
      </c>
      <c r="P787" s="66"/>
      <c r="Q787" s="38">
        <f>R787*I787</f>
        <v>700.00000000000011</v>
      </c>
      <c r="R787" s="15">
        <v>7.0000000000000007E-2</v>
      </c>
      <c r="S787" s="149" t="s">
        <v>110</v>
      </c>
      <c r="T787" s="149"/>
      <c r="U787" s="109" t="s">
        <v>767</v>
      </c>
      <c r="V787" s="2" t="s">
        <v>121</v>
      </c>
      <c r="W787" s="205"/>
      <c r="AE787" s="2" t="e">
        <f>AD787*#REF!</f>
        <v>#REF!</v>
      </c>
      <c r="AF787" s="2" t="e">
        <f>Z787/Y787</f>
        <v>#DIV/0!</v>
      </c>
      <c r="AG787" s="2" t="e">
        <f>AA787/Z787</f>
        <v>#DIV/0!</v>
      </c>
      <c r="AH787" s="2" t="e">
        <f>AC787/AA787</f>
        <v>#DIV/0!</v>
      </c>
    </row>
    <row r="788" spans="1:34">
      <c r="A788" s="165" t="s">
        <v>1383</v>
      </c>
      <c r="B788" s="36" t="s">
        <v>63</v>
      </c>
      <c r="C788" s="41">
        <v>46188</v>
      </c>
      <c r="D788" s="144" t="s">
        <v>876</v>
      </c>
      <c r="E788" s="8">
        <v>41</v>
      </c>
      <c r="F788" s="194" t="s">
        <v>1271</v>
      </c>
      <c r="G788" s="2">
        <v>3</v>
      </c>
      <c r="H788" s="2">
        <v>8</v>
      </c>
      <c r="I788" s="45">
        <v>250000</v>
      </c>
      <c r="J788" s="2" t="s">
        <v>760</v>
      </c>
      <c r="K788" s="109" t="s">
        <v>815</v>
      </c>
      <c r="L788" s="92">
        <v>1500000</v>
      </c>
      <c r="M788" s="69">
        <v>60</v>
      </c>
      <c r="N788" s="39" t="s">
        <v>48</v>
      </c>
      <c r="O788" s="39" t="s">
        <v>49</v>
      </c>
      <c r="P788" s="130"/>
      <c r="Q788" s="19">
        <f>R788*I788</f>
        <v>5000</v>
      </c>
      <c r="R788" s="15">
        <v>0.02</v>
      </c>
      <c r="S788" s="5">
        <f>($AC788*$AD788)/(($Z788/$Y788)+($AA788/$Z788)+($AB788/$AA788))</f>
        <v>178.37837837837836</v>
      </c>
      <c r="U788" s="109" t="s">
        <v>767</v>
      </c>
      <c r="V788" s="205" t="s">
        <v>121</v>
      </c>
      <c r="W788" s="205"/>
      <c r="Y788" s="2">
        <v>40</v>
      </c>
      <c r="Z788" s="2">
        <v>100</v>
      </c>
      <c r="AA788" s="2">
        <v>250</v>
      </c>
      <c r="AB788" s="2">
        <v>600</v>
      </c>
      <c r="AC788" s="2">
        <v>22</v>
      </c>
      <c r="AD788" s="2">
        <v>60</v>
      </c>
      <c r="AE788" s="2">
        <f>AC788*AD788</f>
        <v>1320</v>
      </c>
      <c r="AF788" s="2">
        <f>Z788/Y788</f>
        <v>2.5</v>
      </c>
      <c r="AG788" s="2">
        <f>AA788/Z788</f>
        <v>2.5</v>
      </c>
      <c r="AH788" s="2">
        <f>AB788/AA788</f>
        <v>2.4</v>
      </c>
    </row>
    <row r="789" spans="1:34">
      <c r="A789" s="165" t="s">
        <v>1383</v>
      </c>
      <c r="B789" s="36" t="s">
        <v>63</v>
      </c>
      <c r="C789" s="41">
        <v>46188</v>
      </c>
      <c r="D789" s="144" t="s">
        <v>876</v>
      </c>
      <c r="E789" s="8">
        <v>39</v>
      </c>
      <c r="F789" s="194" t="s">
        <v>1364</v>
      </c>
      <c r="G789" s="2">
        <v>4</v>
      </c>
      <c r="H789" s="2">
        <v>8</v>
      </c>
      <c r="I789" s="45">
        <v>5000</v>
      </c>
      <c r="J789" s="2" t="s">
        <v>760</v>
      </c>
      <c r="K789" s="109" t="s">
        <v>601</v>
      </c>
      <c r="L789" s="92">
        <v>50000</v>
      </c>
      <c r="M789" s="69">
        <v>60</v>
      </c>
      <c r="N789" s="39" t="s">
        <v>48</v>
      </c>
      <c r="O789" s="39" t="s">
        <v>49</v>
      </c>
      <c r="P789" s="130"/>
      <c r="Q789" s="19">
        <f>R789*I789</f>
        <v>400</v>
      </c>
      <c r="R789" s="15">
        <v>0.08</v>
      </c>
      <c r="S789" s="5">
        <f>($AC789*$AD789)/(($Z789/$Y789)+($AA789/$Z789)+($AB789/$AA789))</f>
        <v>161.993769470405</v>
      </c>
      <c r="U789" s="109" t="s">
        <v>54</v>
      </c>
      <c r="V789" s="205" t="s">
        <v>121</v>
      </c>
      <c r="Y789" s="2">
        <v>2</v>
      </c>
      <c r="Z789" s="2">
        <v>5</v>
      </c>
      <c r="AA789" s="2">
        <v>13</v>
      </c>
      <c r="AB789" s="2">
        <v>30</v>
      </c>
      <c r="AC789" s="2">
        <v>20</v>
      </c>
      <c r="AD789" s="2">
        <v>60</v>
      </c>
      <c r="AE789" s="2">
        <f>AC789*AD789</f>
        <v>1200</v>
      </c>
      <c r="AF789" s="2">
        <f>Z789/Y789</f>
        <v>2.5</v>
      </c>
      <c r="AG789" s="2">
        <f>AA789/Z789</f>
        <v>2.6</v>
      </c>
      <c r="AH789" s="2">
        <f>AB789/AA789</f>
        <v>2.3076923076923075</v>
      </c>
    </row>
    <row r="790" spans="1:34">
      <c r="A790" s="52" t="s">
        <v>220</v>
      </c>
      <c r="B790" s="52" t="s">
        <v>221</v>
      </c>
      <c r="C790" s="191">
        <v>46189</v>
      </c>
      <c r="D790" s="42">
        <v>0.41666666666666669</v>
      </c>
      <c r="E790" s="193"/>
      <c r="F790" s="194" t="s">
        <v>1084</v>
      </c>
      <c r="G790" s="2">
        <v>1</v>
      </c>
      <c r="H790" s="2">
        <v>9</v>
      </c>
      <c r="I790" s="126">
        <v>400</v>
      </c>
      <c r="J790" s="2" t="s">
        <v>766</v>
      </c>
      <c r="K790" s="88" t="s">
        <v>769</v>
      </c>
      <c r="L790" s="91">
        <v>20000</v>
      </c>
      <c r="M790" s="194">
        <v>15</v>
      </c>
      <c r="N790" s="39" t="s">
        <v>61</v>
      </c>
      <c r="O790" s="39" t="s">
        <v>49</v>
      </c>
      <c r="P790" s="214" t="s">
        <v>225</v>
      </c>
      <c r="Q790" s="19">
        <v>63</v>
      </c>
      <c r="R790" s="15">
        <f>Q790/I790</f>
        <v>0.1575</v>
      </c>
      <c r="S790" s="5">
        <f>($AC790*$AD790)/(($Z790/$Y790)+($AA790/$Z790)+($AB790/$AA790))</f>
        <v>23.333333333333332</v>
      </c>
      <c r="U790" s="109" t="s">
        <v>767</v>
      </c>
      <c r="V790" s="205" t="s">
        <v>738</v>
      </c>
      <c r="Y790" s="2">
        <v>2</v>
      </c>
      <c r="Z790" s="2">
        <v>5</v>
      </c>
      <c r="AA790" s="2">
        <v>20</v>
      </c>
      <c r="AB790" s="2">
        <v>50</v>
      </c>
      <c r="AC790" s="2">
        <v>14</v>
      </c>
      <c r="AD790" s="2">
        <v>15</v>
      </c>
      <c r="AE790" s="2">
        <f>AC790*AD790</f>
        <v>210</v>
      </c>
      <c r="AF790" s="2">
        <f>Z790/Y790</f>
        <v>2.5</v>
      </c>
      <c r="AG790" s="2">
        <f>AA790/Z790</f>
        <v>4</v>
      </c>
      <c r="AH790" s="2">
        <f>AB790/AA790</f>
        <v>2.5</v>
      </c>
    </row>
    <row r="791" spans="1:34">
      <c r="A791" s="96" t="s">
        <v>461</v>
      </c>
      <c r="B791" s="96" t="s">
        <v>462</v>
      </c>
      <c r="C791" s="41">
        <v>46189</v>
      </c>
      <c r="D791" s="42">
        <v>0.4236111111111111</v>
      </c>
      <c r="E791" s="193"/>
      <c r="F791" s="194" t="s">
        <v>469</v>
      </c>
      <c r="G791" s="2">
        <v>2</v>
      </c>
      <c r="I791" s="126">
        <v>300</v>
      </c>
      <c r="J791" s="2" t="s">
        <v>766</v>
      </c>
      <c r="K791" s="109" t="s">
        <v>598</v>
      </c>
      <c r="L791" s="194">
        <v>30000</v>
      </c>
      <c r="M791" s="69">
        <v>30</v>
      </c>
      <c r="N791" s="39" t="s">
        <v>48</v>
      </c>
      <c r="O791" s="39" t="s">
        <v>49</v>
      </c>
      <c r="P791" s="211" t="s">
        <v>842</v>
      </c>
      <c r="Q791" s="19">
        <v>65</v>
      </c>
      <c r="R791" s="15">
        <f>Q791/I791</f>
        <v>0.21666666666666667</v>
      </c>
      <c r="S791" s="5">
        <f>($AC791*$AD791)/(($Z791/$Y791)+($AA791/$Z791)+($AB791/$AA791))</f>
        <v>53.333333333333336</v>
      </c>
      <c r="U791" s="109" t="s">
        <v>767</v>
      </c>
      <c r="V791" s="205" t="s">
        <v>735</v>
      </c>
      <c r="W791" s="205"/>
      <c r="Y791" s="2">
        <v>2</v>
      </c>
      <c r="Z791" s="2">
        <v>5</v>
      </c>
      <c r="AA791" s="2">
        <v>20</v>
      </c>
      <c r="AB791" s="2">
        <v>50</v>
      </c>
      <c r="AC791" s="2">
        <v>16</v>
      </c>
      <c r="AD791" s="2">
        <v>30</v>
      </c>
      <c r="AE791" s="2">
        <f>AC791*AD791</f>
        <v>480</v>
      </c>
      <c r="AF791" s="2">
        <f>Z791/Y791</f>
        <v>2.5</v>
      </c>
      <c r="AG791" s="2">
        <f>AA791/Z791</f>
        <v>4</v>
      </c>
      <c r="AH791" s="2">
        <f>AB791/AA791</f>
        <v>2.5</v>
      </c>
    </row>
    <row r="792" spans="1:34">
      <c r="A792" s="95" t="s">
        <v>447</v>
      </c>
      <c r="B792" s="95" t="s">
        <v>448</v>
      </c>
      <c r="C792" s="190">
        <v>46189</v>
      </c>
      <c r="D792" s="42">
        <v>0.45833333333333331</v>
      </c>
      <c r="E792" s="193"/>
      <c r="F792" s="194" t="s">
        <v>405</v>
      </c>
      <c r="G792" s="2">
        <v>1</v>
      </c>
      <c r="H792" s="2">
        <v>9</v>
      </c>
      <c r="I792" s="126">
        <v>800</v>
      </c>
      <c r="J792" s="2" t="s">
        <v>766</v>
      </c>
      <c r="K792" s="109" t="s">
        <v>602</v>
      </c>
      <c r="L792" s="194">
        <v>30000</v>
      </c>
      <c r="M792" s="194">
        <v>30</v>
      </c>
      <c r="N792" s="39" t="s">
        <v>48</v>
      </c>
      <c r="O792" s="39" t="s">
        <v>49</v>
      </c>
      <c r="P792" s="211" t="s">
        <v>840</v>
      </c>
      <c r="Q792" s="19">
        <v>100</v>
      </c>
      <c r="R792" s="15">
        <f>Q792/I792</f>
        <v>0.125</v>
      </c>
      <c r="S792" s="5">
        <f>($AC792*$AD792)/(($Z792/$Y792)+($AA792/$Z792)+($AB792/$AA792))</f>
        <v>72.897196261682254</v>
      </c>
      <c r="U792" s="109" t="s">
        <v>767</v>
      </c>
      <c r="V792" s="205" t="s">
        <v>741</v>
      </c>
      <c r="W792" s="205"/>
      <c r="Y792" s="2">
        <v>2</v>
      </c>
      <c r="Z792" s="2">
        <v>5</v>
      </c>
      <c r="AA792" s="2">
        <v>13</v>
      </c>
      <c r="AB792" s="2">
        <v>30</v>
      </c>
      <c r="AC792" s="2">
        <v>18</v>
      </c>
      <c r="AD792" s="2">
        <v>30</v>
      </c>
      <c r="AE792" s="2">
        <f>AC792*AD792</f>
        <v>540</v>
      </c>
      <c r="AF792" s="2">
        <f>Z792/Y792</f>
        <v>2.5</v>
      </c>
      <c r="AG792" s="2">
        <f>AA792/Z792</f>
        <v>2.6</v>
      </c>
      <c r="AH792" s="2">
        <f>AB792/AA792</f>
        <v>2.3076923076923075</v>
      </c>
    </row>
    <row r="793" spans="1:34">
      <c r="A793" s="165" t="s">
        <v>1383</v>
      </c>
      <c r="B793" s="36" t="s">
        <v>63</v>
      </c>
      <c r="C793" s="41">
        <v>46189</v>
      </c>
      <c r="D793" s="144">
        <v>0.45833333333333331</v>
      </c>
      <c r="E793" s="14">
        <v>34</v>
      </c>
      <c r="F793" s="194" t="s">
        <v>1197</v>
      </c>
      <c r="G793" s="2">
        <v>4</v>
      </c>
      <c r="H793" s="2">
        <v>9</v>
      </c>
      <c r="I793" s="45">
        <v>500</v>
      </c>
      <c r="J793" s="2" t="s">
        <v>761</v>
      </c>
      <c r="K793" s="109" t="s">
        <v>601</v>
      </c>
      <c r="L793" s="92">
        <v>50000</v>
      </c>
      <c r="M793" s="69">
        <v>40</v>
      </c>
      <c r="N793" s="39" t="s">
        <v>48</v>
      </c>
      <c r="O793" s="39" t="s">
        <v>49</v>
      </c>
      <c r="P793" s="130"/>
      <c r="Q793" s="19">
        <f>R793*I793</f>
        <v>0</v>
      </c>
      <c r="R793" s="15">
        <v>0</v>
      </c>
      <c r="S793" s="5">
        <f>($AC793*$AD793)/(($Z793/$Y793)+($AA793/$Z793)+($AB793/$AA793))</f>
        <v>107.99584631360334</v>
      </c>
      <c r="U793" s="109" t="s">
        <v>767</v>
      </c>
      <c r="V793" s="2" t="s">
        <v>121</v>
      </c>
      <c r="W793" s="205"/>
      <c r="Y793" s="2">
        <v>2</v>
      </c>
      <c r="Z793" s="2">
        <v>5</v>
      </c>
      <c r="AA793" s="2">
        <v>13</v>
      </c>
      <c r="AB793" s="2">
        <v>30</v>
      </c>
      <c r="AC793" s="2">
        <v>20</v>
      </c>
      <c r="AD793" s="2">
        <v>40</v>
      </c>
      <c r="AE793" s="2">
        <f>AC793*AD793</f>
        <v>800</v>
      </c>
      <c r="AF793" s="2">
        <f>Z793/Y793</f>
        <v>2.5</v>
      </c>
      <c r="AG793" s="2">
        <f>AA793/Z793</f>
        <v>2.6</v>
      </c>
      <c r="AH793" s="2">
        <f>AB793/AA793</f>
        <v>2.3076923076923075</v>
      </c>
    </row>
    <row r="794" spans="1:34">
      <c r="A794" s="165" t="s">
        <v>1383</v>
      </c>
      <c r="B794" s="36" t="s">
        <v>63</v>
      </c>
      <c r="C794" s="41">
        <v>46189</v>
      </c>
      <c r="D794" s="144">
        <v>0.45833333333333331</v>
      </c>
      <c r="E794" s="14">
        <v>46</v>
      </c>
      <c r="F794" s="194" t="s">
        <v>1365</v>
      </c>
      <c r="G794" s="2">
        <v>5</v>
      </c>
      <c r="H794" s="2">
        <v>9</v>
      </c>
      <c r="I794" s="45">
        <v>1000</v>
      </c>
      <c r="J794" s="2" t="s">
        <v>761</v>
      </c>
      <c r="K794" s="109" t="s">
        <v>602</v>
      </c>
      <c r="L794" s="92">
        <v>20000</v>
      </c>
      <c r="M794" s="69">
        <v>60</v>
      </c>
      <c r="N794" s="39" t="s">
        <v>48</v>
      </c>
      <c r="O794" s="39" t="s">
        <v>49</v>
      </c>
      <c r="P794" s="130"/>
      <c r="Q794" s="19">
        <f>R794*I794</f>
        <v>120</v>
      </c>
      <c r="R794" s="15">
        <v>0.12</v>
      </c>
      <c r="S794" s="5">
        <f>($AC794*$AD794)/(($Z794/$Y794)+($AA794/$Z794)+($AB794/$AA794))</f>
        <v>133.04347826086956</v>
      </c>
      <c r="U794" s="109" t="s">
        <v>54</v>
      </c>
      <c r="V794" s="2" t="s">
        <v>121</v>
      </c>
      <c r="Y794" s="2">
        <v>1.5</v>
      </c>
      <c r="Z794" s="2">
        <v>4</v>
      </c>
      <c r="AA794" s="2">
        <v>10</v>
      </c>
      <c r="AB794" s="2">
        <v>25</v>
      </c>
      <c r="AC794" s="2">
        <v>17</v>
      </c>
      <c r="AD794" s="2">
        <v>60</v>
      </c>
      <c r="AE794" s="2">
        <f>AC794*AD794</f>
        <v>1020</v>
      </c>
      <c r="AF794" s="2">
        <f>Z794/Y794</f>
        <v>2.6666666666666665</v>
      </c>
      <c r="AG794" s="2">
        <f>AA794/Z794</f>
        <v>2.5</v>
      </c>
      <c r="AH794" s="2">
        <f>AB794/AA794</f>
        <v>2.5</v>
      </c>
    </row>
    <row r="795" spans="1:34">
      <c r="A795" s="102" t="s">
        <v>475</v>
      </c>
      <c r="B795" s="102" t="s">
        <v>476</v>
      </c>
      <c r="C795" s="190">
        <v>46189</v>
      </c>
      <c r="D795" s="42">
        <v>0.45833333333333331</v>
      </c>
      <c r="E795" s="8" t="s">
        <v>506</v>
      </c>
      <c r="F795" s="194" t="s">
        <v>492</v>
      </c>
      <c r="G795" s="2">
        <v>2</v>
      </c>
      <c r="H795" s="2">
        <v>9</v>
      </c>
      <c r="I795" s="126">
        <v>400</v>
      </c>
      <c r="J795" s="2" t="s">
        <v>766</v>
      </c>
      <c r="K795" s="109" t="s">
        <v>601</v>
      </c>
      <c r="L795" s="105">
        <v>30000</v>
      </c>
      <c r="M795" s="64">
        <v>30</v>
      </c>
      <c r="N795" s="39" t="s">
        <v>48</v>
      </c>
      <c r="O795" s="39" t="s">
        <v>49</v>
      </c>
      <c r="P795" s="140" t="s">
        <v>838</v>
      </c>
      <c r="Q795" s="19">
        <v>70</v>
      </c>
      <c r="R795" s="15">
        <f>Q795/I795</f>
        <v>0.17499999999999999</v>
      </c>
      <c r="S795" s="5">
        <f>($AC795*$AD795)/(($Z795/$Y795)+($AA795/$Z795)+($AB795/$AA795))</f>
        <v>72.897196261682254</v>
      </c>
      <c r="U795" s="109" t="s">
        <v>767</v>
      </c>
      <c r="V795" s="2" t="s">
        <v>640</v>
      </c>
      <c r="Y795" s="2">
        <v>2</v>
      </c>
      <c r="Z795" s="2">
        <v>5</v>
      </c>
      <c r="AA795" s="2">
        <v>13</v>
      </c>
      <c r="AB795" s="2">
        <v>30</v>
      </c>
      <c r="AC795" s="2">
        <v>30</v>
      </c>
      <c r="AD795" s="2">
        <v>18</v>
      </c>
      <c r="AE795" s="2">
        <f>AC795*AD795</f>
        <v>540</v>
      </c>
      <c r="AF795" s="2">
        <f>Z795/Y795</f>
        <v>2.5</v>
      </c>
      <c r="AG795" s="2">
        <f>AA795/Z795</f>
        <v>2.6</v>
      </c>
      <c r="AH795" s="2">
        <f>AB795/AA795</f>
        <v>2.3076923076923075</v>
      </c>
    </row>
    <row r="796" spans="1:34">
      <c r="A796" s="52" t="s">
        <v>229</v>
      </c>
      <c r="B796" s="52" t="s">
        <v>230</v>
      </c>
      <c r="C796" s="190">
        <v>46189</v>
      </c>
      <c r="D796" s="42">
        <v>0.45833333333333331</v>
      </c>
      <c r="E796" s="193"/>
      <c r="F796" s="8" t="s">
        <v>249</v>
      </c>
      <c r="G796" s="2">
        <v>1</v>
      </c>
      <c r="I796" s="126">
        <v>300</v>
      </c>
      <c r="J796" s="2" t="s">
        <v>766</v>
      </c>
      <c r="K796" s="88" t="s">
        <v>788</v>
      </c>
      <c r="L796" s="91">
        <v>30000</v>
      </c>
      <c r="M796" s="194">
        <v>30</v>
      </c>
      <c r="N796" s="39" t="s">
        <v>48</v>
      </c>
      <c r="O796" s="39" t="s">
        <v>49</v>
      </c>
      <c r="P796" s="140" t="s">
        <v>835</v>
      </c>
      <c r="Q796" s="19">
        <v>45</v>
      </c>
      <c r="R796" s="15">
        <f>IF(Q796&gt;0,Q796/I796,"")</f>
        <v>0.15</v>
      </c>
      <c r="S796" s="5">
        <f>($AC796*$AD796)/(($Z796/$Y796)+($AA796/$Z796)+($AB796/$AA796))</f>
        <v>72.897196261682254</v>
      </c>
      <c r="U796" s="109" t="s">
        <v>767</v>
      </c>
      <c r="V796" s="205" t="s">
        <v>719</v>
      </c>
      <c r="W796" s="205"/>
      <c r="Y796" s="2">
        <v>2</v>
      </c>
      <c r="Z796" s="2">
        <v>5</v>
      </c>
      <c r="AA796" s="2">
        <v>13</v>
      </c>
      <c r="AB796" s="2">
        <v>30</v>
      </c>
      <c r="AC796" s="2">
        <v>18</v>
      </c>
      <c r="AD796" s="2">
        <v>30</v>
      </c>
      <c r="AE796" s="2">
        <f>AC796*AD796</f>
        <v>540</v>
      </c>
      <c r="AF796" s="2">
        <f>Z796/Y796</f>
        <v>2.5</v>
      </c>
      <c r="AG796" s="2">
        <f>AA796/Z796</f>
        <v>2.6</v>
      </c>
      <c r="AH796" s="2">
        <f>AB796/AA796</f>
        <v>2.3076923076923075</v>
      </c>
    </row>
    <row r="797" spans="1:34">
      <c r="A797" s="52" t="s">
        <v>220</v>
      </c>
      <c r="B797" s="52" t="s">
        <v>221</v>
      </c>
      <c r="C797" s="191">
        <v>46189</v>
      </c>
      <c r="D797" s="42">
        <v>0.45833333333333331</v>
      </c>
      <c r="E797" s="193"/>
      <c r="F797" s="8" t="s">
        <v>1076</v>
      </c>
      <c r="G797" s="2">
        <v>2</v>
      </c>
      <c r="H797" s="2">
        <v>9</v>
      </c>
      <c r="I797" s="126">
        <v>2200</v>
      </c>
      <c r="J797" s="2" t="s">
        <v>766</v>
      </c>
      <c r="K797" s="88" t="s">
        <v>791</v>
      </c>
      <c r="L797" s="91">
        <v>40000</v>
      </c>
      <c r="M797" s="203">
        <v>40</v>
      </c>
      <c r="N797" s="39" t="s">
        <v>48</v>
      </c>
      <c r="O797" s="39" t="s">
        <v>49</v>
      </c>
      <c r="P797" s="211" t="s">
        <v>845</v>
      </c>
      <c r="Q797" s="19">
        <v>215</v>
      </c>
      <c r="R797" s="15">
        <f>Q797/I797</f>
        <v>9.7727272727272732E-2</v>
      </c>
      <c r="S797" s="5">
        <f>($AC797*$AD797)/(($Z797/$Y797)+($AA797/$Z797)+($AB797/$AA797))</f>
        <v>101.33333333333333</v>
      </c>
      <c r="U797" s="109" t="s">
        <v>219</v>
      </c>
      <c r="V797" s="10" t="s">
        <v>738</v>
      </c>
      <c r="W797" s="205"/>
      <c r="Y797" s="2">
        <v>2</v>
      </c>
      <c r="Z797" s="2">
        <v>5</v>
      </c>
      <c r="AA797" s="2">
        <v>15</v>
      </c>
      <c r="AB797" s="2">
        <v>30</v>
      </c>
      <c r="AC797" s="2">
        <v>19</v>
      </c>
      <c r="AD797" s="2">
        <v>40</v>
      </c>
      <c r="AE797" s="2">
        <f>AC797*AD797</f>
        <v>760</v>
      </c>
      <c r="AF797" s="2">
        <f>Z797/Y797</f>
        <v>2.5</v>
      </c>
      <c r="AG797" s="2">
        <f>AA797/Z797</f>
        <v>3</v>
      </c>
      <c r="AH797" s="2">
        <f>AB797/AA797</f>
        <v>2</v>
      </c>
    </row>
    <row r="798" spans="1:34">
      <c r="A798" s="68" t="s">
        <v>357</v>
      </c>
      <c r="B798" s="68" t="s">
        <v>358</v>
      </c>
      <c r="C798" s="191">
        <v>46189</v>
      </c>
      <c r="D798" s="42">
        <v>0.46527777777777779</v>
      </c>
      <c r="E798" s="8">
        <v>52</v>
      </c>
      <c r="F798" s="63" t="s">
        <v>296</v>
      </c>
      <c r="G798" s="2">
        <v>1</v>
      </c>
      <c r="H798" s="2">
        <v>9</v>
      </c>
      <c r="I798" s="126">
        <v>800</v>
      </c>
      <c r="J798" s="2" t="s">
        <v>766</v>
      </c>
      <c r="K798" s="137" t="s">
        <v>816</v>
      </c>
      <c r="L798" s="92">
        <v>40000</v>
      </c>
      <c r="M798" s="69">
        <v>30</v>
      </c>
      <c r="N798" s="39" t="s">
        <v>48</v>
      </c>
      <c r="O798" s="39" t="s">
        <v>49</v>
      </c>
      <c r="P798" s="140" t="s">
        <v>839</v>
      </c>
      <c r="Q798" s="19">
        <v>100</v>
      </c>
      <c r="R798" s="15">
        <f>Q798/I798</f>
        <v>0.125</v>
      </c>
      <c r="S798" s="5">
        <f>($AC798*$AD798)/(($Z798/$Y798)+($AA798/$Z798)+($AB798/$AA798))</f>
        <v>71.293161814488826</v>
      </c>
      <c r="U798" s="109" t="s">
        <v>767</v>
      </c>
      <c r="V798" s="10" t="s">
        <v>668</v>
      </c>
      <c r="W798" s="205"/>
      <c r="Y798" s="2">
        <v>2.5</v>
      </c>
      <c r="Z798" s="2">
        <v>6.5</v>
      </c>
      <c r="AA798" s="2">
        <v>15</v>
      </c>
      <c r="AB798" s="2">
        <v>40</v>
      </c>
      <c r="AC798" s="2">
        <v>30</v>
      </c>
      <c r="AD798" s="2">
        <v>18</v>
      </c>
      <c r="AE798" s="2">
        <f>AC798*AD798</f>
        <v>540</v>
      </c>
      <c r="AF798" s="2">
        <f>Z798/Y798</f>
        <v>2.6</v>
      </c>
      <c r="AG798" s="2">
        <f>AA798/Z798</f>
        <v>2.3076923076923075</v>
      </c>
      <c r="AH798" s="2">
        <f>AB798/AA798</f>
        <v>2.6666666666666665</v>
      </c>
    </row>
    <row r="799" spans="1:34" ht="12.6" customHeight="1">
      <c r="A799" s="103" t="s">
        <v>539</v>
      </c>
      <c r="B799" s="103" t="s">
        <v>540</v>
      </c>
      <c r="C799" s="191">
        <v>46189</v>
      </c>
      <c r="D799" s="42">
        <v>0.46875</v>
      </c>
      <c r="E799" s="46">
        <v>48</v>
      </c>
      <c r="F799" s="63" t="s">
        <v>586</v>
      </c>
      <c r="G799" s="2">
        <v>2</v>
      </c>
      <c r="H799" s="2">
        <v>9</v>
      </c>
      <c r="I799" s="126">
        <v>420</v>
      </c>
      <c r="J799" s="179" t="s">
        <v>766</v>
      </c>
      <c r="K799" s="179" t="s">
        <v>602</v>
      </c>
      <c r="L799" s="92">
        <v>30000</v>
      </c>
      <c r="M799" s="181" t="s">
        <v>22</v>
      </c>
      <c r="N799" s="39" t="s">
        <v>48</v>
      </c>
      <c r="O799" s="39" t="s">
        <v>49</v>
      </c>
      <c r="P799" s="214"/>
      <c r="Q799" s="19">
        <v>75</v>
      </c>
      <c r="R799" s="15">
        <f>Q799/I799</f>
        <v>0.17857142857142858</v>
      </c>
      <c r="S799" s="5">
        <f>($AC799*$AD799)/(($Z799/$Y799)+($AA799/$Z799)+($AB799/$AA799))</f>
        <v>60.982874162323164</v>
      </c>
      <c r="U799" s="109" t="s">
        <v>767</v>
      </c>
      <c r="V799" s="21" t="s">
        <v>1395</v>
      </c>
      <c r="W799" s="8" t="s">
        <v>1392</v>
      </c>
      <c r="Y799" s="2">
        <v>1.5</v>
      </c>
      <c r="Z799" s="2">
        <v>4</v>
      </c>
      <c r="AA799" s="2">
        <v>13</v>
      </c>
      <c r="AB799" s="2">
        <v>35</v>
      </c>
      <c r="AC799" s="2">
        <v>17.5</v>
      </c>
      <c r="AD799" s="2">
        <v>30</v>
      </c>
      <c r="AE799" s="2">
        <f>AC799*AD799</f>
        <v>525</v>
      </c>
      <c r="AF799" s="2">
        <f>Z799/Y799</f>
        <v>2.6666666666666665</v>
      </c>
      <c r="AG799" s="2">
        <f>AA799/Z799</f>
        <v>3.25</v>
      </c>
      <c r="AH799" s="2">
        <f>AC799/AA799</f>
        <v>1.3461538461538463</v>
      </c>
    </row>
    <row r="800" spans="1:34">
      <c r="A800" s="103" t="s">
        <v>539</v>
      </c>
      <c r="B800" s="103" t="s">
        <v>540</v>
      </c>
      <c r="C800" s="191">
        <v>46189</v>
      </c>
      <c r="D800" s="42">
        <v>0.5</v>
      </c>
      <c r="E800" s="8">
        <v>49</v>
      </c>
      <c r="F800" s="63" t="s">
        <v>551</v>
      </c>
      <c r="G800" s="2">
        <v>1</v>
      </c>
      <c r="H800" s="2">
        <v>8</v>
      </c>
      <c r="I800" s="126">
        <v>500</v>
      </c>
      <c r="J800" s="179" t="s">
        <v>766</v>
      </c>
      <c r="K800" s="179" t="s">
        <v>602</v>
      </c>
      <c r="L800" s="92">
        <v>30000</v>
      </c>
      <c r="M800" s="181" t="s">
        <v>22</v>
      </c>
      <c r="N800" s="39" t="s">
        <v>48</v>
      </c>
      <c r="O800" s="39" t="s">
        <v>451</v>
      </c>
      <c r="P800" s="197">
        <v>30000</v>
      </c>
      <c r="Q800" s="2">
        <v>70</v>
      </c>
      <c r="R800" s="15">
        <f>Q800/I800</f>
        <v>0.14000000000000001</v>
      </c>
      <c r="S800" s="142"/>
      <c r="U800" s="109" t="s">
        <v>767</v>
      </c>
      <c r="V800" s="21" t="s">
        <v>1395</v>
      </c>
      <c r="W800" s="205"/>
      <c r="AE800" s="2">
        <f>AC800*AD800</f>
        <v>0</v>
      </c>
      <c r="AF800" s="2" t="e">
        <f>Z800/Y800</f>
        <v>#DIV/0!</v>
      </c>
      <c r="AG800" s="2" t="e">
        <f>AA800/Z800</f>
        <v>#DIV/0!</v>
      </c>
      <c r="AH800" s="2" t="e">
        <f>AB800/AA800</f>
        <v>#DIV/0!</v>
      </c>
    </row>
    <row r="801" spans="1:34">
      <c r="A801" s="102" t="s">
        <v>475</v>
      </c>
      <c r="B801" s="102" t="s">
        <v>476</v>
      </c>
      <c r="C801" s="47">
        <v>46189</v>
      </c>
      <c r="D801" s="42">
        <v>0.5</v>
      </c>
      <c r="E801" s="8">
        <v>15</v>
      </c>
      <c r="F801" s="8" t="s">
        <v>1344</v>
      </c>
      <c r="G801" s="2">
        <v>2</v>
      </c>
      <c r="H801" s="2">
        <v>9</v>
      </c>
      <c r="I801" s="126">
        <v>500</v>
      </c>
      <c r="J801" s="2" t="s">
        <v>766</v>
      </c>
      <c r="K801" s="109" t="s">
        <v>601</v>
      </c>
      <c r="L801" s="201">
        <v>40000</v>
      </c>
      <c r="M801" s="203" t="s">
        <v>22</v>
      </c>
      <c r="N801" s="39" t="s">
        <v>48</v>
      </c>
      <c r="O801" s="39" t="s">
        <v>49</v>
      </c>
      <c r="P801" s="211" t="s">
        <v>841</v>
      </c>
      <c r="Q801" s="19">
        <v>75</v>
      </c>
      <c r="R801" s="15">
        <f>Q801/I801</f>
        <v>0.15</v>
      </c>
      <c r="S801" s="5">
        <f>($AC801*$AD801)/(($Z801/$Y801)+($AA801/$Z801)+($AB801/$AA801))</f>
        <v>71.293161814488826</v>
      </c>
      <c r="U801" s="109" t="s">
        <v>767</v>
      </c>
      <c r="V801" s="2" t="s">
        <v>641</v>
      </c>
      <c r="W801" s="205"/>
      <c r="Y801" s="2">
        <v>2.5</v>
      </c>
      <c r="Z801" s="2">
        <v>6.5</v>
      </c>
      <c r="AA801" s="2">
        <v>15</v>
      </c>
      <c r="AB801" s="2">
        <v>40</v>
      </c>
      <c r="AC801" s="2">
        <v>30</v>
      </c>
      <c r="AD801" s="2">
        <v>18</v>
      </c>
      <c r="AE801" s="2">
        <f>AC801*AD801</f>
        <v>540</v>
      </c>
      <c r="AF801" s="2">
        <f>Z801/Y801</f>
        <v>2.6</v>
      </c>
      <c r="AG801" s="2">
        <f>AA801/Z801</f>
        <v>2.3076923076923075</v>
      </c>
      <c r="AH801" s="2">
        <f>AB801/AA801</f>
        <v>2.6666666666666665</v>
      </c>
    </row>
    <row r="802" spans="1:34">
      <c r="A802" s="52" t="s">
        <v>229</v>
      </c>
      <c r="B802" s="52" t="s">
        <v>230</v>
      </c>
      <c r="C802" s="190">
        <v>46189</v>
      </c>
      <c r="D802" s="42">
        <v>0.5</v>
      </c>
      <c r="F802" s="8" t="s">
        <v>266</v>
      </c>
      <c r="G802" s="2">
        <v>1</v>
      </c>
      <c r="I802" s="45">
        <v>600</v>
      </c>
      <c r="J802" s="2" t="s">
        <v>766</v>
      </c>
      <c r="K802" s="88" t="s">
        <v>788</v>
      </c>
      <c r="L802" s="91">
        <v>40000</v>
      </c>
      <c r="M802" s="195" t="s">
        <v>22</v>
      </c>
      <c r="N802" s="39" t="s">
        <v>48</v>
      </c>
      <c r="O802" s="39" t="s">
        <v>866</v>
      </c>
      <c r="P802" s="66">
        <v>50000</v>
      </c>
      <c r="Q802" s="2">
        <v>85</v>
      </c>
      <c r="R802" s="15">
        <f>IF(Q802&gt;0,Q802/I802,"")</f>
        <v>0.14166666666666666</v>
      </c>
      <c r="S802" s="149" t="s">
        <v>110</v>
      </c>
      <c r="T802" s="149"/>
      <c r="U802" s="109" t="s">
        <v>767</v>
      </c>
      <c r="V802" s="205" t="s">
        <v>719</v>
      </c>
      <c r="W802" s="205"/>
      <c r="AE802" s="2">
        <f>AC802*AD802</f>
        <v>0</v>
      </c>
      <c r="AF802" s="2" t="e">
        <f>Z802/Y802</f>
        <v>#DIV/0!</v>
      </c>
      <c r="AG802" s="2" t="e">
        <f>AA802/Z802</f>
        <v>#DIV/0!</v>
      </c>
      <c r="AH802" s="2" t="e">
        <f>AB802/AA802</f>
        <v>#DIV/0!</v>
      </c>
    </row>
    <row r="803" spans="1:34">
      <c r="A803" s="52" t="s">
        <v>220</v>
      </c>
      <c r="B803" s="52" t="s">
        <v>221</v>
      </c>
      <c r="C803" s="191">
        <v>46189</v>
      </c>
      <c r="D803" s="42">
        <v>0.5</v>
      </c>
      <c r="E803" s="193"/>
      <c r="F803" s="8" t="s">
        <v>1301</v>
      </c>
      <c r="G803" s="2">
        <v>3</v>
      </c>
      <c r="H803" s="2">
        <v>9</v>
      </c>
      <c r="I803" s="126">
        <v>3500</v>
      </c>
      <c r="J803" s="2" t="s">
        <v>766</v>
      </c>
      <c r="K803" s="109" t="s">
        <v>767</v>
      </c>
      <c r="L803" s="91">
        <v>40000</v>
      </c>
      <c r="M803" s="203" t="s">
        <v>97</v>
      </c>
      <c r="N803" s="39" t="s">
        <v>48</v>
      </c>
      <c r="O803" s="39" t="s">
        <v>49</v>
      </c>
      <c r="P803" s="211" t="s">
        <v>849</v>
      </c>
      <c r="Q803" s="19">
        <v>325</v>
      </c>
      <c r="R803" s="15">
        <f>Q803/I803</f>
        <v>9.285714285714286E-2</v>
      </c>
      <c r="S803" s="5">
        <f>($AC803*$AD803)/(($Z803/$Y803)+($AA803/$Z803)+($AB803/$AA803))</f>
        <v>88.052681091251188</v>
      </c>
      <c r="U803" s="109" t="s">
        <v>767</v>
      </c>
      <c r="V803" s="2" t="s">
        <v>738</v>
      </c>
      <c r="Y803" s="2">
        <v>2</v>
      </c>
      <c r="Z803" s="2">
        <v>5</v>
      </c>
      <c r="AA803" s="2">
        <v>13</v>
      </c>
      <c r="AB803" s="2">
        <v>40</v>
      </c>
      <c r="AC803" s="2">
        <v>18</v>
      </c>
      <c r="AD803" s="2">
        <v>40</v>
      </c>
      <c r="AE803" s="2">
        <f>AC803*AD803</f>
        <v>720</v>
      </c>
      <c r="AF803" s="2">
        <f>Z803/Y803</f>
        <v>2.5</v>
      </c>
      <c r="AG803" s="2">
        <f>AA803/Z803</f>
        <v>2.6</v>
      </c>
      <c r="AH803" s="2">
        <f>AB803/AA803</f>
        <v>3.0769230769230771</v>
      </c>
    </row>
    <row r="804" spans="1:34">
      <c r="A804" s="95" t="s">
        <v>447</v>
      </c>
      <c r="B804" s="95" t="s">
        <v>448</v>
      </c>
      <c r="C804" s="190">
        <v>46189</v>
      </c>
      <c r="D804" s="42">
        <v>0.54166666666666663</v>
      </c>
      <c r="E804" s="193"/>
      <c r="F804" s="8" t="s">
        <v>421</v>
      </c>
      <c r="G804" s="2">
        <v>1</v>
      </c>
      <c r="H804" s="2">
        <v>8</v>
      </c>
      <c r="I804" s="126">
        <v>800</v>
      </c>
      <c r="J804" s="2" t="s">
        <v>766</v>
      </c>
      <c r="K804" s="109" t="s">
        <v>602</v>
      </c>
      <c r="L804" s="194">
        <v>30000</v>
      </c>
      <c r="M804" s="194">
        <v>30</v>
      </c>
      <c r="N804" s="39" t="s">
        <v>48</v>
      </c>
      <c r="O804" s="39" t="s">
        <v>122</v>
      </c>
      <c r="P804" s="197">
        <v>40000</v>
      </c>
      <c r="Q804" s="2">
        <v>100</v>
      </c>
      <c r="R804" s="15">
        <f>Q804/I804</f>
        <v>0.125</v>
      </c>
      <c r="S804" s="176" t="s">
        <v>110</v>
      </c>
      <c r="T804" s="176"/>
      <c r="U804" s="109" t="s">
        <v>767</v>
      </c>
      <c r="V804" s="205" t="s">
        <v>741</v>
      </c>
      <c r="W804" s="205"/>
      <c r="AE804" s="2">
        <f>AC804*AD804</f>
        <v>0</v>
      </c>
      <c r="AF804" s="2" t="e">
        <f>Z804/Y804</f>
        <v>#DIV/0!</v>
      </c>
      <c r="AG804" s="2" t="e">
        <f>AA804/Z804</f>
        <v>#DIV/0!</v>
      </c>
      <c r="AH804" s="2" t="e">
        <f>AB804/AA804</f>
        <v>#DIV/0!</v>
      </c>
    </row>
    <row r="805" spans="1:34">
      <c r="A805" s="103" t="s">
        <v>539</v>
      </c>
      <c r="B805" s="103" t="s">
        <v>540</v>
      </c>
      <c r="C805" s="191">
        <v>46189</v>
      </c>
      <c r="D805" s="42">
        <v>0.54166666666666663</v>
      </c>
      <c r="E805" s="8">
        <v>50</v>
      </c>
      <c r="F805" s="63" t="s">
        <v>542</v>
      </c>
      <c r="G805" s="2">
        <v>1</v>
      </c>
      <c r="H805" s="2">
        <v>9</v>
      </c>
      <c r="I805" s="151">
        <v>200</v>
      </c>
      <c r="J805" s="179" t="s">
        <v>766</v>
      </c>
      <c r="K805" s="179" t="s">
        <v>815</v>
      </c>
      <c r="L805" s="160">
        <v>30000</v>
      </c>
      <c r="M805" s="69">
        <v>30</v>
      </c>
      <c r="N805" s="39" t="s">
        <v>48</v>
      </c>
      <c r="O805" s="39" t="s">
        <v>49</v>
      </c>
      <c r="P805" s="211" t="s">
        <v>830</v>
      </c>
      <c r="Q805" s="19">
        <v>44</v>
      </c>
      <c r="R805" s="59">
        <f>Q805/I805</f>
        <v>0.22</v>
      </c>
      <c r="S805" s="5">
        <f>($AC805*$AD805)/(($Z805/$Y805)+($AA805/$Z805)+($AB805/$AA805))</f>
        <v>53.333333333333336</v>
      </c>
      <c r="U805" s="109" t="s">
        <v>767</v>
      </c>
      <c r="V805" s="71" t="s">
        <v>1395</v>
      </c>
      <c r="W805" s="205"/>
      <c r="Y805" s="2">
        <v>2</v>
      </c>
      <c r="Z805" s="2">
        <v>5</v>
      </c>
      <c r="AA805" s="2">
        <v>20</v>
      </c>
      <c r="AB805" s="2">
        <v>50</v>
      </c>
      <c r="AC805" s="2">
        <v>16</v>
      </c>
      <c r="AD805" s="2">
        <v>30</v>
      </c>
      <c r="AE805" s="2">
        <f>AC805*AD805</f>
        <v>480</v>
      </c>
      <c r="AF805" s="2">
        <f>Z805/Y805</f>
        <v>2.5</v>
      </c>
      <c r="AG805" s="2">
        <f>AA805/Z805</f>
        <v>4</v>
      </c>
      <c r="AH805" s="2">
        <f>AB805/AA805</f>
        <v>2.5</v>
      </c>
    </row>
    <row r="806" spans="1:34">
      <c r="A806" s="165" t="s">
        <v>1383</v>
      </c>
      <c r="B806" s="36" t="s">
        <v>63</v>
      </c>
      <c r="C806" s="41">
        <v>46189</v>
      </c>
      <c r="D806" s="144">
        <v>0.54166666666666663</v>
      </c>
      <c r="E806" s="8">
        <v>48</v>
      </c>
      <c r="F806" s="8" t="s">
        <v>1153</v>
      </c>
      <c r="G806" s="2">
        <v>3</v>
      </c>
      <c r="H806" s="2">
        <v>9</v>
      </c>
      <c r="I806" s="45">
        <v>10000</v>
      </c>
      <c r="J806" s="2" t="s">
        <v>110</v>
      </c>
      <c r="K806" s="109" t="s">
        <v>815</v>
      </c>
      <c r="L806" s="92">
        <v>60000</v>
      </c>
      <c r="M806" s="69" t="s">
        <v>111</v>
      </c>
      <c r="N806" s="39" t="s">
        <v>48</v>
      </c>
      <c r="O806" s="39" t="s">
        <v>374</v>
      </c>
      <c r="P806" s="66"/>
      <c r="Q806" s="38">
        <f>R806*I806</f>
        <v>700.00000000000011</v>
      </c>
      <c r="R806" s="15">
        <v>7.0000000000000007E-2</v>
      </c>
      <c r="S806" s="149" t="s">
        <v>110</v>
      </c>
      <c r="T806" s="149"/>
      <c r="U806" s="109" t="s">
        <v>767</v>
      </c>
      <c r="V806" s="2" t="s">
        <v>121</v>
      </c>
      <c r="W806" s="205"/>
      <c r="AE806" s="2" t="e">
        <f>AD806*#REF!</f>
        <v>#REF!</v>
      </c>
      <c r="AF806" s="2" t="e">
        <f>Z806/Y806</f>
        <v>#DIV/0!</v>
      </c>
      <c r="AG806" s="2" t="e">
        <f>AA806/Z806</f>
        <v>#DIV/0!</v>
      </c>
      <c r="AH806" s="2" t="e">
        <f>AC806/AA806</f>
        <v>#DIV/0!</v>
      </c>
    </row>
    <row r="807" spans="1:34">
      <c r="A807" s="165" t="s">
        <v>1383</v>
      </c>
      <c r="B807" s="72" t="s">
        <v>63</v>
      </c>
      <c r="C807" s="77">
        <v>46189</v>
      </c>
      <c r="D807" s="144">
        <v>0.54166666666666663</v>
      </c>
      <c r="E807" s="138"/>
      <c r="F807" s="8" t="s">
        <v>881</v>
      </c>
      <c r="G807" s="73">
        <v>1</v>
      </c>
      <c r="H807" s="73">
        <v>9</v>
      </c>
      <c r="I807" s="78">
        <v>250</v>
      </c>
      <c r="J807" s="2" t="s">
        <v>766</v>
      </c>
      <c r="K807" s="88" t="s">
        <v>787</v>
      </c>
      <c r="L807" s="154">
        <v>25000</v>
      </c>
      <c r="M807" s="79">
        <v>30</v>
      </c>
      <c r="N807" s="39" t="s">
        <v>817</v>
      </c>
      <c r="O807" s="39" t="s">
        <v>49</v>
      </c>
      <c r="P807" s="155"/>
      <c r="Q807" s="74">
        <v>50</v>
      </c>
      <c r="R807" s="75">
        <f>Q807/I807</f>
        <v>0.2</v>
      </c>
      <c r="S807" s="121">
        <v>44</v>
      </c>
      <c r="T807" s="121"/>
      <c r="U807" s="109" t="s">
        <v>767</v>
      </c>
      <c r="V807" s="80" t="s">
        <v>360</v>
      </c>
      <c r="W807" s="73"/>
      <c r="Y807" s="175"/>
      <c r="Z807" s="175"/>
      <c r="AA807" s="175"/>
      <c r="AB807" s="175"/>
      <c r="AC807" s="175"/>
      <c r="AD807" s="175"/>
      <c r="AE807" s="175"/>
      <c r="AF807" s="175"/>
      <c r="AG807" s="175"/>
      <c r="AH807" s="175"/>
    </row>
    <row r="808" spans="1:34">
      <c r="A808" s="52" t="s">
        <v>220</v>
      </c>
      <c r="B808" s="52" t="s">
        <v>221</v>
      </c>
      <c r="C808" s="191">
        <v>46189</v>
      </c>
      <c r="D808" s="42">
        <v>0.54166666666666663</v>
      </c>
      <c r="E808" s="193"/>
      <c r="F808" s="8" t="s">
        <v>1064</v>
      </c>
      <c r="G808" s="2">
        <v>1</v>
      </c>
      <c r="H808" s="2">
        <v>8</v>
      </c>
      <c r="I808" s="126">
        <v>1600</v>
      </c>
      <c r="J808" s="2" t="s">
        <v>766</v>
      </c>
      <c r="K808" s="88" t="s">
        <v>786</v>
      </c>
      <c r="L808" s="91">
        <v>30000</v>
      </c>
      <c r="M808" s="203">
        <v>30</v>
      </c>
      <c r="N808" s="39" t="s">
        <v>48</v>
      </c>
      <c r="O808" s="39" t="s">
        <v>57</v>
      </c>
      <c r="P808" s="197">
        <v>200000</v>
      </c>
      <c r="Q808" s="2">
        <v>160</v>
      </c>
      <c r="R808" s="15">
        <f>Q808/I808</f>
        <v>0.1</v>
      </c>
      <c r="S808" s="149" t="s">
        <v>110</v>
      </c>
      <c r="T808" s="149"/>
      <c r="U808" s="109" t="s">
        <v>219</v>
      </c>
      <c r="V808" s="205" t="s">
        <v>738</v>
      </c>
      <c r="Y808" s="70"/>
      <c r="Z808" s="70"/>
      <c r="AA808" s="70"/>
      <c r="AB808" s="70"/>
      <c r="AC808" s="70"/>
      <c r="AD808" s="70"/>
      <c r="AE808" s="2">
        <f>AC808*AD808</f>
        <v>0</v>
      </c>
      <c r="AF808" s="2" t="e">
        <f>Z808/Y808</f>
        <v>#DIV/0!</v>
      </c>
      <c r="AG808" s="2" t="e">
        <f>AA808/Z808</f>
        <v>#DIV/0!</v>
      </c>
      <c r="AH808" s="2" t="e">
        <f>AB808/AA808</f>
        <v>#DIV/0!</v>
      </c>
    </row>
    <row r="809" spans="1:34">
      <c r="A809" s="52" t="s">
        <v>220</v>
      </c>
      <c r="B809" s="52" t="s">
        <v>221</v>
      </c>
      <c r="C809" s="51">
        <v>46189</v>
      </c>
      <c r="D809" s="42">
        <v>0.58333333333333337</v>
      </c>
      <c r="E809" s="193"/>
      <c r="F809" s="8" t="s">
        <v>1085</v>
      </c>
      <c r="G809" s="2">
        <v>1</v>
      </c>
      <c r="H809" s="2">
        <v>9</v>
      </c>
      <c r="I809" s="126">
        <v>400</v>
      </c>
      <c r="J809" s="2" t="s">
        <v>766</v>
      </c>
      <c r="K809" s="88" t="s">
        <v>783</v>
      </c>
      <c r="L809" s="91">
        <v>20000</v>
      </c>
      <c r="M809">
        <v>20</v>
      </c>
      <c r="N809" s="39" t="s">
        <v>61</v>
      </c>
      <c r="O809" s="39" t="s">
        <v>49</v>
      </c>
      <c r="P809" s="141" t="s">
        <v>225</v>
      </c>
      <c r="Q809" s="19">
        <v>63</v>
      </c>
      <c r="R809" s="15">
        <f>Q809/I809</f>
        <v>0.1575</v>
      </c>
      <c r="S809" s="5">
        <f>($AC809*$AD809)/(($Z809/$Y809)+($AA809/$Z809)+($AB809/$AA809))</f>
        <v>31.111111111111111</v>
      </c>
      <c r="U809" s="109" t="s">
        <v>767</v>
      </c>
      <c r="V809" s="2" t="s">
        <v>738</v>
      </c>
      <c r="Y809" s="2">
        <v>2</v>
      </c>
      <c r="Z809" s="2">
        <v>5</v>
      </c>
      <c r="AA809" s="2">
        <v>20</v>
      </c>
      <c r="AB809" s="2">
        <v>50</v>
      </c>
      <c r="AC809" s="2">
        <v>14</v>
      </c>
      <c r="AD809" s="2">
        <v>20</v>
      </c>
      <c r="AE809" s="2">
        <f>AC809*AD809</f>
        <v>280</v>
      </c>
      <c r="AF809" s="2">
        <f>Z809/Y809</f>
        <v>2.5</v>
      </c>
      <c r="AG809" s="2">
        <f>AA809/Z809</f>
        <v>4</v>
      </c>
      <c r="AH809" s="2">
        <f>AB809/AA809</f>
        <v>2.5</v>
      </c>
    </row>
    <row r="810" spans="1:34">
      <c r="A810" s="96" t="s">
        <v>461</v>
      </c>
      <c r="B810" s="96" t="s">
        <v>462</v>
      </c>
      <c r="C810" s="41">
        <v>46189</v>
      </c>
      <c r="D810" s="42">
        <v>0.59027777777777779</v>
      </c>
      <c r="E810" s="193"/>
      <c r="F810" s="8" t="s">
        <v>276</v>
      </c>
      <c r="G810" s="2">
        <v>1</v>
      </c>
      <c r="I810" s="126">
        <v>120</v>
      </c>
      <c r="J810" s="2" t="s">
        <v>766</v>
      </c>
      <c r="K810" s="109" t="s">
        <v>602</v>
      </c>
      <c r="L810" s="194">
        <v>15000</v>
      </c>
      <c r="M810" s="69">
        <v>20</v>
      </c>
      <c r="N810" s="39" t="s">
        <v>48</v>
      </c>
      <c r="O810" s="39" t="s">
        <v>451</v>
      </c>
      <c r="P810" s="53">
        <v>6000</v>
      </c>
      <c r="Q810" s="2">
        <v>24</v>
      </c>
      <c r="R810" s="15">
        <f>Q810/I810</f>
        <v>0.2</v>
      </c>
      <c r="S810" s="149" t="s">
        <v>110</v>
      </c>
      <c r="T810" s="149"/>
      <c r="U810" s="109" t="s">
        <v>767</v>
      </c>
      <c r="V810" s="2" t="s">
        <v>735</v>
      </c>
      <c r="AE810" s="2">
        <f>AC810*AD810</f>
        <v>0</v>
      </c>
      <c r="AF810" s="2" t="e">
        <f>Z810/Y810</f>
        <v>#DIV/0!</v>
      </c>
      <c r="AG810" s="2" t="e">
        <f>AA810/Z810</f>
        <v>#DIV/0!</v>
      </c>
      <c r="AH810" s="2" t="e">
        <f>AB810/AA810</f>
        <v>#DIV/0!</v>
      </c>
    </row>
    <row r="811" spans="1:34">
      <c r="A811" s="165" t="s">
        <v>1383</v>
      </c>
      <c r="B811" s="39" t="s">
        <v>63</v>
      </c>
      <c r="C811" s="41">
        <v>46189</v>
      </c>
      <c r="D811" s="144">
        <v>0.625</v>
      </c>
      <c r="F811" s="8" t="s">
        <v>912</v>
      </c>
      <c r="G811" s="2">
        <v>1</v>
      </c>
      <c r="H811" s="2">
        <v>9</v>
      </c>
      <c r="I811" s="45">
        <v>240</v>
      </c>
      <c r="J811" s="2" t="s">
        <v>766</v>
      </c>
      <c r="K811" s="88" t="s">
        <v>784</v>
      </c>
      <c r="L811" s="92">
        <v>10000</v>
      </c>
      <c r="M811" s="69">
        <v>20</v>
      </c>
      <c r="N811" s="132" t="s">
        <v>821</v>
      </c>
      <c r="O811" s="39" t="s">
        <v>49</v>
      </c>
      <c r="P811" s="130"/>
      <c r="Q811" s="19">
        <v>40</v>
      </c>
      <c r="R811" s="15">
        <v>0.16666666666666666</v>
      </c>
      <c r="S811" s="5">
        <v>29</v>
      </c>
      <c r="U811" s="109" t="s">
        <v>767</v>
      </c>
      <c r="V811" s="71" t="s">
        <v>362</v>
      </c>
      <c r="W811" s="8" t="s">
        <v>367</v>
      </c>
      <c r="Y811" s="175"/>
      <c r="Z811" s="175"/>
      <c r="AA811" s="175"/>
      <c r="AB811" s="175"/>
      <c r="AC811" s="175"/>
      <c r="AD811" s="175"/>
      <c r="AE811" s="175"/>
      <c r="AF811" s="175"/>
      <c r="AG811" s="175"/>
      <c r="AH811" s="175"/>
    </row>
    <row r="812" spans="1:34">
      <c r="A812" s="165" t="s">
        <v>1383</v>
      </c>
      <c r="B812" s="39" t="s">
        <v>63</v>
      </c>
      <c r="C812" s="41">
        <v>46189</v>
      </c>
      <c r="D812" s="144">
        <v>0.625</v>
      </c>
      <c r="E812" s="8"/>
      <c r="F812" s="8" t="s">
        <v>127</v>
      </c>
      <c r="G812" s="2">
        <v>1</v>
      </c>
      <c r="I812" s="45">
        <v>250</v>
      </c>
      <c r="J812" s="2" t="s">
        <v>766</v>
      </c>
      <c r="K812" s="88" t="s">
        <v>785</v>
      </c>
      <c r="L812" s="92">
        <v>25000</v>
      </c>
      <c r="M812" s="44" t="s">
        <v>128</v>
      </c>
      <c r="N812" s="39" t="s">
        <v>818</v>
      </c>
      <c r="O812" s="39" t="s">
        <v>122</v>
      </c>
      <c r="P812" s="66"/>
      <c r="Q812" s="2">
        <v>50</v>
      </c>
      <c r="R812" s="15">
        <f>Q812/I812</f>
        <v>0.2</v>
      </c>
      <c r="S812" s="149" t="s">
        <v>110</v>
      </c>
      <c r="T812" s="149"/>
      <c r="U812" s="109" t="s">
        <v>767</v>
      </c>
      <c r="V812" s="71" t="s">
        <v>360</v>
      </c>
      <c r="AE812" s="2" t="e">
        <f>AD812*#REF!</f>
        <v>#REF!</v>
      </c>
      <c r="AF812" s="2" t="e">
        <f>Z812/Y812</f>
        <v>#DIV/0!</v>
      </c>
      <c r="AG812" s="2" t="e">
        <f>AA812/Z812</f>
        <v>#DIV/0!</v>
      </c>
      <c r="AH812" s="2" t="e">
        <f>AC812/AA812</f>
        <v>#DIV/0!</v>
      </c>
    </row>
    <row r="813" spans="1:34">
      <c r="A813" s="186" t="s">
        <v>1397</v>
      </c>
      <c r="B813" s="186" t="s">
        <v>1398</v>
      </c>
      <c r="C813" s="41">
        <v>46189</v>
      </c>
      <c r="D813" s="42">
        <v>0.625</v>
      </c>
      <c r="F813" s="230" t="s">
        <v>1407</v>
      </c>
      <c r="G813" s="2">
        <v>1</v>
      </c>
      <c r="H813" s="2">
        <v>8</v>
      </c>
      <c r="I813" s="45">
        <v>5000</v>
      </c>
      <c r="J813" s="2" t="s">
        <v>766</v>
      </c>
      <c r="K813" s="56">
        <v>0.8125</v>
      </c>
      <c r="L813" s="92">
        <v>125000</v>
      </c>
      <c r="M813" s="69">
        <v>30</v>
      </c>
      <c r="N813" s="39" t="s">
        <v>48</v>
      </c>
      <c r="O813" s="187" t="s">
        <v>57</v>
      </c>
      <c r="P813" s="130"/>
      <c r="Q813" s="19">
        <v>100</v>
      </c>
      <c r="R813" s="15">
        <f>Q813/I813</f>
        <v>0.02</v>
      </c>
      <c r="S813" s="149" t="s">
        <v>110</v>
      </c>
      <c r="V813" s="205" t="s">
        <v>1409</v>
      </c>
      <c r="W813" s="240" t="s">
        <v>1411</v>
      </c>
      <c r="Y813" s="2">
        <v>10</v>
      </c>
      <c r="Z813" s="2">
        <v>20</v>
      </c>
      <c r="AA813" s="2">
        <v>50</v>
      </c>
      <c r="AB813" s="2">
        <v>125</v>
      </c>
      <c r="AC813" s="2">
        <v>18</v>
      </c>
      <c r="AD813" s="2">
        <v>30</v>
      </c>
      <c r="AE813" s="2">
        <f>AC813*AD813</f>
        <v>540</v>
      </c>
      <c r="AF813" s="2">
        <f>Z813/Y813</f>
        <v>2</v>
      </c>
      <c r="AG813" s="2">
        <f>AA813/Z813</f>
        <v>2.5</v>
      </c>
      <c r="AH813" s="2">
        <f>AB813/AA813</f>
        <v>2.5</v>
      </c>
    </row>
    <row r="814" spans="1:34">
      <c r="A814" s="165" t="s">
        <v>1383</v>
      </c>
      <c r="B814" s="39" t="s">
        <v>63</v>
      </c>
      <c r="C814" s="41">
        <v>46189</v>
      </c>
      <c r="D814" s="144">
        <v>0.66666666666666663</v>
      </c>
      <c r="E814" s="8"/>
      <c r="F814" s="8" t="s">
        <v>1024</v>
      </c>
      <c r="G814" s="2">
        <v>1</v>
      </c>
      <c r="H814" s="2">
        <v>9</v>
      </c>
      <c r="I814" s="45">
        <v>400</v>
      </c>
      <c r="J814" s="2" t="s">
        <v>766</v>
      </c>
      <c r="K814" s="88" t="s">
        <v>794</v>
      </c>
      <c r="L814" s="92">
        <v>30000</v>
      </c>
      <c r="M814" s="10">
        <v>20</v>
      </c>
      <c r="N814" s="39" t="s">
        <v>817</v>
      </c>
      <c r="O814" s="39" t="s">
        <v>49</v>
      </c>
      <c r="P814" s="130"/>
      <c r="Q814" s="19">
        <v>70</v>
      </c>
      <c r="R814" s="15">
        <f>Q814/I814</f>
        <v>0.17499999999999999</v>
      </c>
      <c r="S814" s="5">
        <v>37</v>
      </c>
      <c r="U814" s="109" t="s">
        <v>129</v>
      </c>
      <c r="V814" s="71" t="s">
        <v>360</v>
      </c>
      <c r="W814" s="205"/>
      <c r="Y814" s="175"/>
      <c r="Z814" s="175"/>
      <c r="AA814" s="175"/>
      <c r="AB814" s="175"/>
      <c r="AC814" s="175"/>
      <c r="AD814" s="175"/>
      <c r="AE814" s="175"/>
      <c r="AF814" s="175"/>
      <c r="AG814" s="175"/>
      <c r="AH814" s="175"/>
    </row>
    <row r="815" spans="1:34">
      <c r="A815" s="52" t="s">
        <v>229</v>
      </c>
      <c r="B815" s="52" t="s">
        <v>230</v>
      </c>
      <c r="C815" s="190">
        <v>46189</v>
      </c>
      <c r="D815" s="42">
        <v>0.66666666666666663</v>
      </c>
      <c r="E815" s="193"/>
      <c r="F815" s="8" t="s">
        <v>222</v>
      </c>
      <c r="G815" s="2">
        <v>1</v>
      </c>
      <c r="I815" s="126">
        <v>240</v>
      </c>
      <c r="J815" s="2" t="s">
        <v>766</v>
      </c>
      <c r="K815" s="88" t="s">
        <v>795</v>
      </c>
      <c r="L815" s="91">
        <v>30000</v>
      </c>
      <c r="M815" s="194">
        <v>20</v>
      </c>
      <c r="N815" s="39" t="s">
        <v>48</v>
      </c>
      <c r="O815" s="39" t="s">
        <v>222</v>
      </c>
      <c r="P815" s="66">
        <v>10000</v>
      </c>
      <c r="Q815" s="2">
        <v>40</v>
      </c>
      <c r="R815" s="15">
        <f>IF(Q815&gt;0,Q815/I815,"")</f>
        <v>0.16666666666666666</v>
      </c>
      <c r="S815" s="149" t="s">
        <v>110</v>
      </c>
      <c r="T815" s="149"/>
      <c r="U815" s="109" t="s">
        <v>767</v>
      </c>
      <c r="V815" s="205" t="s">
        <v>719</v>
      </c>
      <c r="W815" s="205"/>
      <c r="AE815" s="2">
        <f>AC815*AD815</f>
        <v>0</v>
      </c>
      <c r="AF815" s="2" t="e">
        <f>Z815/Y815</f>
        <v>#DIV/0!</v>
      </c>
      <c r="AG815" s="2" t="e">
        <f>AA815/Z815</f>
        <v>#DIV/0!</v>
      </c>
      <c r="AH815" s="2" t="e">
        <f>AB815/AA815</f>
        <v>#DIV/0!</v>
      </c>
    </row>
    <row r="816" spans="1:34">
      <c r="A816" s="102" t="s">
        <v>475</v>
      </c>
      <c r="B816" s="102" t="s">
        <v>476</v>
      </c>
      <c r="C816" s="47">
        <v>46189</v>
      </c>
      <c r="D816" s="42">
        <v>0.75</v>
      </c>
      <c r="E816" s="8" t="s">
        <v>507</v>
      </c>
      <c r="F816" s="8" t="s">
        <v>492</v>
      </c>
      <c r="G816" s="2">
        <v>2</v>
      </c>
      <c r="H816" s="2">
        <v>9</v>
      </c>
      <c r="I816" s="126">
        <v>400</v>
      </c>
      <c r="J816" s="2" t="s">
        <v>766</v>
      </c>
      <c r="K816" s="109" t="s">
        <v>601</v>
      </c>
      <c r="L816" s="201">
        <v>30000</v>
      </c>
      <c r="M816" s="203">
        <v>30</v>
      </c>
      <c r="N816" s="39" t="s">
        <v>48</v>
      </c>
      <c r="O816" s="39" t="s">
        <v>49</v>
      </c>
      <c r="P816" s="140" t="s">
        <v>838</v>
      </c>
      <c r="Q816" s="19">
        <v>70</v>
      </c>
      <c r="R816" s="15">
        <f>Q816/I816</f>
        <v>0.17499999999999999</v>
      </c>
      <c r="S816" s="5">
        <f>($AC816*$AD816)/(($Z816/$Y816)+($AA816/$Z816)+($AB816/$AA816))</f>
        <v>72.897196261682254</v>
      </c>
      <c r="U816" s="109" t="s">
        <v>767</v>
      </c>
      <c r="V816" s="2" t="s">
        <v>640</v>
      </c>
      <c r="Y816" s="2">
        <v>2</v>
      </c>
      <c r="Z816" s="2">
        <v>5</v>
      </c>
      <c r="AA816" s="2">
        <v>13</v>
      </c>
      <c r="AB816" s="2">
        <v>30</v>
      </c>
      <c r="AC816" s="2">
        <v>30</v>
      </c>
      <c r="AD816" s="2">
        <v>18</v>
      </c>
      <c r="AE816" s="2">
        <f>AC816*AD816</f>
        <v>540</v>
      </c>
      <c r="AF816" s="2">
        <f>Z816/Y816</f>
        <v>2.5</v>
      </c>
      <c r="AG816" s="2">
        <f>AA816/Z816</f>
        <v>2.6</v>
      </c>
      <c r="AH816" s="2">
        <f>AB816/AA816</f>
        <v>2.3076923076923075</v>
      </c>
    </row>
    <row r="817" spans="1:34">
      <c r="A817" s="52" t="s">
        <v>229</v>
      </c>
      <c r="B817" s="52" t="s">
        <v>230</v>
      </c>
      <c r="C817" s="190">
        <v>46189</v>
      </c>
      <c r="D817" s="42">
        <v>0.75</v>
      </c>
      <c r="E817" s="193"/>
      <c r="F817" s="8" t="s">
        <v>244</v>
      </c>
      <c r="G817" s="2">
        <v>1</v>
      </c>
      <c r="I817" s="126">
        <v>200</v>
      </c>
      <c r="J817" s="2" t="s">
        <v>766</v>
      </c>
      <c r="K817" s="88" t="s">
        <v>804</v>
      </c>
      <c r="L817" s="91">
        <v>30000</v>
      </c>
      <c r="M817" s="194">
        <v>20</v>
      </c>
      <c r="N817" s="39" t="s">
        <v>48</v>
      </c>
      <c r="O817" s="39" t="s">
        <v>49</v>
      </c>
      <c r="P817" s="211" t="s">
        <v>832</v>
      </c>
      <c r="Q817" s="19">
        <v>40</v>
      </c>
      <c r="R817" s="15">
        <f>IF(Q817&gt;0,Q817/I817,"")</f>
        <v>0.2</v>
      </c>
      <c r="S817" s="5">
        <f>($AC817*$AD817)/(($Z817/$Y817)+($AA817/$Z817)+($AB817/$AA817))</f>
        <v>35.555555555555557</v>
      </c>
      <c r="U817" s="109" t="s">
        <v>767</v>
      </c>
      <c r="V817" s="10" t="s">
        <v>719</v>
      </c>
      <c r="W817" s="205"/>
      <c r="Y817" s="2">
        <v>2</v>
      </c>
      <c r="Z817" s="2">
        <v>5</v>
      </c>
      <c r="AA817" s="2">
        <v>20</v>
      </c>
      <c r="AB817" s="2">
        <v>50</v>
      </c>
      <c r="AC817" s="2">
        <v>20</v>
      </c>
      <c r="AD817" s="2">
        <v>16</v>
      </c>
      <c r="AE817" s="2">
        <f>AC817*AD817</f>
        <v>320</v>
      </c>
      <c r="AF817" s="2">
        <f>Z817/Y817</f>
        <v>2.5</v>
      </c>
      <c r="AG817" s="2">
        <f>AA817/Z817</f>
        <v>4</v>
      </c>
      <c r="AH817" s="2">
        <f>AB817/AA817</f>
        <v>2.5</v>
      </c>
    </row>
    <row r="818" spans="1:34">
      <c r="A818" s="52" t="s">
        <v>220</v>
      </c>
      <c r="B818" s="52" t="s">
        <v>221</v>
      </c>
      <c r="C818" s="191">
        <v>46189</v>
      </c>
      <c r="D818" s="42">
        <v>0.75</v>
      </c>
      <c r="E818" s="193"/>
      <c r="F818" s="8" t="s">
        <v>1073</v>
      </c>
      <c r="G818" s="2">
        <v>1</v>
      </c>
      <c r="H818" s="2">
        <v>9</v>
      </c>
      <c r="I818" s="126">
        <v>1100</v>
      </c>
      <c r="J818" s="2" t="s">
        <v>766</v>
      </c>
      <c r="K818" s="88" t="s">
        <v>799</v>
      </c>
      <c r="L818" s="91">
        <v>30000</v>
      </c>
      <c r="M818" s="203">
        <v>20</v>
      </c>
      <c r="N818" s="39" t="s">
        <v>48</v>
      </c>
      <c r="O818" s="39" t="s">
        <v>49</v>
      </c>
      <c r="P818" s="140" t="s">
        <v>838</v>
      </c>
      <c r="Q818" s="19">
        <v>125</v>
      </c>
      <c r="R818" s="15">
        <f>Q818/I818</f>
        <v>0.11363636363636363</v>
      </c>
      <c r="S818" s="5">
        <f>($AC818*$AD818)/(($Z818/$Y818)+($AA818/$Z818)+($AB818/$AA818))</f>
        <v>62.448979591836739</v>
      </c>
      <c r="U818" s="109" t="s">
        <v>129</v>
      </c>
      <c r="V818" s="205" t="s">
        <v>738</v>
      </c>
      <c r="W818" s="205"/>
      <c r="Y818" s="2">
        <v>2</v>
      </c>
      <c r="Z818" s="2">
        <v>5</v>
      </c>
      <c r="AA818" s="2">
        <v>15</v>
      </c>
      <c r="AB818" s="2">
        <v>40</v>
      </c>
      <c r="AC818" s="2">
        <v>17</v>
      </c>
      <c r="AD818" s="2">
        <v>30</v>
      </c>
      <c r="AE818" s="2">
        <f>AC818*AD818</f>
        <v>510</v>
      </c>
      <c r="AF818" s="2">
        <f>Z818/Y818</f>
        <v>2.5</v>
      </c>
      <c r="AG818" s="2">
        <f>AA818/Z818</f>
        <v>3</v>
      </c>
      <c r="AH818" s="2">
        <f>AB818/AA818</f>
        <v>2.6666666666666665</v>
      </c>
    </row>
    <row r="819" spans="1:34">
      <c r="A819" s="96" t="s">
        <v>461</v>
      </c>
      <c r="B819" s="96" t="s">
        <v>462</v>
      </c>
      <c r="C819" s="41">
        <v>46189</v>
      </c>
      <c r="D819" s="42">
        <v>0.75694444444444442</v>
      </c>
      <c r="F819" s="8" t="s">
        <v>470</v>
      </c>
      <c r="G819" s="2">
        <v>2</v>
      </c>
      <c r="I819" s="126">
        <v>300</v>
      </c>
      <c r="J819" s="2" t="s">
        <v>766</v>
      </c>
      <c r="K819" s="109" t="s">
        <v>598</v>
      </c>
      <c r="L819" s="194">
        <v>30000</v>
      </c>
      <c r="M819" s="69">
        <v>30</v>
      </c>
      <c r="N819" s="39" t="s">
        <v>48</v>
      </c>
      <c r="O819" s="39" t="s">
        <v>49</v>
      </c>
      <c r="P819" s="211" t="s">
        <v>842</v>
      </c>
      <c r="Q819" s="19">
        <v>65</v>
      </c>
      <c r="R819" s="15">
        <f>Q819/I819</f>
        <v>0.21666666666666667</v>
      </c>
      <c r="S819" s="5">
        <f>($AC819*$AD819)/(($Z819/$Y819)+($AA819/$Z819)+($AB819/$AA819))</f>
        <v>53.333333333333336</v>
      </c>
      <c r="U819" s="109" t="s">
        <v>767</v>
      </c>
      <c r="V819" s="205" t="s">
        <v>735</v>
      </c>
      <c r="W819" s="205"/>
      <c r="Y819" s="2">
        <v>2</v>
      </c>
      <c r="Z819" s="2">
        <v>5</v>
      </c>
      <c r="AA819" s="2">
        <v>20</v>
      </c>
      <c r="AB819" s="2">
        <v>50</v>
      </c>
      <c r="AC819" s="2">
        <v>16</v>
      </c>
      <c r="AD819" s="2">
        <v>30</v>
      </c>
      <c r="AE819" s="2">
        <f>AC819*AD819</f>
        <v>480</v>
      </c>
      <c r="AF819" s="2">
        <f>Z819/Y819</f>
        <v>2.5</v>
      </c>
      <c r="AG819" s="2">
        <f>AA819/Z819</f>
        <v>4</v>
      </c>
      <c r="AH819" s="2">
        <f>AB819/AA819</f>
        <v>2.5</v>
      </c>
    </row>
    <row r="820" spans="1:34">
      <c r="A820" s="68" t="s">
        <v>357</v>
      </c>
      <c r="B820" s="68" t="s">
        <v>358</v>
      </c>
      <c r="C820" s="191">
        <v>46189</v>
      </c>
      <c r="D820" s="42">
        <v>0.75694444444444442</v>
      </c>
      <c r="E820" s="8">
        <v>53</v>
      </c>
      <c r="F820" s="63" t="s">
        <v>290</v>
      </c>
      <c r="G820" s="2">
        <v>1</v>
      </c>
      <c r="H820" s="2">
        <v>9</v>
      </c>
      <c r="I820" s="126">
        <v>600</v>
      </c>
      <c r="J820" s="2" t="s">
        <v>766</v>
      </c>
      <c r="K820" s="137" t="s">
        <v>602</v>
      </c>
      <c r="L820" s="92">
        <v>25000</v>
      </c>
      <c r="M820" s="69">
        <v>30</v>
      </c>
      <c r="N820" s="39" t="s">
        <v>48</v>
      </c>
      <c r="O820" s="39" t="s">
        <v>49</v>
      </c>
      <c r="P820" s="140" t="s">
        <v>836</v>
      </c>
      <c r="Q820" s="19">
        <v>80</v>
      </c>
      <c r="R820" s="15">
        <f>Q820/I820</f>
        <v>0.13333333333333333</v>
      </c>
      <c r="S820" s="5">
        <f>($AC820*$AD820)/(($Z820/$Y820)+($AA820/$Z820)+($AB820/$AA820))</f>
        <v>55.03292568203198</v>
      </c>
      <c r="U820" s="109" t="s">
        <v>219</v>
      </c>
      <c r="V820" s="205" t="s">
        <v>662</v>
      </c>
      <c r="W820" s="220" t="s">
        <v>389</v>
      </c>
      <c r="Y820" s="2">
        <v>2.5</v>
      </c>
      <c r="Z820" s="2">
        <v>6.5</v>
      </c>
      <c r="AA820" s="2">
        <v>20</v>
      </c>
      <c r="AB820" s="2">
        <v>50</v>
      </c>
      <c r="AC820" s="2">
        <v>30</v>
      </c>
      <c r="AD820" s="2">
        <v>15</v>
      </c>
      <c r="AE820" s="2">
        <f>AC820*AD820</f>
        <v>450</v>
      </c>
      <c r="AF820" s="2">
        <f>Z820/Y820</f>
        <v>2.6</v>
      </c>
      <c r="AG820" s="2">
        <f>AA820/Z820</f>
        <v>3.0769230769230771</v>
      </c>
      <c r="AH820" s="2">
        <f>AB820/AA820</f>
        <v>2.5</v>
      </c>
    </row>
    <row r="821" spans="1:34">
      <c r="A821" s="95" t="s">
        <v>447</v>
      </c>
      <c r="B821" s="95" t="s">
        <v>448</v>
      </c>
      <c r="C821" s="190">
        <v>46189</v>
      </c>
      <c r="D821" s="42">
        <v>0.79166666666666663</v>
      </c>
      <c r="E821" s="193"/>
      <c r="F821" s="8" t="s">
        <v>403</v>
      </c>
      <c r="G821" s="2">
        <v>1</v>
      </c>
      <c r="H821" s="2">
        <v>9</v>
      </c>
      <c r="I821" s="126">
        <v>300</v>
      </c>
      <c r="J821" s="2" t="s">
        <v>766</v>
      </c>
      <c r="K821" s="109" t="s">
        <v>602</v>
      </c>
      <c r="L821" s="194">
        <v>25000</v>
      </c>
      <c r="M821" s="194">
        <v>25</v>
      </c>
      <c r="N821" s="39" t="s">
        <v>48</v>
      </c>
      <c r="O821" s="39" t="s">
        <v>49</v>
      </c>
      <c r="P821" s="140" t="s">
        <v>834</v>
      </c>
      <c r="Q821" s="19">
        <v>50</v>
      </c>
      <c r="R821" s="15">
        <f>Q821/I821</f>
        <v>0.16666666666666666</v>
      </c>
      <c r="S821" s="5">
        <f>($AC821*$AD821)/(($Z821/$Y821)+($AA821/$Z821)+($AB821/$AA821))</f>
        <v>37.5</v>
      </c>
      <c r="U821" s="109" t="s">
        <v>767</v>
      </c>
      <c r="V821" s="205" t="s">
        <v>741</v>
      </c>
      <c r="Y821" s="2">
        <v>2.5</v>
      </c>
      <c r="Z821" s="2">
        <v>7.5</v>
      </c>
      <c r="AA821" s="2">
        <v>25</v>
      </c>
      <c r="AB821" s="2">
        <v>75</v>
      </c>
      <c r="AC821" s="2">
        <v>14</v>
      </c>
      <c r="AD821" s="2">
        <v>25</v>
      </c>
      <c r="AE821" s="2">
        <f>AC821*AD821</f>
        <v>350</v>
      </c>
      <c r="AF821" s="2">
        <f>Z821/Y821</f>
        <v>3</v>
      </c>
      <c r="AG821" s="2">
        <f>AA821/Z821</f>
        <v>3.3333333333333335</v>
      </c>
      <c r="AH821" s="2">
        <f>AB821/AA821</f>
        <v>3</v>
      </c>
    </row>
    <row r="822" spans="1:34">
      <c r="A822" s="165" t="s">
        <v>1383</v>
      </c>
      <c r="B822" s="39" t="s">
        <v>63</v>
      </c>
      <c r="C822" s="41">
        <v>46189</v>
      </c>
      <c r="D822" s="144">
        <v>0.79166666666666663</v>
      </c>
      <c r="F822" s="8" t="s">
        <v>905</v>
      </c>
      <c r="G822" s="2">
        <v>1</v>
      </c>
      <c r="H822" s="2">
        <v>9</v>
      </c>
      <c r="I822" s="45">
        <v>1100</v>
      </c>
      <c r="J822" s="2" t="s">
        <v>766</v>
      </c>
      <c r="K822" s="88" t="s">
        <v>800</v>
      </c>
      <c r="L822" s="92">
        <v>15000</v>
      </c>
      <c r="M822" s="82" t="s">
        <v>128</v>
      </c>
      <c r="N822" s="132" t="s">
        <v>821</v>
      </c>
      <c r="O822" s="39" t="s">
        <v>49</v>
      </c>
      <c r="P822" s="130"/>
      <c r="Q822" s="19">
        <f>88+37</f>
        <v>125</v>
      </c>
      <c r="R822" s="15">
        <f>Q822/I822</f>
        <v>0.11363636363636363</v>
      </c>
      <c r="S822" s="5">
        <v>36</v>
      </c>
      <c r="U822" s="109" t="s">
        <v>767</v>
      </c>
      <c r="V822" s="71" t="s">
        <v>362</v>
      </c>
      <c r="W822" s="8" t="s">
        <v>370</v>
      </c>
      <c r="Y822" s="175"/>
      <c r="Z822" s="175"/>
      <c r="AA822" s="175"/>
      <c r="AB822" s="175"/>
      <c r="AC822" s="175"/>
      <c r="AD822" s="175"/>
      <c r="AE822" s="175"/>
      <c r="AF822" s="175"/>
      <c r="AG822" s="175"/>
      <c r="AH822" s="175"/>
    </row>
    <row r="823" spans="1:34">
      <c r="A823" s="103" t="s">
        <v>539</v>
      </c>
      <c r="B823" s="103" t="s">
        <v>540</v>
      </c>
      <c r="C823" s="191">
        <v>46189</v>
      </c>
      <c r="D823" s="42">
        <v>0.80208333333333337</v>
      </c>
      <c r="E823" s="8">
        <v>51</v>
      </c>
      <c r="F823" s="63" t="s">
        <v>584</v>
      </c>
      <c r="G823" s="2">
        <v>1</v>
      </c>
      <c r="H823" s="2">
        <v>9</v>
      </c>
      <c r="I823" s="126">
        <v>420</v>
      </c>
      <c r="J823" s="179" t="s">
        <v>766</v>
      </c>
      <c r="K823" s="179" t="s">
        <v>598</v>
      </c>
      <c r="L823" s="92">
        <v>25000</v>
      </c>
      <c r="M823" s="69">
        <v>25</v>
      </c>
      <c r="N823" s="39" t="s">
        <v>48</v>
      </c>
      <c r="O823" s="39" t="s">
        <v>49</v>
      </c>
      <c r="P823" s="214"/>
      <c r="Q823" s="19">
        <v>75</v>
      </c>
      <c r="R823" s="15">
        <f>Q823/I823</f>
        <v>0.17857142857142858</v>
      </c>
      <c r="S823" s="5">
        <f>($AC823*$AD823)/(($Z823/$Y823)+($AA823/$Z823)+($AB823/$AA823))</f>
        <v>32.661290322580641</v>
      </c>
      <c r="U823" s="109" t="s">
        <v>767</v>
      </c>
      <c r="V823" s="21" t="s">
        <v>1395</v>
      </c>
      <c r="Y823" s="2">
        <v>2.5</v>
      </c>
      <c r="Z823" s="2">
        <v>7.5</v>
      </c>
      <c r="AA823" s="2">
        <v>30</v>
      </c>
      <c r="AB823" s="2">
        <v>100</v>
      </c>
      <c r="AC823" s="2">
        <v>13.5</v>
      </c>
      <c r="AD823" s="2">
        <v>25</v>
      </c>
      <c r="AE823" s="2">
        <f>AC823*AD823</f>
        <v>337.5</v>
      </c>
      <c r="AF823" s="2">
        <f>Z823/Y823</f>
        <v>3</v>
      </c>
      <c r="AG823" s="2">
        <f>AA823/Z823</f>
        <v>4</v>
      </c>
      <c r="AH823" s="2">
        <f>AC823/AA823</f>
        <v>0.45</v>
      </c>
    </row>
    <row r="824" spans="1:34">
      <c r="A824" s="165" t="s">
        <v>1383</v>
      </c>
      <c r="B824" s="72" t="s">
        <v>63</v>
      </c>
      <c r="C824" s="77">
        <v>46189</v>
      </c>
      <c r="D824" s="144">
        <v>0.83333333333333337</v>
      </c>
      <c r="E824" s="138"/>
      <c r="F824" s="8" t="s">
        <v>1023</v>
      </c>
      <c r="G824" s="73">
        <v>1</v>
      </c>
      <c r="H824" s="73">
        <v>9</v>
      </c>
      <c r="I824" s="78">
        <v>200</v>
      </c>
      <c r="J824" s="2" t="s">
        <v>766</v>
      </c>
      <c r="K824" s="88" t="s">
        <v>806</v>
      </c>
      <c r="L824" s="154">
        <v>20000</v>
      </c>
      <c r="M824" s="79">
        <v>20</v>
      </c>
      <c r="N824" s="39" t="s">
        <v>817</v>
      </c>
      <c r="O824" s="39" t="s">
        <v>49</v>
      </c>
      <c r="P824" s="155"/>
      <c r="Q824" s="74">
        <v>45</v>
      </c>
      <c r="R824" s="75">
        <f>Q824/I824</f>
        <v>0.22500000000000001</v>
      </c>
      <c r="S824" s="121">
        <v>23</v>
      </c>
      <c r="T824" s="121"/>
      <c r="U824" s="109" t="s">
        <v>129</v>
      </c>
      <c r="V824" s="80" t="s">
        <v>360</v>
      </c>
      <c r="W824" s="73"/>
      <c r="Y824" s="175"/>
      <c r="Z824" s="175"/>
      <c r="AA824" s="175"/>
      <c r="AB824" s="175"/>
      <c r="AC824" s="175"/>
      <c r="AD824" s="175"/>
      <c r="AE824" s="175"/>
      <c r="AF824" s="175"/>
      <c r="AG824" s="175"/>
      <c r="AH824" s="175"/>
    </row>
    <row r="825" spans="1:34">
      <c r="A825" s="165" t="s">
        <v>1383</v>
      </c>
      <c r="B825" s="39" t="s">
        <v>63</v>
      </c>
      <c r="C825" s="41">
        <v>46189</v>
      </c>
      <c r="D825" s="144">
        <v>0.91666666666666663</v>
      </c>
      <c r="F825" s="8" t="s">
        <v>909</v>
      </c>
      <c r="G825" s="2">
        <v>1</v>
      </c>
      <c r="H825" s="2">
        <v>9</v>
      </c>
      <c r="I825" s="45">
        <v>135</v>
      </c>
      <c r="J825" s="2" t="s">
        <v>766</v>
      </c>
      <c r="K825" s="88" t="s">
        <v>813</v>
      </c>
      <c r="L825" s="92">
        <v>10000</v>
      </c>
      <c r="M825" s="69">
        <v>15</v>
      </c>
      <c r="N825" s="132" t="s">
        <v>821</v>
      </c>
      <c r="O825" s="39" t="s">
        <v>49</v>
      </c>
      <c r="P825" s="130"/>
      <c r="Q825" s="19">
        <v>35</v>
      </c>
      <c r="R825" s="15">
        <f>Q825/I825</f>
        <v>0.25925925925925924</v>
      </c>
      <c r="S825" s="5">
        <v>22</v>
      </c>
      <c r="U825" s="109" t="s">
        <v>767</v>
      </c>
      <c r="V825" s="21" t="s">
        <v>362</v>
      </c>
      <c r="W825" s="8" t="s">
        <v>369</v>
      </c>
      <c r="Y825" s="175"/>
      <c r="Z825" s="175"/>
      <c r="AA825" s="175"/>
      <c r="AB825" s="175"/>
      <c r="AC825" s="175"/>
      <c r="AD825" s="175"/>
      <c r="AE825" s="175"/>
      <c r="AF825" s="175"/>
      <c r="AG825" s="175"/>
      <c r="AH825" s="175"/>
    </row>
    <row r="826" spans="1:34">
      <c r="A826" s="96" t="s">
        <v>461</v>
      </c>
      <c r="B826" s="96" t="s">
        <v>462</v>
      </c>
      <c r="C826" s="41">
        <v>46189</v>
      </c>
      <c r="D826" s="42">
        <v>0.92361111111111116</v>
      </c>
      <c r="F826" s="194" t="s">
        <v>456</v>
      </c>
      <c r="G826" s="2">
        <v>1</v>
      </c>
      <c r="I826" s="126">
        <v>120</v>
      </c>
      <c r="J826" s="2" t="s">
        <v>766</v>
      </c>
      <c r="K826" s="109" t="s">
        <v>737</v>
      </c>
      <c r="L826" s="194">
        <v>20000</v>
      </c>
      <c r="M826" s="69">
        <v>15</v>
      </c>
      <c r="N826" s="39" t="s">
        <v>48</v>
      </c>
      <c r="O826" s="39" t="s">
        <v>49</v>
      </c>
      <c r="P826" s="211" t="s">
        <v>827</v>
      </c>
      <c r="Q826" s="19">
        <v>24</v>
      </c>
      <c r="R826" s="15">
        <f>Q826/I826</f>
        <v>0.2</v>
      </c>
      <c r="S826" s="5">
        <f>($AC826*$AD826)/(($Z826/$Y826)+($AA826/$Z826)+($AB826/$AA826))</f>
        <v>25.161290322580644</v>
      </c>
      <c r="U826" s="109" t="s">
        <v>463</v>
      </c>
      <c r="V826" s="2" t="s">
        <v>735</v>
      </c>
      <c r="W826" s="2" t="s">
        <v>464</v>
      </c>
      <c r="Y826" s="2">
        <v>2.5</v>
      </c>
      <c r="Z826" s="2">
        <v>7.5</v>
      </c>
      <c r="AA826" s="2">
        <v>30</v>
      </c>
      <c r="AB826" s="2">
        <v>100</v>
      </c>
      <c r="AC826" s="2">
        <v>13</v>
      </c>
      <c r="AD826" s="2">
        <v>20</v>
      </c>
      <c r="AE826" s="2">
        <f>AC826*AD826</f>
        <v>260</v>
      </c>
      <c r="AF826" s="2">
        <f>Z826/Y826</f>
        <v>3</v>
      </c>
      <c r="AG826" s="2">
        <f>AA826/Z826</f>
        <v>4</v>
      </c>
      <c r="AH826" s="2">
        <f>AB826/AA826</f>
        <v>3.3333333333333335</v>
      </c>
    </row>
    <row r="827" spans="1:34">
      <c r="A827" s="165" t="s">
        <v>1383</v>
      </c>
      <c r="B827" s="36" t="s">
        <v>63</v>
      </c>
      <c r="C827" s="192">
        <v>46189</v>
      </c>
      <c r="D827" s="144" t="s">
        <v>117</v>
      </c>
      <c r="E827" s="14">
        <v>46</v>
      </c>
      <c r="F827" s="194" t="s">
        <v>970</v>
      </c>
      <c r="G827" s="2">
        <v>5</v>
      </c>
      <c r="H827" s="2">
        <v>9</v>
      </c>
      <c r="I827" s="37">
        <v>1000</v>
      </c>
      <c r="J827" s="2" t="s">
        <v>761</v>
      </c>
      <c r="K827" s="109" t="s">
        <v>602</v>
      </c>
      <c r="L827" s="89">
        <v>20000</v>
      </c>
      <c r="M827" s="202">
        <v>60</v>
      </c>
      <c r="N827" s="39" t="s">
        <v>48</v>
      </c>
      <c r="O827" s="39" t="s">
        <v>49</v>
      </c>
      <c r="P827" s="130"/>
      <c r="Q827" s="19">
        <f>R827*I827</f>
        <v>120</v>
      </c>
      <c r="R827" s="15">
        <v>0.12</v>
      </c>
      <c r="S827" s="5">
        <f>($AC827*$AD827)/(($Z827/$Y827)+($AA827/$Z827)+($AB827/$AA827))</f>
        <v>133.04347826086956</v>
      </c>
      <c r="U827" s="109" t="s">
        <v>54</v>
      </c>
      <c r="V827" s="205" t="s">
        <v>121</v>
      </c>
      <c r="Y827" s="2">
        <v>1.5</v>
      </c>
      <c r="Z827" s="2">
        <v>4</v>
      </c>
      <c r="AA827" s="2">
        <v>10</v>
      </c>
      <c r="AB827" s="2">
        <v>25</v>
      </c>
      <c r="AC827" s="2">
        <v>17</v>
      </c>
      <c r="AD827" s="2">
        <v>60</v>
      </c>
      <c r="AE827" s="2">
        <f>AC827*AD827</f>
        <v>1020</v>
      </c>
      <c r="AF827" s="2">
        <f>Z827/Y827</f>
        <v>2.6666666666666665</v>
      </c>
      <c r="AG827" s="2">
        <f>AA827/Z827</f>
        <v>2.5</v>
      </c>
      <c r="AH827" s="2">
        <f>AB827/AA827</f>
        <v>2.5</v>
      </c>
    </row>
    <row r="828" spans="1:34">
      <c r="A828" s="165" t="s">
        <v>1383</v>
      </c>
      <c r="B828" s="36" t="s">
        <v>63</v>
      </c>
      <c r="C828" s="192">
        <v>46189</v>
      </c>
      <c r="D828" s="144" t="s">
        <v>115</v>
      </c>
      <c r="E828" s="14">
        <v>47</v>
      </c>
      <c r="F828" s="194" t="s">
        <v>193</v>
      </c>
      <c r="G828" s="2">
        <v>4</v>
      </c>
      <c r="H828" s="2">
        <v>8</v>
      </c>
      <c r="I828" s="37">
        <v>25000</v>
      </c>
      <c r="J828" s="2" t="s">
        <v>762</v>
      </c>
      <c r="K828" s="109" t="s">
        <v>601</v>
      </c>
      <c r="L828" s="89">
        <v>150000</v>
      </c>
      <c r="M828" s="202">
        <v>60</v>
      </c>
      <c r="N828" s="39" t="s">
        <v>48</v>
      </c>
      <c r="O828" s="39" t="s">
        <v>57</v>
      </c>
      <c r="P828" s="66"/>
      <c r="Q828" s="38">
        <f>R828*I828</f>
        <v>1500</v>
      </c>
      <c r="R828" s="15">
        <v>0.06</v>
      </c>
      <c r="S828" s="149" t="s">
        <v>110</v>
      </c>
      <c r="T828" s="149"/>
      <c r="U828" s="109" t="s">
        <v>767</v>
      </c>
      <c r="V828" s="2" t="s">
        <v>121</v>
      </c>
      <c r="W828" s="205"/>
      <c r="Y828" s="70"/>
      <c r="Z828" s="70"/>
      <c r="AA828" s="70"/>
      <c r="AC828" s="70"/>
      <c r="AD828" s="70"/>
      <c r="AE828" s="2" t="e">
        <f>AD828*#REF!</f>
        <v>#REF!</v>
      </c>
      <c r="AF828" s="2" t="e">
        <f>Z828/Y828</f>
        <v>#DIV/0!</v>
      </c>
      <c r="AG828" s="2" t="e">
        <f>AA828/Z828</f>
        <v>#DIV/0!</v>
      </c>
      <c r="AH828" s="2" t="e">
        <f>AC828/AA828</f>
        <v>#DIV/0!</v>
      </c>
    </row>
    <row r="829" spans="1:34">
      <c r="A829" s="165" t="s">
        <v>1383</v>
      </c>
      <c r="B829" s="36" t="s">
        <v>63</v>
      </c>
      <c r="C829" s="192">
        <v>46189</v>
      </c>
      <c r="D829" s="144" t="s">
        <v>116</v>
      </c>
      <c r="E829" s="8">
        <v>49</v>
      </c>
      <c r="F829" s="194" t="s">
        <v>971</v>
      </c>
      <c r="G829" s="2">
        <v>3</v>
      </c>
      <c r="H829" s="2">
        <v>9</v>
      </c>
      <c r="I829" s="37">
        <v>2500</v>
      </c>
      <c r="J829" s="2" t="s">
        <v>110</v>
      </c>
      <c r="K829" s="109" t="s">
        <v>601</v>
      </c>
      <c r="L829" s="89">
        <v>35000</v>
      </c>
      <c r="M829" s="202" t="s">
        <v>97</v>
      </c>
      <c r="N829" s="39" t="s">
        <v>48</v>
      </c>
      <c r="O829" s="39" t="s">
        <v>49</v>
      </c>
      <c r="P829" s="130"/>
      <c r="Q829" s="19">
        <f>R829*I829</f>
        <v>275</v>
      </c>
      <c r="R829" s="15">
        <v>0.11</v>
      </c>
      <c r="S829" s="5">
        <f>($AC829*$AD829)/(($Z829/$Y829)+($AA829/$Z829)+($AB829/$AA829))</f>
        <v>99.130434782608702</v>
      </c>
      <c r="U829" s="109" t="s">
        <v>853</v>
      </c>
      <c r="V829" s="10" t="s">
        <v>121</v>
      </c>
      <c r="W829" s="205"/>
      <c r="Y829" s="2">
        <v>1.5</v>
      </c>
      <c r="Z829" s="2">
        <v>4</v>
      </c>
      <c r="AA829" s="2">
        <v>10</v>
      </c>
      <c r="AB829" s="2">
        <v>25</v>
      </c>
      <c r="AC829" s="2">
        <v>19</v>
      </c>
      <c r="AD829" s="2">
        <v>40</v>
      </c>
      <c r="AE829" s="2">
        <f>AC829*AD829</f>
        <v>760</v>
      </c>
      <c r="AF829" s="2">
        <f>Z829/Y829</f>
        <v>2.6666666666666665</v>
      </c>
      <c r="AG829" s="2">
        <f>AA829/Z829</f>
        <v>2.5</v>
      </c>
      <c r="AH829" s="2">
        <f>AB829/AA829</f>
        <v>2.5</v>
      </c>
    </row>
    <row r="830" spans="1:34">
      <c r="A830" s="165" t="s">
        <v>1383</v>
      </c>
      <c r="B830" s="36" t="s">
        <v>63</v>
      </c>
      <c r="C830" s="192">
        <v>46189</v>
      </c>
      <c r="D830" s="144" t="s">
        <v>876</v>
      </c>
      <c r="E830" s="8">
        <v>42</v>
      </c>
      <c r="F830" s="194" t="s">
        <v>1142</v>
      </c>
      <c r="G830" s="2">
        <v>4</v>
      </c>
      <c r="H830" s="2">
        <v>8</v>
      </c>
      <c r="I830" s="37">
        <v>10000</v>
      </c>
      <c r="J830" s="2" t="s">
        <v>762</v>
      </c>
      <c r="K830" s="109" t="s">
        <v>601</v>
      </c>
      <c r="L830" s="89">
        <v>60000</v>
      </c>
      <c r="M830" s="202">
        <v>60</v>
      </c>
      <c r="N830" s="39" t="s">
        <v>48</v>
      </c>
      <c r="O830" s="39" t="s">
        <v>373</v>
      </c>
      <c r="P830" s="66"/>
      <c r="Q830" s="38">
        <f>R830*I830</f>
        <v>700.00000000000011</v>
      </c>
      <c r="R830" s="15">
        <v>7.0000000000000007E-2</v>
      </c>
      <c r="S830" s="149" t="s">
        <v>110</v>
      </c>
      <c r="T830" s="149"/>
      <c r="U830" s="109" t="s">
        <v>767</v>
      </c>
      <c r="V830" s="205" t="s">
        <v>121</v>
      </c>
      <c r="AE830" s="2" t="e">
        <f>AD830*#REF!</f>
        <v>#REF!</v>
      </c>
      <c r="AF830" s="2" t="e">
        <f>Z830/Y830</f>
        <v>#DIV/0!</v>
      </c>
      <c r="AG830" s="2" t="e">
        <f>AA830/Z830</f>
        <v>#DIV/0!</v>
      </c>
      <c r="AH830" s="2" t="e">
        <f>AC830/AA830</f>
        <v>#DIV/0!</v>
      </c>
    </row>
    <row r="831" spans="1:34" ht="15.6" customHeight="1">
      <c r="A831" s="165" t="s">
        <v>1383</v>
      </c>
      <c r="B831" s="36" t="s">
        <v>63</v>
      </c>
      <c r="C831" s="192">
        <v>46189</v>
      </c>
      <c r="D831" s="144" t="s">
        <v>876</v>
      </c>
      <c r="E831" s="8">
        <v>45</v>
      </c>
      <c r="F831" s="194" t="s">
        <v>1261</v>
      </c>
      <c r="G831" s="2">
        <v>3</v>
      </c>
      <c r="H831" s="2">
        <v>9</v>
      </c>
      <c r="I831" s="37">
        <v>2500</v>
      </c>
      <c r="J831" s="2" t="s">
        <v>760</v>
      </c>
      <c r="K831" s="109" t="s">
        <v>815</v>
      </c>
      <c r="L831" s="89">
        <v>35000</v>
      </c>
      <c r="M831" s="54" t="s">
        <v>97</v>
      </c>
      <c r="N831" s="39" t="s">
        <v>48</v>
      </c>
      <c r="O831" s="39" t="s">
        <v>874</v>
      </c>
      <c r="P831" s="66"/>
      <c r="Q831" s="38">
        <f>R831*I831</f>
        <v>275</v>
      </c>
      <c r="R831" s="15">
        <v>0.11</v>
      </c>
      <c r="S831" s="149" t="s">
        <v>110</v>
      </c>
      <c r="T831" s="149"/>
      <c r="U831" s="109" t="s">
        <v>767</v>
      </c>
      <c r="V831" s="205" t="s">
        <v>121</v>
      </c>
      <c r="AE831" s="2" t="e">
        <f>AD831*#REF!</f>
        <v>#REF!</v>
      </c>
      <c r="AF831" s="2" t="e">
        <f>Z831/Y831</f>
        <v>#DIV/0!</v>
      </c>
      <c r="AG831" s="2" t="e">
        <f>AA831/Z831</f>
        <v>#DIV/0!</v>
      </c>
      <c r="AH831" s="2" t="e">
        <f>AC831/AA831</f>
        <v>#DIV/0!</v>
      </c>
    </row>
    <row r="832" spans="1:34">
      <c r="A832" s="96" t="s">
        <v>461</v>
      </c>
      <c r="B832" s="96" t="s">
        <v>462</v>
      </c>
      <c r="C832" s="192">
        <v>46190</v>
      </c>
      <c r="D832" s="42">
        <v>0.4236111111111111</v>
      </c>
      <c r="E832" s="193"/>
      <c r="F832" s="194" t="s">
        <v>471</v>
      </c>
      <c r="G832" s="2">
        <v>2</v>
      </c>
      <c r="I832" s="125">
        <v>300</v>
      </c>
      <c r="J832" s="2" t="s">
        <v>766</v>
      </c>
      <c r="K832" s="109" t="s">
        <v>598</v>
      </c>
      <c r="L832" s="8">
        <v>30000</v>
      </c>
      <c r="M832" s="54">
        <v>30</v>
      </c>
      <c r="N832" s="39" t="s">
        <v>48</v>
      </c>
      <c r="O832" s="39" t="s">
        <v>49</v>
      </c>
      <c r="P832" s="211" t="s">
        <v>842</v>
      </c>
      <c r="Q832" s="19">
        <v>65</v>
      </c>
      <c r="R832" s="15">
        <f>Q832/I832</f>
        <v>0.21666666666666667</v>
      </c>
      <c r="S832" s="5">
        <f>($AC832*$AD832)/(($Z832/$Y832)+($AA832/$Z832)+($AB832/$AA832))</f>
        <v>53.333333333333336</v>
      </c>
      <c r="U832" s="109" t="s">
        <v>767</v>
      </c>
      <c r="V832" s="205" t="s">
        <v>735</v>
      </c>
      <c r="W832" s="205"/>
      <c r="Y832" s="2">
        <v>2</v>
      </c>
      <c r="Z832" s="2">
        <v>5</v>
      </c>
      <c r="AA832" s="2">
        <v>20</v>
      </c>
      <c r="AB832" s="2">
        <v>50</v>
      </c>
      <c r="AC832" s="2">
        <v>16</v>
      </c>
      <c r="AD832" s="2">
        <v>30</v>
      </c>
      <c r="AE832" s="2">
        <f>AC832*AD832</f>
        <v>480</v>
      </c>
      <c r="AF832" s="2">
        <f>Z832/Y832</f>
        <v>2.5</v>
      </c>
      <c r="AG832" s="2">
        <f>AA832/Z832</f>
        <v>4</v>
      </c>
      <c r="AH832" s="2">
        <f>AB832/AA832</f>
        <v>2.5</v>
      </c>
    </row>
    <row r="833" spans="1:34">
      <c r="A833" s="95" t="s">
        <v>447</v>
      </c>
      <c r="B833" s="95" t="s">
        <v>448</v>
      </c>
      <c r="C833" s="40">
        <v>46190</v>
      </c>
      <c r="D833" s="42">
        <v>0.45833333333333331</v>
      </c>
      <c r="E833" s="193"/>
      <c r="F833" s="194" t="s">
        <v>438</v>
      </c>
      <c r="G833" s="2">
        <v>1</v>
      </c>
      <c r="H833" s="2">
        <v>7</v>
      </c>
      <c r="I833" s="125">
        <v>1100</v>
      </c>
      <c r="J833" s="2" t="s">
        <v>766</v>
      </c>
      <c r="K833" s="109" t="s">
        <v>602</v>
      </c>
      <c r="L833" s="8">
        <v>30000</v>
      </c>
      <c r="M833" s="8">
        <v>30</v>
      </c>
      <c r="N833" s="39" t="s">
        <v>48</v>
      </c>
      <c r="O833" s="39" t="s">
        <v>223</v>
      </c>
      <c r="P833" s="197">
        <v>150000</v>
      </c>
      <c r="Q833" s="2">
        <v>135</v>
      </c>
      <c r="R833" s="15">
        <f>Q833/I833</f>
        <v>0.12272727272727273</v>
      </c>
      <c r="S833" s="176" t="s">
        <v>110</v>
      </c>
      <c r="T833" s="176"/>
      <c r="U833" s="109" t="s">
        <v>767</v>
      </c>
      <c r="V833" s="205" t="s">
        <v>741</v>
      </c>
      <c r="AE833" s="2">
        <f>AC833*AD833</f>
        <v>0</v>
      </c>
      <c r="AF833" s="2" t="e">
        <f>Z833/Y833</f>
        <v>#DIV/0!</v>
      </c>
      <c r="AG833" s="2" t="e">
        <f>AA833/Z833</f>
        <v>#DIV/0!</v>
      </c>
      <c r="AH833" s="2" t="e">
        <f>AB833/AA833</f>
        <v>#DIV/0!</v>
      </c>
    </row>
    <row r="834" spans="1:34">
      <c r="A834" s="165" t="s">
        <v>1383</v>
      </c>
      <c r="B834" s="36" t="s">
        <v>63</v>
      </c>
      <c r="C834" s="192">
        <v>46190</v>
      </c>
      <c r="D834" s="144">
        <v>0.45833333333333331</v>
      </c>
      <c r="E834" s="14">
        <v>46</v>
      </c>
      <c r="F834" s="194" t="s">
        <v>1368</v>
      </c>
      <c r="G834" s="2">
        <v>5</v>
      </c>
      <c r="H834" s="2">
        <v>9</v>
      </c>
      <c r="I834" s="37">
        <v>1000</v>
      </c>
      <c r="J834" s="2" t="s">
        <v>761</v>
      </c>
      <c r="K834" s="109" t="s">
        <v>602</v>
      </c>
      <c r="L834" s="89">
        <v>20000</v>
      </c>
      <c r="M834" s="202">
        <v>60</v>
      </c>
      <c r="N834" s="39" t="s">
        <v>48</v>
      </c>
      <c r="O834" s="39" t="s">
        <v>49</v>
      </c>
      <c r="P834" s="130"/>
      <c r="Q834" s="19">
        <f>R834*I834</f>
        <v>120</v>
      </c>
      <c r="R834" s="15">
        <v>0.12</v>
      </c>
      <c r="S834" s="5">
        <f>($AC834*$AD834)/(($Z834/$Y834)+($AA834/$Z834)+($AB834/$AA834))</f>
        <v>133.04347826086956</v>
      </c>
      <c r="U834" s="109" t="s">
        <v>54</v>
      </c>
      <c r="V834" s="2" t="s">
        <v>121</v>
      </c>
      <c r="Y834" s="2">
        <v>1.5</v>
      </c>
      <c r="Z834" s="2">
        <v>4</v>
      </c>
      <c r="AA834" s="2">
        <v>10</v>
      </c>
      <c r="AB834" s="2">
        <v>25</v>
      </c>
      <c r="AC834" s="2">
        <v>17</v>
      </c>
      <c r="AD834" s="2">
        <v>60</v>
      </c>
      <c r="AE834" s="2">
        <f>AC834*AD834</f>
        <v>1020</v>
      </c>
      <c r="AF834" s="2">
        <f>Z834/Y834</f>
        <v>2.6666666666666665</v>
      </c>
      <c r="AG834" s="2">
        <f>AA834/Z834</f>
        <v>2.5</v>
      </c>
      <c r="AH834" s="2">
        <f>AB834/AA834</f>
        <v>2.5</v>
      </c>
    </row>
    <row r="835" spans="1:34">
      <c r="A835" s="102" t="s">
        <v>475</v>
      </c>
      <c r="B835" s="102" t="s">
        <v>476</v>
      </c>
      <c r="C835" s="40">
        <v>46190</v>
      </c>
      <c r="D835" s="42">
        <v>0.45833333333333331</v>
      </c>
      <c r="E835" s="8">
        <v>17</v>
      </c>
      <c r="F835" s="194" t="s">
        <v>496</v>
      </c>
      <c r="G835" s="2">
        <v>1</v>
      </c>
      <c r="H835" s="2">
        <v>9</v>
      </c>
      <c r="I835" s="125">
        <v>400</v>
      </c>
      <c r="J835" s="2" t="s">
        <v>766</v>
      </c>
      <c r="K835" s="109" t="s">
        <v>601</v>
      </c>
      <c r="L835" s="105">
        <v>30000</v>
      </c>
      <c r="M835" s="64">
        <v>30</v>
      </c>
      <c r="N835" s="39" t="s">
        <v>48</v>
      </c>
      <c r="O835" s="39" t="s">
        <v>49</v>
      </c>
      <c r="P835" s="140" t="s">
        <v>834</v>
      </c>
      <c r="Q835" s="19">
        <v>70</v>
      </c>
      <c r="R835" s="15">
        <f>Q835/I835</f>
        <v>0.17499999999999999</v>
      </c>
      <c r="S835" s="5">
        <f>($AC835*$AD835)/(($Z835/$Y835)+($AA835/$Z835)+($AB835/$AA835))</f>
        <v>72.897196261682254</v>
      </c>
      <c r="U835" s="109" t="s">
        <v>767</v>
      </c>
      <c r="V835" s="2" t="s">
        <v>639</v>
      </c>
      <c r="Y835" s="2">
        <v>2</v>
      </c>
      <c r="Z835" s="2">
        <v>5</v>
      </c>
      <c r="AA835" s="2">
        <v>13</v>
      </c>
      <c r="AB835" s="2">
        <v>30</v>
      </c>
      <c r="AC835" s="2">
        <v>30</v>
      </c>
      <c r="AD835" s="2">
        <v>18</v>
      </c>
      <c r="AE835" s="2">
        <f>AC835*AD835</f>
        <v>540</v>
      </c>
      <c r="AF835" s="2">
        <f>Z835/Y835</f>
        <v>2.5</v>
      </c>
      <c r="AG835" s="2">
        <f>AA835/Z835</f>
        <v>2.6</v>
      </c>
      <c r="AH835" s="2">
        <f>AB835/AA835</f>
        <v>2.3076923076923075</v>
      </c>
    </row>
    <row r="836" spans="1:34">
      <c r="A836" s="52" t="s">
        <v>229</v>
      </c>
      <c r="B836" s="52" t="s">
        <v>230</v>
      </c>
      <c r="C836" s="40">
        <v>46190</v>
      </c>
      <c r="D836" s="42">
        <v>0.45833333333333331</v>
      </c>
      <c r="E836" s="193"/>
      <c r="F836" s="194" t="s">
        <v>242</v>
      </c>
      <c r="G836" s="2">
        <v>1</v>
      </c>
      <c r="I836" s="125">
        <v>200</v>
      </c>
      <c r="J836" s="2" t="s">
        <v>766</v>
      </c>
      <c r="K836" s="88" t="s">
        <v>775</v>
      </c>
      <c r="L836" s="90">
        <v>25000</v>
      </c>
      <c r="M836" s="46" t="s">
        <v>128</v>
      </c>
      <c r="N836" s="39" t="s">
        <v>48</v>
      </c>
      <c r="O836" s="39" t="s">
        <v>49</v>
      </c>
      <c r="P836" s="211" t="s">
        <v>832</v>
      </c>
      <c r="Q836" s="19">
        <v>40</v>
      </c>
      <c r="R836" s="15">
        <f>IF(Q836&gt;0,Q836/I836,"")</f>
        <v>0.2</v>
      </c>
      <c r="S836" s="5">
        <f>($AC836*$AD836)/(($Z836/$Y836)+($AA836/$Z836)+($AB836/$AA836))</f>
        <v>28.333333333333332</v>
      </c>
      <c r="U836" s="109" t="s">
        <v>767</v>
      </c>
      <c r="V836" s="205" t="s">
        <v>719</v>
      </c>
      <c r="W836" s="205"/>
      <c r="Y836" s="2">
        <v>2</v>
      </c>
      <c r="Z836" s="2">
        <v>5</v>
      </c>
      <c r="AA836" s="2">
        <v>20</v>
      </c>
      <c r="AB836" s="2">
        <v>50</v>
      </c>
      <c r="AC836" s="2">
        <v>255</v>
      </c>
      <c r="AD836" s="2">
        <v>1</v>
      </c>
      <c r="AE836" s="2">
        <f>AC836*AD836</f>
        <v>255</v>
      </c>
      <c r="AF836" s="2">
        <f>Z836/Y836</f>
        <v>2.5</v>
      </c>
      <c r="AG836" s="2">
        <f>AA836/Z836</f>
        <v>4</v>
      </c>
      <c r="AH836" s="2">
        <f>AB836/AA836</f>
        <v>2.5</v>
      </c>
    </row>
    <row r="837" spans="1:34">
      <c r="A837" s="52" t="s">
        <v>220</v>
      </c>
      <c r="B837" s="52" t="s">
        <v>221</v>
      </c>
      <c r="C837" s="48">
        <v>46190</v>
      </c>
      <c r="D837" s="42">
        <v>0.45833333333333331</v>
      </c>
      <c r="E837" s="193"/>
      <c r="F837" s="194" t="s">
        <v>1077</v>
      </c>
      <c r="G837" s="2">
        <v>2</v>
      </c>
      <c r="H837" s="2">
        <v>9</v>
      </c>
      <c r="I837" s="125">
        <v>2200</v>
      </c>
      <c r="J837" s="2" t="s">
        <v>766</v>
      </c>
      <c r="K837" s="88" t="s">
        <v>791</v>
      </c>
      <c r="L837" s="90">
        <v>40000</v>
      </c>
      <c r="M837" s="64">
        <v>40</v>
      </c>
      <c r="N837" s="39" t="s">
        <v>48</v>
      </c>
      <c r="O837" s="39" t="s">
        <v>49</v>
      </c>
      <c r="P837" s="211" t="s">
        <v>845</v>
      </c>
      <c r="Q837" s="19">
        <v>215</v>
      </c>
      <c r="R837" s="15">
        <f>Q837/I837</f>
        <v>9.7727272727272732E-2</v>
      </c>
      <c r="S837" s="5">
        <f>($AC837*$AD837)/(($Z837/$Y837)+($AA837/$Z837)+($AB837/$AA837))</f>
        <v>101.33333333333333</v>
      </c>
      <c r="U837" s="109" t="s">
        <v>219</v>
      </c>
      <c r="V837" s="2" t="s">
        <v>738</v>
      </c>
      <c r="W837" s="205"/>
      <c r="Y837" s="2">
        <v>2</v>
      </c>
      <c r="Z837" s="2">
        <v>5</v>
      </c>
      <c r="AA837" s="2">
        <v>15</v>
      </c>
      <c r="AB837" s="2">
        <v>30</v>
      </c>
      <c r="AC837" s="2">
        <v>19</v>
      </c>
      <c r="AD837" s="2">
        <v>40</v>
      </c>
      <c r="AE837" s="2">
        <f>AC837*AD837</f>
        <v>760</v>
      </c>
      <c r="AF837" s="2">
        <f>Z837/Y837</f>
        <v>2.5</v>
      </c>
      <c r="AG837" s="2">
        <f>AA837/Z837</f>
        <v>3</v>
      </c>
      <c r="AH837" s="2">
        <f>AB837/AA837</f>
        <v>2</v>
      </c>
    </row>
    <row r="838" spans="1:34">
      <c r="A838" s="68" t="s">
        <v>357</v>
      </c>
      <c r="B838" s="68" t="s">
        <v>358</v>
      </c>
      <c r="C838" s="48">
        <v>46190</v>
      </c>
      <c r="D838" s="42">
        <v>0.46527777777777779</v>
      </c>
      <c r="E838" s="8">
        <v>54</v>
      </c>
      <c r="F838" s="197" t="s">
        <v>309</v>
      </c>
      <c r="G838" s="2">
        <v>1</v>
      </c>
      <c r="H838" s="2">
        <v>9</v>
      </c>
      <c r="I838" s="125">
        <v>1100</v>
      </c>
      <c r="J838" s="2" t="s">
        <v>766</v>
      </c>
      <c r="K838" s="137" t="s">
        <v>816</v>
      </c>
      <c r="L838" s="89">
        <v>40000</v>
      </c>
      <c r="M838" s="202">
        <v>30</v>
      </c>
      <c r="N838" s="39" t="s">
        <v>48</v>
      </c>
      <c r="O838" s="39" t="s">
        <v>49</v>
      </c>
      <c r="P838" s="211" t="s">
        <v>840</v>
      </c>
      <c r="Q838" s="19">
        <v>135</v>
      </c>
      <c r="R838" s="15">
        <f>Q838/I838</f>
        <v>0.12272727272727273</v>
      </c>
      <c r="S838" s="5">
        <f>($AC838*$AD838)/(($Z838/$Y838)+($AA838/$Z838)+($AB838/$AA838))</f>
        <v>71.293161814488826</v>
      </c>
      <c r="U838" s="109" t="s">
        <v>767</v>
      </c>
      <c r="V838" s="2" t="s">
        <v>675</v>
      </c>
      <c r="W838" s="205"/>
      <c r="Y838" s="2">
        <v>2.5</v>
      </c>
      <c r="Z838" s="2">
        <v>6.5</v>
      </c>
      <c r="AA838" s="2">
        <v>15</v>
      </c>
      <c r="AB838" s="2">
        <v>40</v>
      </c>
      <c r="AC838" s="2">
        <v>30</v>
      </c>
      <c r="AD838" s="2">
        <v>18</v>
      </c>
      <c r="AE838" s="2">
        <f>AC838*AD838</f>
        <v>540</v>
      </c>
      <c r="AF838" s="2">
        <f>Z838/Y838</f>
        <v>2.6</v>
      </c>
      <c r="AG838" s="2">
        <f>AA838/Z838</f>
        <v>2.3076923076923075</v>
      </c>
      <c r="AH838" s="2">
        <f>AB838/AA838</f>
        <v>2.6666666666666665</v>
      </c>
    </row>
    <row r="839" spans="1:34">
      <c r="A839" s="103" t="s">
        <v>539</v>
      </c>
      <c r="B839" s="103" t="s">
        <v>540</v>
      </c>
      <c r="C839" s="48">
        <v>46190</v>
      </c>
      <c r="D839" s="42">
        <v>0.46875</v>
      </c>
      <c r="E839" s="46">
        <v>48</v>
      </c>
      <c r="F839" s="197" t="s">
        <v>587</v>
      </c>
      <c r="G839" s="2">
        <v>2</v>
      </c>
      <c r="H839" s="2">
        <v>9</v>
      </c>
      <c r="I839" s="125">
        <v>420</v>
      </c>
      <c r="J839" s="179" t="s">
        <v>766</v>
      </c>
      <c r="K839" s="179" t="s">
        <v>602</v>
      </c>
      <c r="L839" s="89">
        <v>30000</v>
      </c>
      <c r="M839" s="207" t="s">
        <v>22</v>
      </c>
      <c r="N839" s="39" t="s">
        <v>48</v>
      </c>
      <c r="O839" s="39" t="s">
        <v>49</v>
      </c>
      <c r="P839" s="214"/>
      <c r="Q839" s="19">
        <v>75</v>
      </c>
      <c r="R839" s="15">
        <f>Q839/I839</f>
        <v>0.17857142857142858</v>
      </c>
      <c r="S839" s="5">
        <f>($AC839*$AD839)/(($Z839/$Y839)+($AA839/$Z839)+($AB839/$AA839))</f>
        <v>60.982874162323164</v>
      </c>
      <c r="U839" s="109" t="s">
        <v>767</v>
      </c>
      <c r="V839" s="71" t="s">
        <v>1395</v>
      </c>
      <c r="W839" s="8" t="s">
        <v>1392</v>
      </c>
      <c r="Y839" s="2">
        <v>1.5</v>
      </c>
      <c r="Z839" s="2">
        <v>4</v>
      </c>
      <c r="AA839" s="2">
        <v>13</v>
      </c>
      <c r="AB839" s="2">
        <v>35</v>
      </c>
      <c r="AC839" s="2">
        <v>17.5</v>
      </c>
      <c r="AD839" s="2">
        <v>30</v>
      </c>
      <c r="AE839" s="2">
        <f>AC839*AD839</f>
        <v>525</v>
      </c>
      <c r="AF839" s="2">
        <f>Z839/Y839</f>
        <v>2.6666666666666665</v>
      </c>
      <c r="AG839" s="2">
        <f>AA839/Z839</f>
        <v>3.25</v>
      </c>
      <c r="AH839" s="2">
        <f>AC839/AA839</f>
        <v>1.3461538461538463</v>
      </c>
    </row>
    <row r="840" spans="1:34">
      <c r="A840" s="103" t="s">
        <v>539</v>
      </c>
      <c r="B840" s="103" t="s">
        <v>540</v>
      </c>
      <c r="C840" s="48">
        <v>46190</v>
      </c>
      <c r="D840" s="42">
        <v>0.5</v>
      </c>
      <c r="E840" s="8">
        <v>52</v>
      </c>
      <c r="F840" s="197" t="s">
        <v>268</v>
      </c>
      <c r="G840" s="2">
        <v>1</v>
      </c>
      <c r="H840" s="2">
        <v>8</v>
      </c>
      <c r="I840" s="125">
        <v>400</v>
      </c>
      <c r="J840" s="179" t="s">
        <v>766</v>
      </c>
      <c r="K840" s="179" t="s">
        <v>602</v>
      </c>
      <c r="L840" s="89">
        <v>30000</v>
      </c>
      <c r="M840" s="202">
        <v>30</v>
      </c>
      <c r="N840" s="39" t="s">
        <v>48</v>
      </c>
      <c r="O840" s="39" t="s">
        <v>862</v>
      </c>
      <c r="P840" s="197">
        <v>20000</v>
      </c>
      <c r="Q840" s="2">
        <v>65</v>
      </c>
      <c r="R840" s="15">
        <f>Q840/I840</f>
        <v>0.16250000000000001</v>
      </c>
      <c r="S840" s="142"/>
      <c r="U840" s="109" t="s">
        <v>767</v>
      </c>
      <c r="V840" s="71" t="s">
        <v>1395</v>
      </c>
      <c r="W840" s="205"/>
      <c r="AE840" s="2">
        <f>AC840*AD840</f>
        <v>0</v>
      </c>
      <c r="AF840" s="2" t="e">
        <f>Z840/Y840</f>
        <v>#DIV/0!</v>
      </c>
      <c r="AG840" s="2" t="e">
        <f>AA840/Z840</f>
        <v>#DIV/0!</v>
      </c>
      <c r="AH840" s="2" t="e">
        <f>AB840/AA840</f>
        <v>#DIV/0!</v>
      </c>
    </row>
    <row r="841" spans="1:34">
      <c r="A841" s="102" t="s">
        <v>475</v>
      </c>
      <c r="B841" s="102" t="s">
        <v>476</v>
      </c>
      <c r="C841" s="40">
        <v>46190</v>
      </c>
      <c r="D841" s="42">
        <v>0.5</v>
      </c>
      <c r="E841" s="8">
        <v>16</v>
      </c>
      <c r="F841" s="194" t="s">
        <v>1343</v>
      </c>
      <c r="G841" s="2">
        <v>2</v>
      </c>
      <c r="H841" s="2">
        <v>9</v>
      </c>
      <c r="I841" s="125">
        <v>400</v>
      </c>
      <c r="J841" s="2" t="s">
        <v>766</v>
      </c>
      <c r="K841" s="109" t="s">
        <v>601</v>
      </c>
      <c r="L841" s="105">
        <v>30000</v>
      </c>
      <c r="M841" s="64">
        <v>30</v>
      </c>
      <c r="N841" s="39" t="s">
        <v>48</v>
      </c>
      <c r="O841" s="39" t="s">
        <v>49</v>
      </c>
      <c r="P841" s="140" t="s">
        <v>838</v>
      </c>
      <c r="Q841" s="19">
        <v>70</v>
      </c>
      <c r="R841" s="15">
        <f>Q841/I841</f>
        <v>0.17499999999999999</v>
      </c>
      <c r="S841" s="5">
        <f>($AC841*$AD841)/(($Z841/$Y841)+($AA841/$Z841)+($AB841/$AA841))</f>
        <v>72.897196261682254</v>
      </c>
      <c r="U841" s="109" t="s">
        <v>767</v>
      </c>
      <c r="V841" s="2" t="s">
        <v>640</v>
      </c>
      <c r="W841" s="205"/>
      <c r="Y841" s="2">
        <v>2</v>
      </c>
      <c r="Z841" s="2">
        <v>5</v>
      </c>
      <c r="AA841" s="2">
        <v>13</v>
      </c>
      <c r="AB841" s="2">
        <v>30</v>
      </c>
      <c r="AC841" s="2">
        <v>30</v>
      </c>
      <c r="AD841" s="2">
        <v>18</v>
      </c>
      <c r="AE841" s="2">
        <f>AC841*AD841</f>
        <v>540</v>
      </c>
      <c r="AF841" s="2">
        <f>Z841/Y841</f>
        <v>2.5</v>
      </c>
      <c r="AG841" s="2">
        <f>AA841/Z841</f>
        <v>2.6</v>
      </c>
      <c r="AH841" s="2">
        <f>AB841/AA841</f>
        <v>2.3076923076923075</v>
      </c>
    </row>
    <row r="842" spans="1:34">
      <c r="A842" s="95" t="s">
        <v>447</v>
      </c>
      <c r="B842" s="95" t="s">
        <v>448</v>
      </c>
      <c r="C842" s="190">
        <v>46190</v>
      </c>
      <c r="D842" s="42">
        <v>0.54166666666666663</v>
      </c>
      <c r="E842" s="193"/>
      <c r="F842" s="194" t="s">
        <v>405</v>
      </c>
      <c r="G842" s="2">
        <v>1</v>
      </c>
      <c r="H842" s="2">
        <v>9</v>
      </c>
      <c r="I842" s="126">
        <v>800</v>
      </c>
      <c r="J842" s="2" t="s">
        <v>766</v>
      </c>
      <c r="K842" s="109" t="s">
        <v>602</v>
      </c>
      <c r="L842" s="194">
        <v>30000</v>
      </c>
      <c r="M842" s="194">
        <v>30</v>
      </c>
      <c r="N842" s="39" t="s">
        <v>48</v>
      </c>
      <c r="O842" s="39" t="s">
        <v>49</v>
      </c>
      <c r="P842" s="211" t="s">
        <v>840</v>
      </c>
      <c r="Q842" s="19">
        <v>100</v>
      </c>
      <c r="R842" s="15">
        <f>Q842/I842</f>
        <v>0.125</v>
      </c>
      <c r="S842" s="5">
        <f>($AC842*$AD842)/(($Z842/$Y842)+($AA842/$Z842)+($AB842/$AA842))</f>
        <v>72.897196261682254</v>
      </c>
      <c r="U842" s="109" t="s">
        <v>767</v>
      </c>
      <c r="V842" s="205" t="s">
        <v>741</v>
      </c>
      <c r="W842" s="205"/>
      <c r="Y842" s="2">
        <v>2</v>
      </c>
      <c r="Z842" s="2">
        <v>5</v>
      </c>
      <c r="AA842" s="2">
        <v>13</v>
      </c>
      <c r="AB842" s="2">
        <v>30</v>
      </c>
      <c r="AC842" s="2">
        <v>18</v>
      </c>
      <c r="AD842" s="2">
        <v>30</v>
      </c>
      <c r="AE842" s="2">
        <f>AC842*AD842</f>
        <v>540</v>
      </c>
      <c r="AF842" s="2">
        <f>Z842/Y842</f>
        <v>2.5</v>
      </c>
      <c r="AG842" s="2">
        <f>AA842/Z842</f>
        <v>2.6</v>
      </c>
      <c r="AH842" s="2">
        <f>AB842/AA842</f>
        <v>2.3076923076923075</v>
      </c>
    </row>
    <row r="843" spans="1:34">
      <c r="A843" s="103" t="s">
        <v>539</v>
      </c>
      <c r="B843" s="103" t="s">
        <v>540</v>
      </c>
      <c r="C843" s="191">
        <v>46190</v>
      </c>
      <c r="D843" s="42">
        <v>0.54166666666666663</v>
      </c>
      <c r="E843" s="8">
        <v>53</v>
      </c>
      <c r="F843" s="197" t="s">
        <v>542</v>
      </c>
      <c r="G843" s="2">
        <v>1</v>
      </c>
      <c r="H843" s="2">
        <v>9</v>
      </c>
      <c r="I843" s="151">
        <v>200</v>
      </c>
      <c r="J843" s="179" t="s">
        <v>766</v>
      </c>
      <c r="K843" s="179" t="s">
        <v>815</v>
      </c>
      <c r="L843" s="160">
        <v>30000</v>
      </c>
      <c r="M843" s="69">
        <v>30</v>
      </c>
      <c r="N843" s="39" t="s">
        <v>48</v>
      </c>
      <c r="O843" s="39" t="s">
        <v>49</v>
      </c>
      <c r="P843" s="140" t="s">
        <v>833</v>
      </c>
      <c r="Q843" s="19">
        <v>44</v>
      </c>
      <c r="R843" s="59">
        <f>Q843/I843</f>
        <v>0.22</v>
      </c>
      <c r="S843" s="5">
        <f>($AC843*$AD843)/(($Z843/$Y843)+($AA843/$Z843)+($AB843/$AA843))</f>
        <v>53.333333333333336</v>
      </c>
      <c r="U843" s="109" t="s">
        <v>767</v>
      </c>
      <c r="V843" s="71" t="s">
        <v>1395</v>
      </c>
      <c r="W843" s="205"/>
      <c r="Y843" s="2">
        <v>2</v>
      </c>
      <c r="Z843" s="2">
        <v>5</v>
      </c>
      <c r="AA843" s="2">
        <v>20</v>
      </c>
      <c r="AB843" s="2">
        <v>50</v>
      </c>
      <c r="AC843" s="2">
        <v>16</v>
      </c>
      <c r="AD843" s="2">
        <v>30</v>
      </c>
      <c r="AE843" s="2">
        <f>AC843*AD843</f>
        <v>480</v>
      </c>
      <c r="AF843" s="2">
        <f>Z843/Y843</f>
        <v>2.5</v>
      </c>
      <c r="AG843" s="2">
        <f>AA843/Z843</f>
        <v>4</v>
      </c>
      <c r="AH843" s="2">
        <f>AB843/AA843</f>
        <v>2.5</v>
      </c>
    </row>
    <row r="844" spans="1:34">
      <c r="A844" s="165" t="s">
        <v>1383</v>
      </c>
      <c r="B844" s="36" t="s">
        <v>63</v>
      </c>
      <c r="C844" s="41">
        <v>46190</v>
      </c>
      <c r="D844" s="144">
        <v>0.54166666666666663</v>
      </c>
      <c r="E844" s="8">
        <v>49</v>
      </c>
      <c r="F844" s="194" t="s">
        <v>1168</v>
      </c>
      <c r="G844" s="2">
        <v>3</v>
      </c>
      <c r="H844" s="2">
        <v>9</v>
      </c>
      <c r="I844" s="45">
        <v>2500</v>
      </c>
      <c r="J844" s="2" t="s">
        <v>110</v>
      </c>
      <c r="K844" s="109" t="s">
        <v>601</v>
      </c>
      <c r="L844" s="92">
        <v>35000</v>
      </c>
      <c r="M844" s="69" t="s">
        <v>97</v>
      </c>
      <c r="N844" s="39" t="s">
        <v>48</v>
      </c>
      <c r="O844" s="39" t="s">
        <v>49</v>
      </c>
      <c r="P844" s="130"/>
      <c r="Q844" s="19">
        <f>R844*I844</f>
        <v>275</v>
      </c>
      <c r="R844" s="15">
        <v>0.11</v>
      </c>
      <c r="S844" s="5">
        <f>($AC844*$AD844)/(($Z844/$Y844)+($AA844/$Z844)+($AB844/$AA844))</f>
        <v>99.130434782608702</v>
      </c>
      <c r="U844" s="109" t="s">
        <v>853</v>
      </c>
      <c r="V844" s="205" t="s">
        <v>121</v>
      </c>
      <c r="W844" s="205"/>
      <c r="Y844" s="2">
        <v>1.5</v>
      </c>
      <c r="Z844" s="2">
        <v>4</v>
      </c>
      <c r="AA844" s="2">
        <v>10</v>
      </c>
      <c r="AB844" s="2">
        <v>25</v>
      </c>
      <c r="AC844" s="2">
        <v>19</v>
      </c>
      <c r="AD844" s="2">
        <v>40</v>
      </c>
      <c r="AE844" s="2">
        <f>AC844*AD844</f>
        <v>760</v>
      </c>
      <c r="AF844" s="2">
        <f>Z844/Y844</f>
        <v>2.6666666666666665</v>
      </c>
      <c r="AG844" s="2">
        <f>AA844/Z844</f>
        <v>2.5</v>
      </c>
      <c r="AH844" s="2">
        <f>AB844/AA844</f>
        <v>2.5</v>
      </c>
    </row>
    <row r="845" spans="1:34">
      <c r="A845" s="165" t="s">
        <v>1383</v>
      </c>
      <c r="B845" s="39" t="s">
        <v>63</v>
      </c>
      <c r="C845" s="41">
        <v>46190</v>
      </c>
      <c r="D845" s="144">
        <v>0.54166666666666663</v>
      </c>
      <c r="E845" s="8"/>
      <c r="F845" t="s">
        <v>881</v>
      </c>
      <c r="G845" s="2">
        <v>1</v>
      </c>
      <c r="H845" s="2">
        <v>9</v>
      </c>
      <c r="I845" s="45">
        <v>250</v>
      </c>
      <c r="J845" s="2" t="s">
        <v>766</v>
      </c>
      <c r="K845" s="88" t="s">
        <v>787</v>
      </c>
      <c r="L845" s="92">
        <v>25000</v>
      </c>
      <c r="M845" s="10">
        <v>30</v>
      </c>
      <c r="N845" s="39" t="s">
        <v>817</v>
      </c>
      <c r="O845" s="39" t="s">
        <v>49</v>
      </c>
      <c r="P845" s="130"/>
      <c r="Q845" s="19">
        <v>50</v>
      </c>
      <c r="R845" s="15">
        <f>Q845/I845</f>
        <v>0.2</v>
      </c>
      <c r="S845" s="5">
        <v>44</v>
      </c>
      <c r="U845" s="109" t="s">
        <v>767</v>
      </c>
      <c r="V845" s="71" t="s">
        <v>360</v>
      </c>
      <c r="Y845" s="175"/>
      <c r="Z845" s="175"/>
      <c r="AA845" s="175"/>
      <c r="AB845" s="175"/>
      <c r="AC845" s="175"/>
      <c r="AD845" s="175"/>
      <c r="AE845" s="175"/>
      <c r="AF845" s="175"/>
      <c r="AG845" s="175"/>
      <c r="AH845" s="175"/>
    </row>
    <row r="846" spans="1:34">
      <c r="A846" s="165" t="s">
        <v>1383</v>
      </c>
      <c r="B846" s="39" t="s">
        <v>63</v>
      </c>
      <c r="C846" s="41">
        <v>46190</v>
      </c>
      <c r="D846" s="144">
        <v>0.625</v>
      </c>
      <c r="F846" s="194" t="s">
        <v>912</v>
      </c>
      <c r="G846" s="2">
        <v>1</v>
      </c>
      <c r="H846" s="2">
        <v>9</v>
      </c>
      <c r="I846" s="45">
        <v>240</v>
      </c>
      <c r="J846" s="2" t="s">
        <v>766</v>
      </c>
      <c r="K846" s="88" t="s">
        <v>784</v>
      </c>
      <c r="L846" s="92">
        <v>10000</v>
      </c>
      <c r="M846" s="69">
        <v>20</v>
      </c>
      <c r="N846" s="132" t="s">
        <v>821</v>
      </c>
      <c r="O846" s="39" t="s">
        <v>49</v>
      </c>
      <c r="P846" s="130"/>
      <c r="Q846" s="19">
        <v>40</v>
      </c>
      <c r="R846" s="15">
        <v>0.16666666666666666</v>
      </c>
      <c r="S846" s="5">
        <v>29</v>
      </c>
      <c r="U846" s="109" t="s">
        <v>767</v>
      </c>
      <c r="V846" s="71" t="s">
        <v>362</v>
      </c>
      <c r="W846" s="8" t="s">
        <v>367</v>
      </c>
      <c r="Y846" s="175"/>
      <c r="Z846" s="175"/>
      <c r="AA846" s="175"/>
      <c r="AB846" s="175"/>
      <c r="AC846" s="175"/>
      <c r="AD846" s="175"/>
      <c r="AE846" s="175"/>
      <c r="AF846" s="175"/>
      <c r="AG846" s="175"/>
      <c r="AH846" s="175"/>
    </row>
    <row r="847" spans="1:34">
      <c r="A847" s="165" t="s">
        <v>1383</v>
      </c>
      <c r="B847" s="39" t="s">
        <v>63</v>
      </c>
      <c r="C847" s="41">
        <v>46190</v>
      </c>
      <c r="D847" s="144">
        <v>0.625</v>
      </c>
      <c r="E847" s="8"/>
      <c r="F847" t="s">
        <v>126</v>
      </c>
      <c r="G847" s="2">
        <v>1</v>
      </c>
      <c r="I847" s="45">
        <v>250</v>
      </c>
      <c r="J847" s="2" t="s">
        <v>766</v>
      </c>
      <c r="K847" s="88" t="s">
        <v>793</v>
      </c>
      <c r="L847" s="92">
        <v>25000</v>
      </c>
      <c r="M847" s="10">
        <v>30</v>
      </c>
      <c r="N847" s="39" t="s">
        <v>822</v>
      </c>
      <c r="O847" s="39" t="s">
        <v>57</v>
      </c>
      <c r="P847" s="66"/>
      <c r="Q847" s="2">
        <v>50</v>
      </c>
      <c r="R847" s="15">
        <f>Q847/I847</f>
        <v>0.2</v>
      </c>
      <c r="S847" s="149" t="s">
        <v>110</v>
      </c>
      <c r="T847" s="149"/>
      <c r="U847" s="109" t="s">
        <v>767</v>
      </c>
      <c r="V847" s="71" t="s">
        <v>360</v>
      </c>
      <c r="W847" s="205"/>
      <c r="AE847" s="2" t="e">
        <f>AD847*#REF!</f>
        <v>#REF!</v>
      </c>
      <c r="AF847" s="2" t="e">
        <f>Z847/Y847</f>
        <v>#DIV/0!</v>
      </c>
      <c r="AG847" s="2" t="e">
        <f>AA847/Z847</f>
        <v>#DIV/0!</v>
      </c>
      <c r="AH847" s="2" t="e">
        <f>AC847/AA847</f>
        <v>#DIV/0!</v>
      </c>
    </row>
    <row r="848" spans="1:34">
      <c r="A848" s="186" t="s">
        <v>1397</v>
      </c>
      <c r="B848" s="186" t="s">
        <v>1398</v>
      </c>
      <c r="C848" s="41">
        <v>46190</v>
      </c>
      <c r="D848" s="42">
        <v>0.625</v>
      </c>
      <c r="F848" s="199" t="s">
        <v>1408</v>
      </c>
      <c r="G848" s="2">
        <v>1</v>
      </c>
      <c r="H848" s="2">
        <v>8</v>
      </c>
      <c r="I848" s="45">
        <v>5000</v>
      </c>
      <c r="J848" s="2" t="s">
        <v>766</v>
      </c>
      <c r="K848" s="56">
        <v>0.8125</v>
      </c>
      <c r="L848" s="92">
        <v>125000</v>
      </c>
      <c r="M848" s="54">
        <v>30</v>
      </c>
      <c r="N848" s="39" t="s">
        <v>48</v>
      </c>
      <c r="O848" s="187" t="s">
        <v>57</v>
      </c>
      <c r="P848" s="130"/>
      <c r="Q848" s="19">
        <v>100</v>
      </c>
      <c r="R848" s="15">
        <f>Q848/I848</f>
        <v>0.02</v>
      </c>
      <c r="S848" s="149" t="s">
        <v>110</v>
      </c>
      <c r="V848" s="205" t="s">
        <v>1409</v>
      </c>
      <c r="W848" s="240" t="s">
        <v>1411</v>
      </c>
      <c r="Y848" s="2">
        <v>10</v>
      </c>
      <c r="Z848" s="2">
        <v>20</v>
      </c>
      <c r="AA848" s="2">
        <v>50</v>
      </c>
      <c r="AB848" s="2">
        <v>125</v>
      </c>
      <c r="AC848" s="2">
        <v>18</v>
      </c>
      <c r="AD848" s="2">
        <v>30</v>
      </c>
      <c r="AE848" s="2">
        <f>AC848*AD848</f>
        <v>540</v>
      </c>
      <c r="AF848" s="2">
        <f>Z848/Y848</f>
        <v>2</v>
      </c>
      <c r="AG848" s="2">
        <f>AA848/Z848</f>
        <v>2.5</v>
      </c>
      <c r="AH848" s="2">
        <f>AB848/AA848</f>
        <v>2.5</v>
      </c>
    </row>
    <row r="849" spans="1:34">
      <c r="A849" s="165" t="s">
        <v>1383</v>
      </c>
      <c r="B849" s="39" t="s">
        <v>63</v>
      </c>
      <c r="C849" s="41">
        <v>46190</v>
      </c>
      <c r="D849" s="144">
        <v>0.66666666666666663</v>
      </c>
      <c r="E849" s="8"/>
      <c r="F849" s="194" t="s">
        <v>1024</v>
      </c>
      <c r="G849" s="2">
        <v>1</v>
      </c>
      <c r="H849" s="2">
        <v>9</v>
      </c>
      <c r="I849" s="45">
        <v>400</v>
      </c>
      <c r="J849" s="2" t="s">
        <v>766</v>
      </c>
      <c r="K849" s="88" t="s">
        <v>794</v>
      </c>
      <c r="L849" s="92">
        <v>30000</v>
      </c>
      <c r="M849" s="205">
        <v>20</v>
      </c>
      <c r="N849" s="39" t="s">
        <v>817</v>
      </c>
      <c r="O849" s="39" t="s">
        <v>49</v>
      </c>
      <c r="P849" s="130"/>
      <c r="Q849" s="19">
        <v>70</v>
      </c>
      <c r="R849" s="15">
        <f>Q849/I849</f>
        <v>0.17499999999999999</v>
      </c>
      <c r="S849" s="5">
        <v>37</v>
      </c>
      <c r="U849" s="109" t="s">
        <v>129</v>
      </c>
      <c r="V849" s="71" t="s">
        <v>360</v>
      </c>
      <c r="Y849" s="175"/>
      <c r="Z849" s="175"/>
      <c r="AA849" s="175"/>
      <c r="AB849" s="175"/>
      <c r="AC849" s="175"/>
      <c r="AD849" s="175"/>
      <c r="AE849" s="175"/>
      <c r="AF849" s="175"/>
      <c r="AG849" s="175"/>
      <c r="AH849" s="175"/>
    </row>
    <row r="850" spans="1:34">
      <c r="A850" s="52" t="s">
        <v>229</v>
      </c>
      <c r="B850" s="52" t="s">
        <v>230</v>
      </c>
      <c r="C850" s="190">
        <v>46190</v>
      </c>
      <c r="D850" s="42">
        <v>0.66666666666666663</v>
      </c>
      <c r="E850" s="193"/>
      <c r="F850" s="194" t="s">
        <v>264</v>
      </c>
      <c r="G850" s="2">
        <v>1</v>
      </c>
      <c r="I850" s="126">
        <v>240</v>
      </c>
      <c r="J850" s="2" t="s">
        <v>766</v>
      </c>
      <c r="K850" s="88" t="s">
        <v>795</v>
      </c>
      <c r="L850" s="91">
        <v>30000</v>
      </c>
      <c r="M850" s="8">
        <v>20</v>
      </c>
      <c r="N850" s="39" t="s">
        <v>48</v>
      </c>
      <c r="O850" s="39" t="s">
        <v>373</v>
      </c>
      <c r="P850" s="66">
        <v>10000</v>
      </c>
      <c r="Q850" s="2">
        <v>40</v>
      </c>
      <c r="R850" s="15">
        <f>IF(Q850&gt;0,Q850/I850,"")</f>
        <v>0.16666666666666666</v>
      </c>
      <c r="S850" s="149" t="s">
        <v>110</v>
      </c>
      <c r="T850" s="149"/>
      <c r="U850" s="109" t="s">
        <v>767</v>
      </c>
      <c r="V850" s="205" t="s">
        <v>719</v>
      </c>
      <c r="W850" s="205"/>
      <c r="AE850" s="2">
        <f>AC850*AD850</f>
        <v>0</v>
      </c>
      <c r="AF850" s="2" t="e">
        <f>Z850/Y850</f>
        <v>#DIV/0!</v>
      </c>
      <c r="AG850" s="2" t="e">
        <f>AA850/Z850</f>
        <v>#DIV/0!</v>
      </c>
      <c r="AH850" s="2" t="e">
        <f>AB850/AA850</f>
        <v>#DIV/0!</v>
      </c>
    </row>
    <row r="851" spans="1:34">
      <c r="A851" s="103" t="s">
        <v>539</v>
      </c>
      <c r="B851" s="103" t="s">
        <v>540</v>
      </c>
      <c r="C851" s="191">
        <v>46190</v>
      </c>
      <c r="D851" s="42">
        <v>0.67708333333333337</v>
      </c>
      <c r="E851" s="8">
        <v>54</v>
      </c>
      <c r="F851" s="197" t="s">
        <v>564</v>
      </c>
      <c r="G851" s="2">
        <v>2</v>
      </c>
      <c r="H851" s="2">
        <v>9</v>
      </c>
      <c r="I851" s="126">
        <v>720</v>
      </c>
      <c r="J851" s="179" t="s">
        <v>766</v>
      </c>
      <c r="K851" s="179" t="s">
        <v>598</v>
      </c>
      <c r="L851" s="92">
        <v>30000</v>
      </c>
      <c r="M851" s="69">
        <v>40</v>
      </c>
      <c r="N851" s="39" t="s">
        <v>48</v>
      </c>
      <c r="O851" s="39" t="s">
        <v>49</v>
      </c>
      <c r="P851" s="214"/>
      <c r="Q851" s="19">
        <v>101</v>
      </c>
      <c r="R851" s="15">
        <f>Q851/I851</f>
        <v>0.14027777777777778</v>
      </c>
      <c r="S851" s="5">
        <f>($AC851*$AD851)/(($Z851/$Y851)+($AA851/$Z851)+($AB851/$AA851))</f>
        <v>88.163265306122454</v>
      </c>
      <c r="U851" s="109" t="s">
        <v>767</v>
      </c>
      <c r="V851" s="71" t="s">
        <v>1395</v>
      </c>
      <c r="W851" s="8" t="s">
        <v>1393</v>
      </c>
      <c r="Y851" s="2">
        <v>1.5</v>
      </c>
      <c r="Z851" s="2">
        <v>4</v>
      </c>
      <c r="AA851" s="2">
        <v>10</v>
      </c>
      <c r="AB851" s="2">
        <v>30</v>
      </c>
      <c r="AC851" s="2">
        <v>18</v>
      </c>
      <c r="AD851" s="2">
        <v>40</v>
      </c>
      <c r="AE851" s="2">
        <f>AC851*AD851</f>
        <v>720</v>
      </c>
      <c r="AF851" s="2">
        <f>Z851/Y851</f>
        <v>2.6666666666666665</v>
      </c>
      <c r="AG851" s="2">
        <f>AA851/Z851</f>
        <v>2.5</v>
      </c>
      <c r="AH851" s="2">
        <f>AC851/AA851</f>
        <v>1.8</v>
      </c>
    </row>
    <row r="852" spans="1:34">
      <c r="A852" s="102" t="s">
        <v>475</v>
      </c>
      <c r="B852" s="102" t="s">
        <v>476</v>
      </c>
      <c r="C852" s="47">
        <v>46190</v>
      </c>
      <c r="D852" s="42">
        <v>0.75</v>
      </c>
      <c r="E852" s="8">
        <v>18</v>
      </c>
      <c r="F852" s="194" t="s">
        <v>483</v>
      </c>
      <c r="G852" s="2">
        <v>1</v>
      </c>
      <c r="H852" s="2">
        <v>9</v>
      </c>
      <c r="I852" s="126">
        <v>160</v>
      </c>
      <c r="J852" s="2" t="s">
        <v>766</v>
      </c>
      <c r="K852" s="109" t="s">
        <v>603</v>
      </c>
      <c r="L852" s="201">
        <v>20000</v>
      </c>
      <c r="M852" s="64">
        <v>20</v>
      </c>
      <c r="N852" s="39" t="s">
        <v>48</v>
      </c>
      <c r="O852" s="39" t="s">
        <v>49</v>
      </c>
      <c r="P852" s="211" t="s">
        <v>828</v>
      </c>
      <c r="Q852" s="19">
        <v>30</v>
      </c>
      <c r="R852" s="59">
        <f>Q852/I852</f>
        <v>0.1875</v>
      </c>
      <c r="S852" s="5">
        <f>($AC852*$AD852)/(($Z852/$Y852)+($AA852/$Z852)+($AB852/$AA852))</f>
        <v>20</v>
      </c>
      <c r="U852" s="109" t="s">
        <v>767</v>
      </c>
      <c r="V852" s="83" t="s">
        <v>588</v>
      </c>
      <c r="W852" s="107" t="s">
        <v>604</v>
      </c>
      <c r="Y852" s="2">
        <v>2</v>
      </c>
      <c r="Z852" s="2">
        <v>5</v>
      </c>
      <c r="AA852" s="2">
        <v>40</v>
      </c>
      <c r="AB852" s="2">
        <v>100</v>
      </c>
      <c r="AC852" s="2">
        <v>20</v>
      </c>
      <c r="AD852" s="2">
        <v>13</v>
      </c>
      <c r="AE852" s="2">
        <f>AC852*AD852</f>
        <v>260</v>
      </c>
      <c r="AF852" s="2">
        <f>Z852/Y852</f>
        <v>2.5</v>
      </c>
      <c r="AG852" s="2">
        <f>AA852/Z852</f>
        <v>8</v>
      </c>
      <c r="AH852" s="2">
        <f>AB852/AA852</f>
        <v>2.5</v>
      </c>
    </row>
    <row r="853" spans="1:34">
      <c r="A853" s="52" t="s">
        <v>229</v>
      </c>
      <c r="B853" s="52" t="s">
        <v>230</v>
      </c>
      <c r="C853" s="190">
        <v>46190</v>
      </c>
      <c r="D853" s="42">
        <v>0.75</v>
      </c>
      <c r="E853" s="193"/>
      <c r="F853" s="8" t="s">
        <v>244</v>
      </c>
      <c r="G853" s="2">
        <v>1</v>
      </c>
      <c r="I853" s="126">
        <v>200</v>
      </c>
      <c r="J853" s="2" t="s">
        <v>766</v>
      </c>
      <c r="K853" s="88" t="s">
        <v>804</v>
      </c>
      <c r="L853" s="91">
        <v>30000</v>
      </c>
      <c r="M853" s="8">
        <v>20</v>
      </c>
      <c r="N853" s="39" t="s">
        <v>48</v>
      </c>
      <c r="O853" s="39" t="s">
        <v>49</v>
      </c>
      <c r="P853" s="211" t="s">
        <v>832</v>
      </c>
      <c r="Q853" s="19">
        <v>40</v>
      </c>
      <c r="R853" s="15">
        <f>IF(Q853&gt;0,Q853/I853,"")</f>
        <v>0.2</v>
      </c>
      <c r="S853" s="5">
        <f>($AC853*$AD853)/(($Z853/$Y853)+($AA853/$Z853)+($AB853/$AA853))</f>
        <v>35.555555555555557</v>
      </c>
      <c r="U853" s="109" t="s">
        <v>767</v>
      </c>
      <c r="V853" s="205" t="s">
        <v>719</v>
      </c>
      <c r="W853" s="205"/>
      <c r="Y853" s="2">
        <v>2</v>
      </c>
      <c r="Z853" s="2">
        <v>5</v>
      </c>
      <c r="AA853" s="2">
        <v>20</v>
      </c>
      <c r="AB853" s="2">
        <v>50</v>
      </c>
      <c r="AC853" s="2">
        <v>20</v>
      </c>
      <c r="AD853" s="2">
        <v>16</v>
      </c>
      <c r="AE853" s="2">
        <f>AC853*AD853</f>
        <v>320</v>
      </c>
      <c r="AF853" s="2">
        <f>Z853/Y853</f>
        <v>2.5</v>
      </c>
      <c r="AG853" s="2">
        <f>AA853/Z853</f>
        <v>4</v>
      </c>
      <c r="AH853" s="2">
        <f>AB853/AA853</f>
        <v>2.5</v>
      </c>
    </row>
    <row r="854" spans="1:34">
      <c r="A854" s="96" t="s">
        <v>461</v>
      </c>
      <c r="B854" s="96" t="s">
        <v>462</v>
      </c>
      <c r="C854" s="41">
        <v>46190</v>
      </c>
      <c r="D854" s="42">
        <v>0.75694444444444442</v>
      </c>
      <c r="F854" s="8" t="s">
        <v>472</v>
      </c>
      <c r="G854" s="2">
        <v>2</v>
      </c>
      <c r="I854" s="126">
        <v>300</v>
      </c>
      <c r="J854" s="2" t="s">
        <v>766</v>
      </c>
      <c r="K854" s="109" t="s">
        <v>598</v>
      </c>
      <c r="L854" s="194">
        <v>30000</v>
      </c>
      <c r="M854" s="202">
        <v>30</v>
      </c>
      <c r="N854" s="39" t="s">
        <v>48</v>
      </c>
      <c r="O854" s="39" t="s">
        <v>49</v>
      </c>
      <c r="P854" s="211" t="s">
        <v>842</v>
      </c>
      <c r="Q854" s="19">
        <v>65</v>
      </c>
      <c r="R854" s="15">
        <f>Q854/I854</f>
        <v>0.21666666666666667</v>
      </c>
      <c r="S854" s="5">
        <f>($AC854*$AD854)/(($Z854/$Y854)+($AA854/$Z854)+($AB854/$AA854))</f>
        <v>53.333333333333336</v>
      </c>
      <c r="U854" s="109" t="s">
        <v>767</v>
      </c>
      <c r="V854" s="205" t="s">
        <v>735</v>
      </c>
      <c r="W854" s="205"/>
      <c r="Y854" s="2">
        <v>2</v>
      </c>
      <c r="Z854" s="2">
        <v>5</v>
      </c>
      <c r="AA854" s="2">
        <v>20</v>
      </c>
      <c r="AB854" s="2">
        <v>50</v>
      </c>
      <c r="AC854" s="2">
        <v>16</v>
      </c>
      <c r="AD854" s="2">
        <v>30</v>
      </c>
      <c r="AE854" s="2">
        <f>AC854*AD854</f>
        <v>480</v>
      </c>
      <c r="AF854" s="2">
        <f>Z854/Y854</f>
        <v>2.5</v>
      </c>
      <c r="AG854" s="2">
        <f>AA854/Z854</f>
        <v>4</v>
      </c>
      <c r="AH854" s="2">
        <f>AB854/AA854</f>
        <v>2.5</v>
      </c>
    </row>
    <row r="855" spans="1:34">
      <c r="A855" s="68" t="s">
        <v>357</v>
      </c>
      <c r="B855" s="68" t="s">
        <v>358</v>
      </c>
      <c r="C855" s="191">
        <v>46190</v>
      </c>
      <c r="D855" s="42">
        <v>0.75694444444444442</v>
      </c>
      <c r="E855" s="8">
        <v>55</v>
      </c>
      <c r="F855" s="63" t="s">
        <v>290</v>
      </c>
      <c r="G855" s="2">
        <v>1</v>
      </c>
      <c r="H855" s="2">
        <v>9</v>
      </c>
      <c r="I855" s="126">
        <v>600</v>
      </c>
      <c r="J855" s="2" t="s">
        <v>766</v>
      </c>
      <c r="K855" s="137" t="s">
        <v>602</v>
      </c>
      <c r="L855" s="92">
        <v>25000</v>
      </c>
      <c r="M855" s="202">
        <v>30</v>
      </c>
      <c r="N855" s="39" t="s">
        <v>48</v>
      </c>
      <c r="O855" s="39" t="s">
        <v>49</v>
      </c>
      <c r="P855" s="140" t="s">
        <v>836</v>
      </c>
      <c r="Q855" s="19">
        <v>80</v>
      </c>
      <c r="R855" s="15">
        <f>Q855/I855</f>
        <v>0.13333333333333333</v>
      </c>
      <c r="S855" s="5">
        <f>($AC855*$AD855)/(($Z855/$Y855)+($AA855/$Z855)+($AB855/$AA855))</f>
        <v>55.03292568203198</v>
      </c>
      <c r="U855" s="109" t="s">
        <v>219</v>
      </c>
      <c r="V855" s="205" t="s">
        <v>662</v>
      </c>
      <c r="W855" s="220" t="s">
        <v>389</v>
      </c>
      <c r="Y855" s="2">
        <v>2.5</v>
      </c>
      <c r="Z855" s="2">
        <v>6.5</v>
      </c>
      <c r="AA855" s="2">
        <v>20</v>
      </c>
      <c r="AB855" s="2">
        <v>50</v>
      </c>
      <c r="AC855" s="2">
        <v>30</v>
      </c>
      <c r="AD855" s="2">
        <v>15</v>
      </c>
      <c r="AE855" s="2">
        <f>AC855*AD855</f>
        <v>450</v>
      </c>
      <c r="AF855" s="2">
        <f>Z855/Y855</f>
        <v>2.6</v>
      </c>
      <c r="AG855" s="2">
        <f>AA855/Z855</f>
        <v>3.0769230769230771</v>
      </c>
      <c r="AH855" s="2">
        <f>AB855/AA855</f>
        <v>2.5</v>
      </c>
    </row>
    <row r="856" spans="1:34">
      <c r="A856" s="95" t="s">
        <v>447</v>
      </c>
      <c r="B856" s="95" t="s">
        <v>448</v>
      </c>
      <c r="C856" s="190">
        <v>46190</v>
      </c>
      <c r="D856" s="42">
        <v>0.79166666666666663</v>
      </c>
      <c r="E856" s="193"/>
      <c r="F856" s="8" t="s">
        <v>422</v>
      </c>
      <c r="G856" s="2">
        <v>1</v>
      </c>
      <c r="H856" s="2">
        <v>9</v>
      </c>
      <c r="I856" s="126">
        <v>300</v>
      </c>
      <c r="J856" s="2" t="s">
        <v>766</v>
      </c>
      <c r="K856" s="109" t="s">
        <v>602</v>
      </c>
      <c r="L856" s="194">
        <v>20000</v>
      </c>
      <c r="M856" s="8">
        <v>20</v>
      </c>
      <c r="N856" s="39" t="s">
        <v>61</v>
      </c>
      <c r="O856" s="39" t="s">
        <v>49</v>
      </c>
      <c r="P856" s="214" t="s">
        <v>225</v>
      </c>
      <c r="Q856" s="19">
        <v>40</v>
      </c>
      <c r="R856" s="15">
        <f>Q856/I856</f>
        <v>0.13333333333333333</v>
      </c>
      <c r="S856" s="5">
        <f>($AC856*$AD856)/(($Z856/$Y856)+($AA856/$Z856)+($AB856/$AA856))</f>
        <v>43.198338525441329</v>
      </c>
      <c r="U856" s="109" t="s">
        <v>767</v>
      </c>
      <c r="V856" s="205" t="s">
        <v>741</v>
      </c>
      <c r="W856" s="116" t="s">
        <v>747</v>
      </c>
      <c r="Y856" s="2">
        <v>2</v>
      </c>
      <c r="Z856" s="2">
        <v>5</v>
      </c>
      <c r="AA856" s="2">
        <v>13</v>
      </c>
      <c r="AB856" s="2">
        <v>30</v>
      </c>
      <c r="AC856" s="2">
        <v>16</v>
      </c>
      <c r="AD856" s="2">
        <v>20</v>
      </c>
      <c r="AE856" s="2">
        <f>AC856*AD856</f>
        <v>320</v>
      </c>
      <c r="AF856" s="2">
        <f>Z856/Y856</f>
        <v>2.5</v>
      </c>
      <c r="AG856" s="2">
        <f>AA856/Z856</f>
        <v>2.6</v>
      </c>
      <c r="AH856" s="2">
        <f>AB856/AA856</f>
        <v>2.3076923076923075</v>
      </c>
    </row>
    <row r="857" spans="1:34">
      <c r="A857" s="103" t="s">
        <v>539</v>
      </c>
      <c r="B857" s="103" t="s">
        <v>540</v>
      </c>
      <c r="C857" s="191">
        <v>46190</v>
      </c>
      <c r="D857" s="42">
        <v>0.79166666666666663</v>
      </c>
      <c r="E857" s="8">
        <v>55</v>
      </c>
      <c r="F857" s="63" t="s">
        <v>544</v>
      </c>
      <c r="G857" s="2">
        <v>1</v>
      </c>
      <c r="H857" s="2">
        <v>9</v>
      </c>
      <c r="I857" s="126">
        <v>150</v>
      </c>
      <c r="J857" s="179" t="s">
        <v>766</v>
      </c>
      <c r="K857" s="179" t="s">
        <v>602</v>
      </c>
      <c r="L857" s="92">
        <v>30000</v>
      </c>
      <c r="M857" s="202">
        <v>15</v>
      </c>
      <c r="N857" s="39" t="s">
        <v>48</v>
      </c>
      <c r="O857" s="39" t="s">
        <v>49</v>
      </c>
      <c r="P857" s="211" t="s">
        <v>828</v>
      </c>
      <c r="Q857" s="19">
        <v>46</v>
      </c>
      <c r="R857" s="15">
        <f>Q857/I857</f>
        <v>0.30666666666666664</v>
      </c>
      <c r="S857" s="5">
        <f>($AC857*$AD857)/(($Z857/$Y857)+($AA857/$Z857)+($AB857/$AA857))</f>
        <v>19.534883720930232</v>
      </c>
      <c r="U857" s="109" t="s">
        <v>129</v>
      </c>
      <c r="V857" s="71" t="s">
        <v>1395</v>
      </c>
      <c r="W857" s="179" t="s">
        <v>1389</v>
      </c>
      <c r="Y857" s="2">
        <v>4</v>
      </c>
      <c r="Z857" s="2">
        <v>8</v>
      </c>
      <c r="AA857" s="2">
        <v>30</v>
      </c>
      <c r="AB857" s="2">
        <v>150</v>
      </c>
      <c r="AC857" s="2">
        <v>14</v>
      </c>
      <c r="AD857" s="2">
        <v>15</v>
      </c>
      <c r="AE857" s="2">
        <f>AC857*AD857</f>
        <v>210</v>
      </c>
      <c r="AF857" s="2">
        <f>Z857/Y857</f>
        <v>2</v>
      </c>
      <c r="AG857" s="2">
        <f>AA857/Z857</f>
        <v>3.75</v>
      </c>
      <c r="AH857" s="2">
        <f>AB857/AA857</f>
        <v>5</v>
      </c>
    </row>
    <row r="858" spans="1:34">
      <c r="A858" s="165" t="s">
        <v>1383</v>
      </c>
      <c r="B858" s="39" t="s">
        <v>63</v>
      </c>
      <c r="C858" s="41">
        <v>46190</v>
      </c>
      <c r="D858" s="144">
        <v>0.79166666666666663</v>
      </c>
      <c r="F858" s="8" t="s">
        <v>890</v>
      </c>
      <c r="G858" s="2">
        <v>1</v>
      </c>
      <c r="I858" s="45">
        <v>1100</v>
      </c>
      <c r="J858" s="2" t="s">
        <v>766</v>
      </c>
      <c r="K858" s="88" t="s">
        <v>800</v>
      </c>
      <c r="L858" s="92">
        <v>15000</v>
      </c>
      <c r="M858" s="209">
        <v>30</v>
      </c>
      <c r="N858" s="132" t="s">
        <v>821</v>
      </c>
      <c r="O858" s="39" t="s">
        <v>122</v>
      </c>
      <c r="P858" s="66"/>
      <c r="Q858" s="2">
        <f>88+37</f>
        <v>125</v>
      </c>
      <c r="R858" s="15">
        <f>Q858/I858</f>
        <v>0.11363636363636363</v>
      </c>
      <c r="S858" s="149" t="s">
        <v>110</v>
      </c>
      <c r="T858" s="149"/>
      <c r="U858" s="109" t="s">
        <v>767</v>
      </c>
      <c r="V858" s="71" t="s">
        <v>362</v>
      </c>
      <c r="W858" s="8" t="s">
        <v>370</v>
      </c>
      <c r="AE858" s="2" t="e">
        <f>AD858*#REF!</f>
        <v>#REF!</v>
      </c>
      <c r="AF858" s="2" t="e">
        <f>Z858/Y858</f>
        <v>#DIV/0!</v>
      </c>
      <c r="AG858" s="2" t="e">
        <f>AA858/Z858</f>
        <v>#DIV/0!</v>
      </c>
      <c r="AH858" s="2" t="e">
        <f>AC858/AA858</f>
        <v>#DIV/0!</v>
      </c>
    </row>
    <row r="859" spans="1:34">
      <c r="A859" s="52" t="s">
        <v>220</v>
      </c>
      <c r="B859" s="52" t="s">
        <v>221</v>
      </c>
      <c r="C859" s="191">
        <v>46190</v>
      </c>
      <c r="D859" s="42">
        <v>0.8125</v>
      </c>
      <c r="E859" s="193"/>
      <c r="F859" s="8" t="s">
        <v>1074</v>
      </c>
      <c r="G859" s="2">
        <v>2</v>
      </c>
      <c r="H859" s="2">
        <v>9</v>
      </c>
      <c r="I859" s="126">
        <v>2200</v>
      </c>
      <c r="J859" s="2" t="s">
        <v>766</v>
      </c>
      <c r="K859" s="88" t="s">
        <v>809</v>
      </c>
      <c r="L859" s="91">
        <v>40000</v>
      </c>
      <c r="M859" s="64" t="s">
        <v>113</v>
      </c>
      <c r="N859" s="39" t="s">
        <v>48</v>
      </c>
      <c r="O859" s="39" t="s">
        <v>49</v>
      </c>
      <c r="P859" s="135" t="s">
        <v>845</v>
      </c>
      <c r="Q859" s="19">
        <v>215</v>
      </c>
      <c r="R859" s="15">
        <f>Q859/I859</f>
        <v>9.7727272727272732E-2</v>
      </c>
      <c r="S859" s="5">
        <f>($AC859*$AD859)/(($Z859/$Y859)+($AA859/$Z859)+($AB859/$AA859))</f>
        <v>50.666666666666664</v>
      </c>
      <c r="U859" s="109" t="s">
        <v>463</v>
      </c>
      <c r="V859" s="2" t="s">
        <v>738</v>
      </c>
      <c r="Y859" s="2">
        <v>2</v>
      </c>
      <c r="Z859" s="2">
        <v>5</v>
      </c>
      <c r="AA859" s="2">
        <v>15</v>
      </c>
      <c r="AB859" s="2">
        <v>30</v>
      </c>
      <c r="AC859" s="2">
        <v>19</v>
      </c>
      <c r="AD859" s="2">
        <v>20</v>
      </c>
      <c r="AE859" s="2">
        <f>AC859*AD859</f>
        <v>380</v>
      </c>
      <c r="AF859" s="2">
        <f>Z859/Y859</f>
        <v>2.5</v>
      </c>
      <c r="AG859" s="2">
        <f>AA859/Z859</f>
        <v>3</v>
      </c>
      <c r="AH859" s="2">
        <f>AB859/AA859</f>
        <v>2</v>
      </c>
    </row>
    <row r="860" spans="1:34">
      <c r="A860" s="165" t="s">
        <v>1383</v>
      </c>
      <c r="B860" s="72" t="s">
        <v>63</v>
      </c>
      <c r="C860" s="77">
        <v>46190</v>
      </c>
      <c r="D860" s="144">
        <v>0.83333333333333337</v>
      </c>
      <c r="E860" s="138"/>
      <c r="F860" s="8" t="s">
        <v>1023</v>
      </c>
      <c r="G860" s="73">
        <v>1</v>
      </c>
      <c r="H860" s="73">
        <v>9</v>
      </c>
      <c r="I860" s="78">
        <v>200</v>
      </c>
      <c r="J860" s="2" t="s">
        <v>766</v>
      </c>
      <c r="K860" s="88" t="s">
        <v>806</v>
      </c>
      <c r="L860" s="154">
        <v>20000</v>
      </c>
      <c r="M860" s="217">
        <v>20</v>
      </c>
      <c r="N860" s="39" t="s">
        <v>817</v>
      </c>
      <c r="O860" s="39" t="s">
        <v>49</v>
      </c>
      <c r="P860" s="235"/>
      <c r="Q860" s="74">
        <v>45</v>
      </c>
      <c r="R860" s="75">
        <f>Q860/I860</f>
        <v>0.22500000000000001</v>
      </c>
      <c r="S860" s="121">
        <v>23</v>
      </c>
      <c r="T860" s="121"/>
      <c r="U860" s="109" t="s">
        <v>129</v>
      </c>
      <c r="V860" s="80" t="s">
        <v>360</v>
      </c>
      <c r="W860" s="73"/>
      <c r="Y860" s="175"/>
      <c r="Z860" s="175"/>
      <c r="AA860" s="175"/>
      <c r="AB860" s="175"/>
      <c r="AC860" s="175"/>
      <c r="AD860" s="175"/>
      <c r="AE860" s="175"/>
      <c r="AF860" s="175"/>
      <c r="AG860" s="175"/>
      <c r="AH860" s="175"/>
    </row>
    <row r="861" spans="1:34">
      <c r="A861" s="165" t="s">
        <v>1383</v>
      </c>
      <c r="B861" s="39" t="s">
        <v>63</v>
      </c>
      <c r="C861" s="41">
        <v>46190</v>
      </c>
      <c r="D861" s="144">
        <v>0.91666666666666663</v>
      </c>
      <c r="F861" s="8" t="s">
        <v>909</v>
      </c>
      <c r="G861" s="2">
        <v>1</v>
      </c>
      <c r="H861" s="2">
        <v>9</v>
      </c>
      <c r="I861" s="45">
        <v>135</v>
      </c>
      <c r="J861" s="2" t="s">
        <v>766</v>
      </c>
      <c r="K861" s="88" t="s">
        <v>813</v>
      </c>
      <c r="L861" s="92">
        <v>10000</v>
      </c>
      <c r="M861" s="202">
        <v>15</v>
      </c>
      <c r="N861" s="132" t="s">
        <v>821</v>
      </c>
      <c r="O861" s="39" t="s">
        <v>49</v>
      </c>
      <c r="P861" s="210"/>
      <c r="Q861" s="19">
        <v>35</v>
      </c>
      <c r="R861" s="15">
        <f>Q861/I861</f>
        <v>0.25925925925925924</v>
      </c>
      <c r="S861" s="5">
        <v>22</v>
      </c>
      <c r="U861" s="109" t="s">
        <v>767</v>
      </c>
      <c r="V861" s="71" t="s">
        <v>362</v>
      </c>
      <c r="W861" s="8" t="s">
        <v>369</v>
      </c>
      <c r="Y861" s="175"/>
      <c r="Z861" s="175"/>
      <c r="AA861" s="175"/>
      <c r="AB861" s="175"/>
      <c r="AC861" s="175"/>
      <c r="AD861" s="175"/>
      <c r="AE861" s="175"/>
      <c r="AF861" s="175"/>
      <c r="AG861" s="175"/>
      <c r="AH861" s="175"/>
    </row>
    <row r="862" spans="1:34">
      <c r="A862" s="165" t="s">
        <v>1383</v>
      </c>
      <c r="B862" s="36" t="s">
        <v>63</v>
      </c>
      <c r="C862" s="41">
        <v>46190</v>
      </c>
      <c r="D862" s="144" t="s">
        <v>117</v>
      </c>
      <c r="E862" s="14">
        <v>50</v>
      </c>
      <c r="F862" s="8" t="s">
        <v>972</v>
      </c>
      <c r="G862" s="2">
        <v>5</v>
      </c>
      <c r="H862" s="2">
        <v>9</v>
      </c>
      <c r="I862" s="45">
        <v>1500</v>
      </c>
      <c r="J862" s="2" t="s">
        <v>761</v>
      </c>
      <c r="K862" s="109" t="s">
        <v>602</v>
      </c>
      <c r="L862" s="92">
        <v>25000</v>
      </c>
      <c r="M862" s="202">
        <v>60</v>
      </c>
      <c r="N862" s="39" t="s">
        <v>48</v>
      </c>
      <c r="O862" s="39" t="s">
        <v>49</v>
      </c>
      <c r="P862" s="210"/>
      <c r="Q862" s="19">
        <f>R862*I862</f>
        <v>172.5</v>
      </c>
      <c r="R862" s="15">
        <v>0.115</v>
      </c>
      <c r="S862" s="5">
        <f>($AC862*$AD862)/(($Z862/$Y862)+($AA862/$Z862)+($AB862/$AA862))</f>
        <v>140.86956521739131</v>
      </c>
      <c r="U862" s="109" t="s">
        <v>767</v>
      </c>
      <c r="V862" s="205" t="s">
        <v>121</v>
      </c>
      <c r="W862" s="205"/>
      <c r="Y862" s="2">
        <v>1.5</v>
      </c>
      <c r="Z862" s="2">
        <v>4</v>
      </c>
      <c r="AA862" s="2">
        <v>10</v>
      </c>
      <c r="AB862" s="2">
        <v>25</v>
      </c>
      <c r="AC862" s="2">
        <v>18</v>
      </c>
      <c r="AD862" s="2">
        <v>60</v>
      </c>
      <c r="AE862" s="2">
        <f>AC862*AD862</f>
        <v>1080</v>
      </c>
      <c r="AF862" s="2">
        <f>Z862/Y862</f>
        <v>2.6666666666666665</v>
      </c>
      <c r="AG862" s="2">
        <f>AA862/Z862</f>
        <v>2.5</v>
      </c>
      <c r="AH862" s="2">
        <f>AB862/AA862</f>
        <v>2.5</v>
      </c>
    </row>
    <row r="863" spans="1:34">
      <c r="A863" s="165" t="s">
        <v>1383</v>
      </c>
      <c r="B863" s="36" t="s">
        <v>63</v>
      </c>
      <c r="C863" s="41">
        <v>46190</v>
      </c>
      <c r="D863" s="144" t="s">
        <v>115</v>
      </c>
      <c r="E863" s="14">
        <v>47</v>
      </c>
      <c r="F863" s="8" t="s">
        <v>1172</v>
      </c>
      <c r="G863" s="2">
        <v>4</v>
      </c>
      <c r="H863" s="2">
        <v>8</v>
      </c>
      <c r="I863" s="45">
        <v>25000</v>
      </c>
      <c r="J863" s="2" t="s">
        <v>762</v>
      </c>
      <c r="K863" s="109" t="s">
        <v>601</v>
      </c>
      <c r="L863" s="92">
        <v>150000</v>
      </c>
      <c r="M863" s="202">
        <v>60</v>
      </c>
      <c r="N863" s="39" t="s">
        <v>48</v>
      </c>
      <c r="O863" s="39" t="s">
        <v>57</v>
      </c>
      <c r="P863" s="213"/>
      <c r="Q863" s="38">
        <f>R863*I863</f>
        <v>1500</v>
      </c>
      <c r="R863" s="15">
        <v>0.06</v>
      </c>
      <c r="S863" s="149" t="s">
        <v>110</v>
      </c>
      <c r="T863" s="149"/>
      <c r="U863" s="109" t="s">
        <v>767</v>
      </c>
      <c r="V863" s="2" t="s">
        <v>121</v>
      </c>
      <c r="W863" s="205"/>
      <c r="Y863" s="70"/>
      <c r="Z863" s="70"/>
      <c r="AA863" s="70"/>
      <c r="AC863" s="70"/>
      <c r="AD863" s="70"/>
      <c r="AE863" s="2" t="e">
        <f>AD863*#REF!</f>
        <v>#REF!</v>
      </c>
      <c r="AF863" s="2" t="e">
        <f>Z863/Y863</f>
        <v>#DIV/0!</v>
      </c>
      <c r="AG863" s="2" t="e">
        <f>AA863/Z863</f>
        <v>#DIV/0!</v>
      </c>
      <c r="AH863" s="2" t="e">
        <f>AC863/AA863</f>
        <v>#DIV/0!</v>
      </c>
    </row>
    <row r="864" spans="1:34">
      <c r="A864" s="165" t="s">
        <v>1383</v>
      </c>
      <c r="B864" s="36" t="s">
        <v>63</v>
      </c>
      <c r="C864" s="41">
        <v>46190</v>
      </c>
      <c r="D864" s="144" t="s">
        <v>115</v>
      </c>
      <c r="E864" s="8">
        <v>51</v>
      </c>
      <c r="F864" s="8" t="s">
        <v>976</v>
      </c>
      <c r="G864" s="2">
        <v>3</v>
      </c>
      <c r="H864" s="2">
        <v>8</v>
      </c>
      <c r="I864" s="45">
        <v>10000</v>
      </c>
      <c r="J864" s="2" t="s">
        <v>762</v>
      </c>
      <c r="K864" s="109" t="s">
        <v>601</v>
      </c>
      <c r="L864" s="92">
        <v>60000</v>
      </c>
      <c r="M864" s="202">
        <v>40</v>
      </c>
      <c r="N864" s="39" t="s">
        <v>48</v>
      </c>
      <c r="O864" s="39" t="s">
        <v>49</v>
      </c>
      <c r="P864" s="210"/>
      <c r="Q864" s="19">
        <f>R864*I864</f>
        <v>700.00000000000011</v>
      </c>
      <c r="R864" s="15">
        <v>7.0000000000000007E-2</v>
      </c>
      <c r="S864" s="5">
        <f>($AC864*$AD864)/(($Z864/$Y864)+($AA864/$Z864)+($AB864/$AA864))</f>
        <v>113.3956386292835</v>
      </c>
      <c r="U864" s="109" t="s">
        <v>55</v>
      </c>
      <c r="V864" s="205" t="s">
        <v>121</v>
      </c>
      <c r="W864" s="205"/>
      <c r="Y864" s="2">
        <v>2</v>
      </c>
      <c r="Z864" s="2">
        <v>5</v>
      </c>
      <c r="AA864" s="2">
        <v>13</v>
      </c>
      <c r="AB864" s="2">
        <v>30</v>
      </c>
      <c r="AC864" s="2">
        <v>21</v>
      </c>
      <c r="AD864" s="2">
        <v>40</v>
      </c>
      <c r="AE864" s="2">
        <f>AC864*AD864</f>
        <v>840</v>
      </c>
      <c r="AF864" s="2">
        <f>Z864/Y864</f>
        <v>2.5</v>
      </c>
      <c r="AG864" s="2">
        <f>AA864/Z864</f>
        <v>2.6</v>
      </c>
      <c r="AH864" s="2">
        <f>AB864/AA864</f>
        <v>2.3076923076923075</v>
      </c>
    </row>
    <row r="865" spans="1:34">
      <c r="A865" s="165" t="s">
        <v>1383</v>
      </c>
      <c r="B865" s="36" t="s">
        <v>63</v>
      </c>
      <c r="C865" s="41">
        <v>46190</v>
      </c>
      <c r="D865" s="144" t="s">
        <v>116</v>
      </c>
      <c r="E865" s="8">
        <v>52</v>
      </c>
      <c r="F865" s="8" t="s">
        <v>167</v>
      </c>
      <c r="G865" s="2">
        <v>3</v>
      </c>
      <c r="H865" s="2">
        <v>7</v>
      </c>
      <c r="I865" s="45">
        <v>3000</v>
      </c>
      <c r="J865" s="2" t="s">
        <v>760</v>
      </c>
      <c r="K865" s="109" t="s">
        <v>815</v>
      </c>
      <c r="L865" s="92">
        <v>40000</v>
      </c>
      <c r="M865" s="69" t="s">
        <v>97</v>
      </c>
      <c r="N865" s="39" t="s">
        <v>48</v>
      </c>
      <c r="O865" s="39" t="s">
        <v>863</v>
      </c>
      <c r="P865" s="213"/>
      <c r="Q865" s="38">
        <f>R865*I865</f>
        <v>330</v>
      </c>
      <c r="R865" s="15">
        <v>0.11</v>
      </c>
      <c r="S865" s="149" t="s">
        <v>110</v>
      </c>
      <c r="T865" s="149"/>
      <c r="U865" s="109" t="s">
        <v>767</v>
      </c>
      <c r="V865" s="205" t="s">
        <v>121</v>
      </c>
      <c r="W865" s="205"/>
      <c r="AE865" s="2" t="e">
        <f>AD865*#REF!</f>
        <v>#REF!</v>
      </c>
      <c r="AF865" s="2" t="e">
        <f>Z865/Y865</f>
        <v>#DIV/0!</v>
      </c>
      <c r="AG865" s="2" t="e">
        <f>AA865/Z865</f>
        <v>#DIV/0!</v>
      </c>
      <c r="AH865" s="2" t="e">
        <f>AC865/AA865</f>
        <v>#DIV/0!</v>
      </c>
    </row>
    <row r="866" spans="1:34">
      <c r="A866" s="165" t="s">
        <v>1383</v>
      </c>
      <c r="B866" s="36" t="s">
        <v>63</v>
      </c>
      <c r="C866" s="41">
        <v>46190</v>
      </c>
      <c r="D866" s="144" t="s">
        <v>876</v>
      </c>
      <c r="E866" s="8">
        <v>48</v>
      </c>
      <c r="F866" s="8" t="s">
        <v>1253</v>
      </c>
      <c r="G866" s="2">
        <v>3</v>
      </c>
      <c r="H866" s="2">
        <v>9</v>
      </c>
      <c r="I866" s="45">
        <v>10000</v>
      </c>
      <c r="J866" s="2" t="s">
        <v>110</v>
      </c>
      <c r="K866" s="109" t="s">
        <v>815</v>
      </c>
      <c r="L866" s="92">
        <v>60000</v>
      </c>
      <c r="M866" s="69" t="s">
        <v>111</v>
      </c>
      <c r="N866" s="39" t="s">
        <v>48</v>
      </c>
      <c r="O866" s="39" t="s">
        <v>374</v>
      </c>
      <c r="P866" s="19"/>
      <c r="Q866" s="38">
        <f>R866*I866</f>
        <v>700.00000000000011</v>
      </c>
      <c r="R866" s="15">
        <v>7.0000000000000007E-2</v>
      </c>
      <c r="S866" s="149" t="s">
        <v>110</v>
      </c>
      <c r="T866" s="149"/>
      <c r="U866" s="109" t="s">
        <v>767</v>
      </c>
      <c r="V866" s="205" t="s">
        <v>121</v>
      </c>
      <c r="W866" s="205"/>
      <c r="AE866" s="2" t="e">
        <f>AD866*#REF!</f>
        <v>#REF!</v>
      </c>
      <c r="AF866" s="2" t="e">
        <f>Z866/Y866</f>
        <v>#DIV/0!</v>
      </c>
      <c r="AG866" s="2" t="e">
        <f>AA866/Z866</f>
        <v>#DIV/0!</v>
      </c>
      <c r="AH866" s="2" t="e">
        <f>AC866/AA866</f>
        <v>#DIV/0!</v>
      </c>
    </row>
    <row r="867" spans="1:34">
      <c r="A867" s="95" t="s">
        <v>447</v>
      </c>
      <c r="B867" s="95" t="s">
        <v>448</v>
      </c>
      <c r="C867" s="190">
        <v>46191</v>
      </c>
      <c r="D867" s="42">
        <v>0.375</v>
      </c>
      <c r="E867" s="193"/>
      <c r="F867" s="8" t="s">
        <v>423</v>
      </c>
      <c r="G867" s="2">
        <v>1</v>
      </c>
      <c r="H867" s="2">
        <v>9</v>
      </c>
      <c r="I867" s="126">
        <v>300</v>
      </c>
      <c r="J867" s="2" t="s">
        <v>766</v>
      </c>
      <c r="K867" s="109" t="s">
        <v>602</v>
      </c>
      <c r="L867" s="194">
        <v>20000</v>
      </c>
      <c r="M867" s="194">
        <v>15</v>
      </c>
      <c r="N867" s="39" t="s">
        <v>61</v>
      </c>
      <c r="O867" s="39" t="s">
        <v>49</v>
      </c>
      <c r="P867" s="131" t="s">
        <v>228</v>
      </c>
      <c r="Q867" s="19">
        <v>40</v>
      </c>
      <c r="R867" s="15">
        <f>Q867/I867</f>
        <v>0.13333333333333333</v>
      </c>
      <c r="S867" s="5">
        <f>($AC867*$AD867)/(($Z867/$Y867)+($AA867/$Z867)+($AB867/$AA867))</f>
        <v>23.333333333333332</v>
      </c>
      <c r="U867" s="109" t="s">
        <v>129</v>
      </c>
      <c r="V867" s="205" t="s">
        <v>741</v>
      </c>
      <c r="W867" s="116" t="s">
        <v>747</v>
      </c>
      <c r="Y867" s="2">
        <v>2</v>
      </c>
      <c r="Z867" s="2">
        <v>5</v>
      </c>
      <c r="AA867" s="2">
        <v>20</v>
      </c>
      <c r="AB867" s="2">
        <v>50</v>
      </c>
      <c r="AC867" s="2">
        <v>14</v>
      </c>
      <c r="AD867" s="2">
        <v>15</v>
      </c>
      <c r="AE867" s="2">
        <f>AC867*AD867</f>
        <v>210</v>
      </c>
      <c r="AF867" s="2">
        <f>Z867/Y867</f>
        <v>2.5</v>
      </c>
      <c r="AG867" s="2">
        <f>AA867/Z867</f>
        <v>4</v>
      </c>
      <c r="AH867" s="2">
        <f>AB867/AA867</f>
        <v>2.5</v>
      </c>
    </row>
    <row r="868" spans="1:34">
      <c r="A868" s="165" t="s">
        <v>1383</v>
      </c>
      <c r="B868" s="39" t="s">
        <v>63</v>
      </c>
      <c r="C868" s="41">
        <v>46191</v>
      </c>
      <c r="D868" s="144">
        <v>0.375</v>
      </c>
      <c r="E868" s="8"/>
      <c r="F868" s="8" t="s">
        <v>925</v>
      </c>
      <c r="G868" s="2">
        <v>1</v>
      </c>
      <c r="H868" s="2">
        <v>9</v>
      </c>
      <c r="I868" s="45">
        <v>250</v>
      </c>
      <c r="J868" s="2" t="s">
        <v>766</v>
      </c>
      <c r="K868" s="88" t="s">
        <v>772</v>
      </c>
      <c r="L868" s="92">
        <v>25000</v>
      </c>
      <c r="M868" s="205">
        <v>30</v>
      </c>
      <c r="N868" s="39" t="s">
        <v>823</v>
      </c>
      <c r="O868" s="39" t="s">
        <v>49</v>
      </c>
      <c r="P868" s="210"/>
      <c r="Q868" s="19">
        <v>50</v>
      </c>
      <c r="R868" s="15">
        <v>0.2</v>
      </c>
      <c r="S868" s="5">
        <v>44</v>
      </c>
      <c r="U868" s="109" t="s">
        <v>54</v>
      </c>
      <c r="V868" s="71" t="s">
        <v>360</v>
      </c>
      <c r="Y868" s="175"/>
      <c r="Z868" s="175"/>
      <c r="AA868" s="175"/>
      <c r="AB868" s="175"/>
      <c r="AC868" s="175"/>
      <c r="AD868" s="175"/>
      <c r="AE868" s="175"/>
      <c r="AF868" s="175"/>
      <c r="AG868" s="175"/>
      <c r="AH868" s="175"/>
    </row>
    <row r="869" spans="1:34">
      <c r="A869" s="96" t="s">
        <v>461</v>
      </c>
      <c r="B869" s="96" t="s">
        <v>462</v>
      </c>
      <c r="C869" s="41">
        <v>46191</v>
      </c>
      <c r="D869" s="42">
        <v>0.4236111111111111</v>
      </c>
      <c r="E869" s="193"/>
      <c r="F869" s="8" t="s">
        <v>457</v>
      </c>
      <c r="G869" s="2">
        <v>1</v>
      </c>
      <c r="I869" s="126">
        <v>120</v>
      </c>
      <c r="J869" s="2" t="s">
        <v>766</v>
      </c>
      <c r="K869" s="109" t="s">
        <v>602</v>
      </c>
      <c r="L869" s="194">
        <v>20000</v>
      </c>
      <c r="M869" s="202">
        <v>20</v>
      </c>
      <c r="N869" s="39" t="s">
        <v>48</v>
      </c>
      <c r="O869" s="39" t="s">
        <v>49</v>
      </c>
      <c r="P869" s="135" t="s">
        <v>832</v>
      </c>
      <c r="Q869" s="19">
        <v>24</v>
      </c>
      <c r="R869" s="15">
        <f>Q869/I869</f>
        <v>0.2</v>
      </c>
      <c r="S869" s="5">
        <f>($AC869*$AD869)/(($Z869/$Y869)+($AA869/$Z869)+($AB869/$AA869))</f>
        <v>25.161290322580644</v>
      </c>
      <c r="U869" s="109" t="s">
        <v>767</v>
      </c>
      <c r="V869" s="2" t="s">
        <v>735</v>
      </c>
      <c r="Y869" s="2">
        <v>2.5</v>
      </c>
      <c r="Z869" s="2">
        <v>7.5</v>
      </c>
      <c r="AA869" s="2">
        <v>30</v>
      </c>
      <c r="AB869" s="2">
        <v>100</v>
      </c>
      <c r="AC869" s="2">
        <v>13</v>
      </c>
      <c r="AD869" s="2">
        <v>20</v>
      </c>
      <c r="AE869" s="2">
        <f>AC869*AD869</f>
        <v>260</v>
      </c>
      <c r="AF869" s="2">
        <f>Z869/Y869</f>
        <v>3</v>
      </c>
      <c r="AG869" s="2">
        <f>AA869/Z869</f>
        <v>4</v>
      </c>
      <c r="AH869" s="2">
        <f>AB869/AA869</f>
        <v>3.3333333333333335</v>
      </c>
    </row>
    <row r="870" spans="1:34">
      <c r="A870" s="165" t="s">
        <v>1383</v>
      </c>
      <c r="B870" s="36" t="s">
        <v>63</v>
      </c>
      <c r="C870" s="41">
        <v>46191</v>
      </c>
      <c r="D870" s="144">
        <v>0.45833333333333331</v>
      </c>
      <c r="E870" s="14">
        <v>50</v>
      </c>
      <c r="F870" s="8" t="s">
        <v>1126</v>
      </c>
      <c r="G870" s="2">
        <v>5</v>
      </c>
      <c r="H870" s="2">
        <v>9</v>
      </c>
      <c r="I870" s="45">
        <v>1500</v>
      </c>
      <c r="J870" s="2" t="s">
        <v>761</v>
      </c>
      <c r="K870" s="109" t="s">
        <v>602</v>
      </c>
      <c r="L870" s="89">
        <v>25000</v>
      </c>
      <c r="M870" s="202">
        <v>60</v>
      </c>
      <c r="N870" s="39" t="s">
        <v>48</v>
      </c>
      <c r="O870" s="39" t="s">
        <v>49</v>
      </c>
      <c r="Q870" s="19">
        <f>R870*I870</f>
        <v>172.5</v>
      </c>
      <c r="R870" s="15">
        <v>0.115</v>
      </c>
      <c r="S870" s="5">
        <f>($AC870*$AD870)/(($Z870/$Y870)+($AA870/$Z870)+($AB870/$AA870))</f>
        <v>140.86956521739131</v>
      </c>
      <c r="U870" s="109" t="s">
        <v>767</v>
      </c>
      <c r="V870" s="205" t="s">
        <v>121</v>
      </c>
      <c r="W870" s="205"/>
      <c r="Y870" s="2">
        <v>1.5</v>
      </c>
      <c r="Z870" s="2">
        <v>4</v>
      </c>
      <c r="AA870" s="2">
        <v>10</v>
      </c>
      <c r="AB870" s="2">
        <v>25</v>
      </c>
      <c r="AC870" s="2">
        <v>18</v>
      </c>
      <c r="AD870" s="2">
        <v>60</v>
      </c>
      <c r="AE870" s="2">
        <f>AC870*AD870</f>
        <v>1080</v>
      </c>
      <c r="AF870" s="2">
        <f>Z870/Y870</f>
        <v>2.6666666666666665</v>
      </c>
      <c r="AG870" s="2">
        <f>AA870/Z870</f>
        <v>2.5</v>
      </c>
      <c r="AH870" s="2">
        <f>AB870/AA870</f>
        <v>2.5</v>
      </c>
    </row>
    <row r="871" spans="1:34">
      <c r="A871" s="165" t="s">
        <v>1383</v>
      </c>
      <c r="B871" s="36" t="s">
        <v>63</v>
      </c>
      <c r="C871" s="41">
        <v>46191</v>
      </c>
      <c r="D871" s="144">
        <v>0.45833333333333331</v>
      </c>
      <c r="E871" s="14">
        <v>46</v>
      </c>
      <c r="F871" s="8" t="s">
        <v>1369</v>
      </c>
      <c r="G871" s="2">
        <v>5</v>
      </c>
      <c r="H871" s="2">
        <v>9</v>
      </c>
      <c r="I871" s="45">
        <v>1000</v>
      </c>
      <c r="J871" s="2" t="s">
        <v>761</v>
      </c>
      <c r="K871" s="109" t="s">
        <v>602</v>
      </c>
      <c r="L871" s="92">
        <v>20000</v>
      </c>
      <c r="M871" s="69">
        <v>60</v>
      </c>
      <c r="N871" s="39" t="s">
        <v>48</v>
      </c>
      <c r="O871" s="39" t="s">
        <v>49</v>
      </c>
      <c r="P871" s="210"/>
      <c r="Q871" s="19">
        <f>R871*I871</f>
        <v>120</v>
      </c>
      <c r="R871" s="15">
        <v>0.12</v>
      </c>
      <c r="S871" s="5">
        <f>($AC871*$AD871)/(($Z871/$Y871)+($AA871/$Z871)+($AB871/$AA871))</f>
        <v>133.04347826086956</v>
      </c>
      <c r="U871" s="109" t="s">
        <v>54</v>
      </c>
      <c r="V871" s="2" t="s">
        <v>121</v>
      </c>
      <c r="Y871" s="2">
        <v>1.5</v>
      </c>
      <c r="Z871" s="2">
        <v>4</v>
      </c>
      <c r="AA871" s="2">
        <v>10</v>
      </c>
      <c r="AB871" s="2">
        <v>25</v>
      </c>
      <c r="AC871" s="2">
        <v>17</v>
      </c>
      <c r="AD871" s="2">
        <v>60</v>
      </c>
      <c r="AE871" s="2">
        <f>AC871*AD871</f>
        <v>1020</v>
      </c>
      <c r="AF871" s="2">
        <f>Z871/Y871</f>
        <v>2.6666666666666665</v>
      </c>
      <c r="AG871" s="2">
        <f>AA871/Z871</f>
        <v>2.5</v>
      </c>
      <c r="AH871" s="2">
        <f>AB871/AA871</f>
        <v>2.5</v>
      </c>
    </row>
    <row r="872" spans="1:34">
      <c r="A872" s="102" t="s">
        <v>475</v>
      </c>
      <c r="B872" s="102" t="s">
        <v>476</v>
      </c>
      <c r="C872" s="190">
        <v>46191</v>
      </c>
      <c r="D872" s="42">
        <v>0.45833333333333331</v>
      </c>
      <c r="E872" s="8" t="s">
        <v>508</v>
      </c>
      <c r="F872" s="8" t="s">
        <v>492</v>
      </c>
      <c r="G872" s="2">
        <v>2</v>
      </c>
      <c r="H872" s="2">
        <v>9</v>
      </c>
      <c r="I872" s="126">
        <v>400</v>
      </c>
      <c r="J872" s="2" t="s">
        <v>766</v>
      </c>
      <c r="K872" s="109" t="s">
        <v>601</v>
      </c>
      <c r="L872" s="201">
        <v>30000</v>
      </c>
      <c r="M872" s="203">
        <v>30</v>
      </c>
      <c r="N872" s="39" t="s">
        <v>48</v>
      </c>
      <c r="O872" s="39" t="s">
        <v>49</v>
      </c>
      <c r="P872" s="212" t="s">
        <v>838</v>
      </c>
      <c r="Q872" s="19">
        <v>70</v>
      </c>
      <c r="R872" s="15">
        <f>Q872/I872</f>
        <v>0.17499999999999999</v>
      </c>
      <c r="S872" s="5">
        <f>($AC872*$AD872)/(($Z872/$Y872)+($AA872/$Z872)+($AB872/$AA872))</f>
        <v>72.897196261682254</v>
      </c>
      <c r="U872" s="109" t="s">
        <v>767</v>
      </c>
      <c r="V872" s="2" t="s">
        <v>638</v>
      </c>
      <c r="Y872" s="2">
        <v>2</v>
      </c>
      <c r="Z872" s="2">
        <v>5</v>
      </c>
      <c r="AA872" s="2">
        <v>13</v>
      </c>
      <c r="AB872" s="2">
        <v>30</v>
      </c>
      <c r="AC872" s="2">
        <v>30</v>
      </c>
      <c r="AD872" s="2">
        <v>18</v>
      </c>
      <c r="AE872" s="2">
        <f>AC872*AD872</f>
        <v>540</v>
      </c>
      <c r="AF872" s="2">
        <f>Z872/Y872</f>
        <v>2.5</v>
      </c>
      <c r="AG872" s="2">
        <f>AA872/Z872</f>
        <v>2.6</v>
      </c>
      <c r="AH872" s="2">
        <f>AB872/AA872</f>
        <v>2.3076923076923075</v>
      </c>
    </row>
    <row r="873" spans="1:34">
      <c r="A873" s="52" t="s">
        <v>229</v>
      </c>
      <c r="B873" s="52" t="s">
        <v>230</v>
      </c>
      <c r="C873" s="190">
        <v>46191</v>
      </c>
      <c r="D873" s="42">
        <v>0.45833333333333331</v>
      </c>
      <c r="E873" s="193"/>
      <c r="F873" s="8" t="s">
        <v>249</v>
      </c>
      <c r="G873" s="2">
        <v>1</v>
      </c>
      <c r="I873" s="126">
        <v>300</v>
      </c>
      <c r="J873" s="2" t="s">
        <v>766</v>
      </c>
      <c r="K873" s="88" t="s">
        <v>788</v>
      </c>
      <c r="L873" s="91">
        <v>30000</v>
      </c>
      <c r="M873" s="194">
        <v>30</v>
      </c>
      <c r="N873" s="39" t="s">
        <v>48</v>
      </c>
      <c r="O873" s="39" t="s">
        <v>49</v>
      </c>
      <c r="P873" s="134" t="s">
        <v>835</v>
      </c>
      <c r="Q873" s="19">
        <v>45</v>
      </c>
      <c r="R873" s="15">
        <f>IF(Q873&gt;0,Q873/I873,"")</f>
        <v>0.15</v>
      </c>
      <c r="S873" s="5">
        <f>($AC873*$AD873)/(($Z873/$Y873)+($AA873/$Z873)+($AB873/$AA873))</f>
        <v>72.897196261682254</v>
      </c>
      <c r="U873" s="109" t="s">
        <v>767</v>
      </c>
      <c r="V873" s="205" t="s">
        <v>719</v>
      </c>
      <c r="W873" s="205"/>
      <c r="Y873" s="2">
        <v>2</v>
      </c>
      <c r="Z873" s="2">
        <v>5</v>
      </c>
      <c r="AA873" s="2">
        <v>13</v>
      </c>
      <c r="AB873" s="2">
        <v>30</v>
      </c>
      <c r="AC873" s="2">
        <v>18</v>
      </c>
      <c r="AD873" s="2">
        <v>30</v>
      </c>
      <c r="AE873" s="2">
        <f>AC873*AD873</f>
        <v>540</v>
      </c>
      <c r="AF873" s="2">
        <f>Z873/Y873</f>
        <v>2.5</v>
      </c>
      <c r="AG873" s="2">
        <f>AA873/Z873</f>
        <v>2.6</v>
      </c>
      <c r="AH873" s="2">
        <f>AB873/AA873</f>
        <v>2.3076923076923075</v>
      </c>
    </row>
    <row r="874" spans="1:34">
      <c r="A874" s="52" t="s">
        <v>220</v>
      </c>
      <c r="B874" s="52" t="s">
        <v>221</v>
      </c>
      <c r="C874" s="51">
        <v>46191</v>
      </c>
      <c r="D874" s="42">
        <v>0.45833333333333331</v>
      </c>
      <c r="E874" s="193"/>
      <c r="F874" s="8" t="s">
        <v>1078</v>
      </c>
      <c r="G874" s="2">
        <v>1</v>
      </c>
      <c r="H874" s="2">
        <v>9</v>
      </c>
      <c r="I874" s="126">
        <v>1100</v>
      </c>
      <c r="J874" s="2" t="s">
        <v>766</v>
      </c>
      <c r="K874" s="88" t="s">
        <v>774</v>
      </c>
      <c r="L874" s="91">
        <v>30000</v>
      </c>
      <c r="M874" s="64">
        <v>30</v>
      </c>
      <c r="N874" s="39" t="s">
        <v>48</v>
      </c>
      <c r="O874" s="39" t="s">
        <v>49</v>
      </c>
      <c r="P874" s="135" t="s">
        <v>841</v>
      </c>
      <c r="Q874" s="19">
        <v>125</v>
      </c>
      <c r="R874" s="15">
        <f>Q874/I874</f>
        <v>0.11363636363636363</v>
      </c>
      <c r="S874" s="5">
        <f>($AC874*$AD874)/(($Z874/$Y874)+($AA874/$Z874)+($AB874/$AA874))</f>
        <v>62.448979591836739</v>
      </c>
      <c r="U874" s="109" t="s">
        <v>54</v>
      </c>
      <c r="V874" s="205" t="s">
        <v>738</v>
      </c>
      <c r="W874" s="10"/>
      <c r="Y874" s="2">
        <v>2</v>
      </c>
      <c r="Z874" s="2">
        <v>5</v>
      </c>
      <c r="AA874" s="2">
        <v>15</v>
      </c>
      <c r="AB874" s="2">
        <v>40</v>
      </c>
      <c r="AC874" s="2">
        <v>17</v>
      </c>
      <c r="AD874" s="2">
        <v>30</v>
      </c>
      <c r="AE874" s="2">
        <f>AC874*AD874</f>
        <v>510</v>
      </c>
      <c r="AF874" s="2">
        <f>Z874/Y874</f>
        <v>2.5</v>
      </c>
      <c r="AG874" s="2">
        <f>AA874/Z874</f>
        <v>3</v>
      </c>
      <c r="AH874" s="2">
        <f>AB874/AA874</f>
        <v>2.6666666666666665</v>
      </c>
    </row>
    <row r="875" spans="1:34">
      <c r="A875" s="68" t="s">
        <v>357</v>
      </c>
      <c r="B875" s="68" t="s">
        <v>358</v>
      </c>
      <c r="C875" s="191">
        <v>46191</v>
      </c>
      <c r="D875" s="42">
        <v>0.46527777777777779</v>
      </c>
      <c r="E875" s="8">
        <v>56</v>
      </c>
      <c r="F875" s="63" t="s">
        <v>309</v>
      </c>
      <c r="G875" s="2">
        <v>1</v>
      </c>
      <c r="H875" s="2">
        <v>9</v>
      </c>
      <c r="I875" s="126">
        <v>1100</v>
      </c>
      <c r="J875" s="2" t="s">
        <v>766</v>
      </c>
      <c r="K875" s="137" t="s">
        <v>816</v>
      </c>
      <c r="L875" s="92">
        <v>40000</v>
      </c>
      <c r="M875" s="69">
        <v>30</v>
      </c>
      <c r="N875" s="39" t="s">
        <v>48</v>
      </c>
      <c r="O875" s="39" t="s">
        <v>49</v>
      </c>
      <c r="P875" s="135" t="s">
        <v>840</v>
      </c>
      <c r="Q875" s="19">
        <v>135</v>
      </c>
      <c r="R875" s="15">
        <f>Q875/I875</f>
        <v>0.12272727272727273</v>
      </c>
      <c r="S875" s="5">
        <f>($AC875*$AD875)/(($Z875/$Y875)+($AA875/$Z875)+($AB875/$AA875))</f>
        <v>71.293161814488826</v>
      </c>
      <c r="U875" s="109" t="s">
        <v>767</v>
      </c>
      <c r="V875" s="205" t="s">
        <v>675</v>
      </c>
      <c r="W875" s="205"/>
      <c r="Y875" s="2">
        <v>2.5</v>
      </c>
      <c r="Z875" s="2">
        <v>6.5</v>
      </c>
      <c r="AA875" s="2">
        <v>15</v>
      </c>
      <c r="AB875" s="2">
        <v>40</v>
      </c>
      <c r="AC875" s="2">
        <v>30</v>
      </c>
      <c r="AD875" s="2">
        <v>18</v>
      </c>
      <c r="AE875" s="2">
        <f>AC875*AD875</f>
        <v>540</v>
      </c>
      <c r="AF875" s="2">
        <f>Z875/Y875</f>
        <v>2.6</v>
      </c>
      <c r="AG875" s="2">
        <f>AA875/Z875</f>
        <v>2.3076923076923075</v>
      </c>
      <c r="AH875" s="2">
        <f>AB875/AA875</f>
        <v>2.6666666666666665</v>
      </c>
    </row>
    <row r="876" spans="1:34">
      <c r="A876" s="103" t="s">
        <v>539</v>
      </c>
      <c r="B876" s="103" t="s">
        <v>540</v>
      </c>
      <c r="C876" s="191">
        <v>46191</v>
      </c>
      <c r="D876" s="42">
        <v>0.46875</v>
      </c>
      <c r="E876" s="8">
        <v>54</v>
      </c>
      <c r="F876" s="63" t="s">
        <v>565</v>
      </c>
      <c r="G876" s="2">
        <v>2</v>
      </c>
      <c r="H876" s="2">
        <v>9</v>
      </c>
      <c r="I876" s="126">
        <v>720</v>
      </c>
      <c r="J876" s="179" t="s">
        <v>766</v>
      </c>
      <c r="K876" s="179" t="s">
        <v>598</v>
      </c>
      <c r="L876" s="92">
        <v>30000</v>
      </c>
      <c r="M876" s="69">
        <v>40</v>
      </c>
      <c r="N876" s="39" t="s">
        <v>48</v>
      </c>
      <c r="O876" s="39" t="s">
        <v>49</v>
      </c>
      <c r="P876" s="131"/>
      <c r="Q876" s="19">
        <v>101</v>
      </c>
      <c r="R876" s="15">
        <f>Q876/I876</f>
        <v>0.14027777777777778</v>
      </c>
      <c r="S876" s="5">
        <f>($AC876*$AD876)/(($Z876/$Y876)+($AA876/$Z876)+($AB876/$AA876))</f>
        <v>88.163265306122454</v>
      </c>
      <c r="U876" s="109" t="s">
        <v>767</v>
      </c>
      <c r="V876" s="71" t="s">
        <v>1395</v>
      </c>
      <c r="W876" s="8" t="s">
        <v>1393</v>
      </c>
      <c r="Y876" s="2">
        <v>1.5</v>
      </c>
      <c r="Z876" s="2">
        <v>4</v>
      </c>
      <c r="AA876" s="2">
        <v>10</v>
      </c>
      <c r="AB876" s="2">
        <v>30</v>
      </c>
      <c r="AC876" s="2">
        <v>18</v>
      </c>
      <c r="AD876" s="2">
        <v>40</v>
      </c>
      <c r="AE876" s="2">
        <f>AC876*AD876</f>
        <v>720</v>
      </c>
      <c r="AF876" s="2">
        <f>Z876/Y876</f>
        <v>2.6666666666666665</v>
      </c>
      <c r="AG876" s="2">
        <f>AA876/Z876</f>
        <v>2.5</v>
      </c>
      <c r="AH876" s="2">
        <f>AC876/AA876</f>
        <v>1.8</v>
      </c>
    </row>
    <row r="877" spans="1:34">
      <c r="A877" s="95" t="s">
        <v>447</v>
      </c>
      <c r="B877" s="95" t="s">
        <v>448</v>
      </c>
      <c r="C877" s="190">
        <v>46191</v>
      </c>
      <c r="D877" s="42">
        <v>0.5</v>
      </c>
      <c r="E877" s="193"/>
      <c r="F877" s="8" t="s">
        <v>439</v>
      </c>
      <c r="G877" s="2">
        <v>2</v>
      </c>
      <c r="H877" s="2">
        <v>9</v>
      </c>
      <c r="I877" s="126">
        <v>2200</v>
      </c>
      <c r="J877" s="2" t="s">
        <v>766</v>
      </c>
      <c r="K877" s="109" t="s">
        <v>598</v>
      </c>
      <c r="L877" s="194">
        <v>40000</v>
      </c>
      <c r="M877" s="8">
        <v>40</v>
      </c>
      <c r="N877" s="39" t="s">
        <v>48</v>
      </c>
      <c r="O877" s="39" t="s">
        <v>49</v>
      </c>
      <c r="P877" s="135" t="s">
        <v>848</v>
      </c>
      <c r="Q877" s="19">
        <v>200</v>
      </c>
      <c r="R877" s="15">
        <f>Q877/I877</f>
        <v>9.0909090909090912E-2</v>
      </c>
      <c r="S877" s="5">
        <f>($AC877*$AD877)/(($Z877/$Y877)+($AA877/$Z877)+($AB877/$AA877))</f>
        <v>102.59605399792316</v>
      </c>
      <c r="U877" s="109" t="s">
        <v>55</v>
      </c>
      <c r="V877" s="2" t="s">
        <v>741</v>
      </c>
      <c r="W877" s="205"/>
      <c r="Y877" s="2">
        <v>2</v>
      </c>
      <c r="Z877" s="2">
        <v>5</v>
      </c>
      <c r="AA877" s="2">
        <v>13</v>
      </c>
      <c r="AB877" s="2">
        <v>30</v>
      </c>
      <c r="AC877" s="2">
        <v>19</v>
      </c>
      <c r="AD877" s="2">
        <v>40</v>
      </c>
      <c r="AE877" s="2">
        <f>AC877*AD877</f>
        <v>760</v>
      </c>
      <c r="AF877" s="2">
        <f>Z877/Y877</f>
        <v>2.5</v>
      </c>
      <c r="AG877" s="2">
        <f>AA877/Z877</f>
        <v>2.6</v>
      </c>
      <c r="AH877" s="2">
        <f>AB877/AA877</f>
        <v>2.3076923076923075</v>
      </c>
    </row>
    <row r="878" spans="1:34">
      <c r="A878" s="52" t="s">
        <v>229</v>
      </c>
      <c r="B878" s="52" t="s">
        <v>230</v>
      </c>
      <c r="C878" s="190">
        <v>46191</v>
      </c>
      <c r="D878" s="42">
        <v>0.5</v>
      </c>
      <c r="F878" s="8" t="s">
        <v>267</v>
      </c>
      <c r="G878" s="2">
        <v>1</v>
      </c>
      <c r="I878" s="126">
        <v>400</v>
      </c>
      <c r="J878" s="2" t="s">
        <v>766</v>
      </c>
      <c r="K878" s="88" t="s">
        <v>788</v>
      </c>
      <c r="L878" s="91">
        <v>35000</v>
      </c>
      <c r="M878" s="194">
        <v>30</v>
      </c>
      <c r="N878" s="39" t="s">
        <v>48</v>
      </c>
      <c r="O878" s="39" t="s">
        <v>451</v>
      </c>
      <c r="P878" s="19">
        <v>50000</v>
      </c>
      <c r="Q878" s="2">
        <v>60</v>
      </c>
      <c r="R878" s="15">
        <f>IF(Q878&gt;0,Q878/I878,"")</f>
        <v>0.15</v>
      </c>
      <c r="S878" s="149" t="s">
        <v>110</v>
      </c>
      <c r="T878" s="149"/>
      <c r="U878" s="109" t="s">
        <v>767</v>
      </c>
      <c r="V878" s="205" t="s">
        <v>719</v>
      </c>
      <c r="W878" s="205"/>
      <c r="AE878" s="2">
        <f>AC878*AD878</f>
        <v>0</v>
      </c>
      <c r="AF878" s="2" t="e">
        <f>Z878/Y878</f>
        <v>#DIV/0!</v>
      </c>
      <c r="AG878" s="2" t="e">
        <f>AA878/Z878</f>
        <v>#DIV/0!</v>
      </c>
      <c r="AH878" s="2" t="e">
        <f>AB878/AA878</f>
        <v>#DIV/0!</v>
      </c>
    </row>
    <row r="879" spans="1:34">
      <c r="A879" s="103" t="s">
        <v>539</v>
      </c>
      <c r="B879" s="103" t="s">
        <v>540</v>
      </c>
      <c r="C879" s="191">
        <v>46191</v>
      </c>
      <c r="D879" s="42">
        <v>0.51041666666666663</v>
      </c>
      <c r="E879" s="46">
        <v>48</v>
      </c>
      <c r="F879" s="63" t="s">
        <v>1340</v>
      </c>
      <c r="G879" s="2">
        <v>2</v>
      </c>
      <c r="H879" s="2">
        <v>9</v>
      </c>
      <c r="I879" s="126">
        <v>420</v>
      </c>
      <c r="J879" s="179" t="s">
        <v>766</v>
      </c>
      <c r="K879" s="179" t="s">
        <v>602</v>
      </c>
      <c r="L879" s="92">
        <v>30000</v>
      </c>
      <c r="M879" s="181" t="s">
        <v>22</v>
      </c>
      <c r="N879" s="39" t="s">
        <v>48</v>
      </c>
      <c r="O879" s="39" t="s">
        <v>49</v>
      </c>
      <c r="P879" s="131"/>
      <c r="Q879" s="19">
        <v>75</v>
      </c>
      <c r="R879" s="15">
        <f>Q879/I879</f>
        <v>0.17857142857142858</v>
      </c>
      <c r="S879" s="5">
        <f>($AC879*$AD879)/(($Z879/$Y879)+($AA879/$Z879)+($AB879/$AA879))</f>
        <v>60.982874162323164</v>
      </c>
      <c r="U879" s="109" t="s">
        <v>767</v>
      </c>
      <c r="V879" s="71" t="s">
        <v>1395</v>
      </c>
      <c r="W879" s="8" t="s">
        <v>1392</v>
      </c>
      <c r="Y879" s="2">
        <v>1.5</v>
      </c>
      <c r="Z879" s="2">
        <v>4</v>
      </c>
      <c r="AA879" s="2">
        <v>13</v>
      </c>
      <c r="AB879" s="2">
        <v>35</v>
      </c>
      <c r="AC879" s="2">
        <v>17.5</v>
      </c>
      <c r="AD879" s="2">
        <v>30</v>
      </c>
      <c r="AE879" s="2">
        <f>AC879*AD879</f>
        <v>525</v>
      </c>
      <c r="AF879" s="2">
        <f>Z879/Y879</f>
        <v>2.6666666666666665</v>
      </c>
      <c r="AG879" s="2">
        <f>AA879/Z879</f>
        <v>3.25</v>
      </c>
      <c r="AH879" s="2">
        <f>AC879/AA879</f>
        <v>1.3461538461538463</v>
      </c>
    </row>
    <row r="880" spans="1:34">
      <c r="A880" s="103" t="s">
        <v>539</v>
      </c>
      <c r="B880" s="103" t="s">
        <v>540</v>
      </c>
      <c r="C880" s="191">
        <v>46191</v>
      </c>
      <c r="D880" s="42">
        <v>0.54166666666666663</v>
      </c>
      <c r="E880" s="46">
        <v>56</v>
      </c>
      <c r="F880" s="63" t="s">
        <v>542</v>
      </c>
      <c r="G880" s="2">
        <v>1</v>
      </c>
      <c r="H880" s="2">
        <v>9</v>
      </c>
      <c r="I880" s="151">
        <v>200</v>
      </c>
      <c r="J880" s="179" t="s">
        <v>766</v>
      </c>
      <c r="K880" s="179" t="s">
        <v>815</v>
      </c>
      <c r="L880" s="160">
        <v>30000</v>
      </c>
      <c r="M880" s="69">
        <v>30</v>
      </c>
      <c r="N880" s="39" t="s">
        <v>48</v>
      </c>
      <c r="O880" s="39" t="s">
        <v>49</v>
      </c>
      <c r="P880" s="212" t="s">
        <v>834</v>
      </c>
      <c r="Q880" s="19">
        <v>44</v>
      </c>
      <c r="R880" s="59">
        <f>Q880/I880</f>
        <v>0.22</v>
      </c>
      <c r="S880" s="5">
        <f>($AC880*$AD880)/(($Z880/$Y880)+($AA880/$Z880)+($AB880/$AA880))</f>
        <v>53.333333333333336</v>
      </c>
      <c r="U880" s="109" t="s">
        <v>767</v>
      </c>
      <c r="V880" s="71" t="s">
        <v>1395</v>
      </c>
      <c r="W880" s="205"/>
      <c r="Y880" s="2">
        <v>2</v>
      </c>
      <c r="Z880" s="2">
        <v>5</v>
      </c>
      <c r="AA880" s="2">
        <v>20</v>
      </c>
      <c r="AB880" s="2">
        <v>50</v>
      </c>
      <c r="AC880" s="2">
        <v>16</v>
      </c>
      <c r="AD880" s="2">
        <v>30</v>
      </c>
      <c r="AE880" s="2">
        <f>AC880*AD880</f>
        <v>480</v>
      </c>
      <c r="AF880" s="2">
        <f>Z880/Y880</f>
        <v>2.5</v>
      </c>
      <c r="AG880" s="2">
        <f>AA880/Z880</f>
        <v>4</v>
      </c>
      <c r="AH880" s="2">
        <f>AB880/AA880</f>
        <v>2.5</v>
      </c>
    </row>
    <row r="881" spans="1:34">
      <c r="A881" s="165" t="s">
        <v>1383</v>
      </c>
      <c r="B881" s="36" t="s">
        <v>63</v>
      </c>
      <c r="C881" s="41">
        <v>46191</v>
      </c>
      <c r="D881" s="144">
        <v>0.54166666666666663</v>
      </c>
      <c r="E881" s="8">
        <v>52</v>
      </c>
      <c r="F881" s="8" t="s">
        <v>1175</v>
      </c>
      <c r="G881" s="2">
        <v>3</v>
      </c>
      <c r="H881" s="2">
        <v>7</v>
      </c>
      <c r="I881" s="45">
        <v>3000</v>
      </c>
      <c r="J881" s="2" t="s">
        <v>760</v>
      </c>
      <c r="K881" s="109" t="s">
        <v>815</v>
      </c>
      <c r="L881" s="92">
        <v>40000</v>
      </c>
      <c r="M881" s="69" t="s">
        <v>97</v>
      </c>
      <c r="N881" s="39" t="s">
        <v>48</v>
      </c>
      <c r="O881" s="39" t="s">
        <v>863</v>
      </c>
      <c r="P881" s="19"/>
      <c r="Q881" s="38">
        <f>R881*I881</f>
        <v>330</v>
      </c>
      <c r="R881" s="15">
        <v>0.11</v>
      </c>
      <c r="S881" s="149" t="s">
        <v>110</v>
      </c>
      <c r="T881" s="149"/>
      <c r="U881" s="109" t="s">
        <v>767</v>
      </c>
      <c r="V881" s="2" t="s">
        <v>121</v>
      </c>
      <c r="W881" s="205"/>
      <c r="AE881" s="2" t="e">
        <f>AD881*#REF!</f>
        <v>#REF!</v>
      </c>
      <c r="AF881" s="2" t="e">
        <f>Z881/Y881</f>
        <v>#DIV/0!</v>
      </c>
      <c r="AG881" s="2" t="e">
        <f>AA881/Z881</f>
        <v>#DIV/0!</v>
      </c>
      <c r="AH881" s="2" t="e">
        <f>AC881/AA881</f>
        <v>#DIV/0!</v>
      </c>
    </row>
    <row r="882" spans="1:34">
      <c r="A882" s="165" t="s">
        <v>1383</v>
      </c>
      <c r="B882" s="39" t="s">
        <v>63</v>
      </c>
      <c r="C882" s="41">
        <v>46191</v>
      </c>
      <c r="D882" s="144">
        <v>0.54166666666666663</v>
      </c>
      <c r="E882" s="8"/>
      <c r="F882" s="8" t="s">
        <v>881</v>
      </c>
      <c r="G882" s="2">
        <v>1</v>
      </c>
      <c r="H882" s="2">
        <v>9</v>
      </c>
      <c r="I882" s="45">
        <v>250</v>
      </c>
      <c r="J882" s="2" t="s">
        <v>766</v>
      </c>
      <c r="K882" s="88" t="s">
        <v>787</v>
      </c>
      <c r="L882" s="92">
        <v>25000</v>
      </c>
      <c r="M882" s="10">
        <v>30</v>
      </c>
      <c r="N882" s="39" t="s">
        <v>817</v>
      </c>
      <c r="O882" s="39" t="s">
        <v>49</v>
      </c>
      <c r="P882" s="210"/>
      <c r="Q882" s="19">
        <v>50</v>
      </c>
      <c r="R882" s="15">
        <f>Q882/I882</f>
        <v>0.2</v>
      </c>
      <c r="S882" s="5">
        <v>44</v>
      </c>
      <c r="U882" s="109" t="s">
        <v>767</v>
      </c>
      <c r="V882" s="71" t="s">
        <v>360</v>
      </c>
      <c r="W882" s="205"/>
      <c r="Y882" s="175"/>
      <c r="Z882" s="175"/>
      <c r="AA882" s="175"/>
      <c r="AB882" s="175"/>
      <c r="AC882" s="175"/>
      <c r="AD882" s="175"/>
      <c r="AE882" s="175"/>
      <c r="AF882" s="175"/>
      <c r="AG882" s="175"/>
      <c r="AH882" s="175"/>
    </row>
    <row r="883" spans="1:34">
      <c r="A883" s="52" t="s">
        <v>220</v>
      </c>
      <c r="B883" s="52" t="s">
        <v>221</v>
      </c>
      <c r="C883" s="191">
        <v>46191</v>
      </c>
      <c r="D883" s="42">
        <v>0.54166666666666663</v>
      </c>
      <c r="E883" s="193"/>
      <c r="F883" s="8" t="s">
        <v>1299</v>
      </c>
      <c r="G883" s="2">
        <v>2</v>
      </c>
      <c r="H883" s="2">
        <v>9</v>
      </c>
      <c r="I883" s="126">
        <v>2200</v>
      </c>
      <c r="J883" s="2" t="s">
        <v>766</v>
      </c>
      <c r="K883" s="109" t="s">
        <v>767</v>
      </c>
      <c r="L883" s="91">
        <v>40000</v>
      </c>
      <c r="M883" s="64">
        <v>40</v>
      </c>
      <c r="N883" s="39" t="s">
        <v>48</v>
      </c>
      <c r="O883" s="39" t="s">
        <v>49</v>
      </c>
      <c r="P883" s="135" t="s">
        <v>846</v>
      </c>
      <c r="Q883" s="19">
        <v>215</v>
      </c>
      <c r="R883" s="15">
        <f>Q883/I883</f>
        <v>9.7727272727272732E-2</v>
      </c>
      <c r="S883" s="5">
        <f>($AC883*$AD883)/(($Z883/$Y883)+($AA883/$Z883)+($AB883/$AA883))</f>
        <v>101.33333333333333</v>
      </c>
      <c r="U883" s="109" t="s">
        <v>219</v>
      </c>
      <c r="V883" s="2" t="s">
        <v>738</v>
      </c>
      <c r="Y883" s="2">
        <v>2</v>
      </c>
      <c r="Z883" s="2">
        <v>5</v>
      </c>
      <c r="AA883" s="2">
        <v>15</v>
      </c>
      <c r="AB883" s="2">
        <v>30</v>
      </c>
      <c r="AC883" s="2">
        <v>19</v>
      </c>
      <c r="AD883" s="2">
        <v>40</v>
      </c>
      <c r="AE883" s="2">
        <f>AC883*AD883</f>
        <v>760</v>
      </c>
      <c r="AF883" s="2">
        <f>Z883/Y883</f>
        <v>2.5</v>
      </c>
      <c r="AG883" s="2">
        <f>AA883/Z883</f>
        <v>3</v>
      </c>
      <c r="AH883" s="2">
        <f>AB883/AA883</f>
        <v>2</v>
      </c>
    </row>
    <row r="884" spans="1:34">
      <c r="A884" s="52" t="s">
        <v>220</v>
      </c>
      <c r="B884" s="52" t="s">
        <v>221</v>
      </c>
      <c r="C884" s="51">
        <v>46191</v>
      </c>
      <c r="D884" s="42">
        <v>0.58333333333333337</v>
      </c>
      <c r="E884" s="193"/>
      <c r="F884" s="194" t="s">
        <v>1079</v>
      </c>
      <c r="G884" s="2">
        <v>1</v>
      </c>
      <c r="H884" s="2">
        <v>8</v>
      </c>
      <c r="I884" s="126">
        <v>3000</v>
      </c>
      <c r="J884" s="2" t="s">
        <v>766</v>
      </c>
      <c r="K884" s="88" t="s">
        <v>791</v>
      </c>
      <c r="L884" s="91">
        <v>30000</v>
      </c>
      <c r="M884" s="203">
        <v>30</v>
      </c>
      <c r="N884" s="39" t="s">
        <v>48</v>
      </c>
      <c r="O884" s="39" t="s">
        <v>49</v>
      </c>
      <c r="P884" s="135" t="s">
        <v>842</v>
      </c>
      <c r="Q884" s="19">
        <v>270</v>
      </c>
      <c r="R884" s="15">
        <f>Q884/I884</f>
        <v>0.09</v>
      </c>
      <c r="S884" s="5">
        <f>($AC884*$AD884)/(($Z884/$Y884)+($AA884/$Z884)+($AB884/$AA884))</f>
        <v>62.448979591836739</v>
      </c>
      <c r="U884" s="109" t="s">
        <v>767</v>
      </c>
      <c r="V884" s="2" t="s">
        <v>738</v>
      </c>
      <c r="Y884" s="2">
        <v>2</v>
      </c>
      <c r="Z884" s="2">
        <v>5</v>
      </c>
      <c r="AA884" s="2">
        <v>15</v>
      </c>
      <c r="AB884" s="2">
        <v>40</v>
      </c>
      <c r="AC884" s="2">
        <v>17</v>
      </c>
      <c r="AD884" s="2">
        <v>30</v>
      </c>
      <c r="AE884" s="2">
        <f>AC884*AD884</f>
        <v>510</v>
      </c>
      <c r="AF884" s="2">
        <f>Z884/Y884</f>
        <v>2.5</v>
      </c>
      <c r="AG884" s="2">
        <f>AA884/Z884</f>
        <v>3</v>
      </c>
      <c r="AH884" s="2">
        <f>AB884/AA884</f>
        <v>2.6666666666666665</v>
      </c>
    </row>
    <row r="885" spans="1:34">
      <c r="A885" s="96" t="s">
        <v>461</v>
      </c>
      <c r="B885" s="96" t="s">
        <v>462</v>
      </c>
      <c r="C885" s="41">
        <v>46191</v>
      </c>
      <c r="D885" s="42">
        <v>0.59027777777777779</v>
      </c>
      <c r="E885" s="193"/>
      <c r="F885" s="8" t="s">
        <v>1334</v>
      </c>
      <c r="G885" s="2">
        <v>2</v>
      </c>
      <c r="I885" s="126">
        <v>300</v>
      </c>
      <c r="J885" s="2" t="s">
        <v>766</v>
      </c>
      <c r="K885" s="109" t="s">
        <v>598</v>
      </c>
      <c r="L885" s="194">
        <v>30000</v>
      </c>
      <c r="M885" s="69">
        <v>30</v>
      </c>
      <c r="N885" s="39" t="s">
        <v>48</v>
      </c>
      <c r="O885" s="39" t="s">
        <v>49</v>
      </c>
      <c r="P885" s="135" t="s">
        <v>842</v>
      </c>
      <c r="Q885" s="19">
        <v>65</v>
      </c>
      <c r="R885" s="15">
        <f>Q885/I885</f>
        <v>0.21666666666666667</v>
      </c>
      <c r="S885" s="5">
        <f>($AC885*$AD885)/(($Z885/$Y885)+($AA885/$Z885)+($AB885/$AA885))</f>
        <v>53.333333333333336</v>
      </c>
      <c r="U885" s="109" t="s">
        <v>767</v>
      </c>
      <c r="V885" s="205" t="s">
        <v>735</v>
      </c>
      <c r="W885" s="205"/>
      <c r="Y885" s="2">
        <v>2</v>
      </c>
      <c r="Z885" s="2">
        <v>5</v>
      </c>
      <c r="AA885" s="2">
        <v>20</v>
      </c>
      <c r="AB885" s="2">
        <v>50</v>
      </c>
      <c r="AC885" s="2">
        <v>16</v>
      </c>
      <c r="AD885" s="2">
        <v>30</v>
      </c>
      <c r="AE885" s="2">
        <f>AC885*AD885</f>
        <v>480</v>
      </c>
      <c r="AF885" s="2">
        <f>Z885/Y885</f>
        <v>2.5</v>
      </c>
      <c r="AG885" s="2">
        <f>AA885/Z885</f>
        <v>4</v>
      </c>
      <c r="AH885" s="2">
        <f>AB885/AA885</f>
        <v>2.5</v>
      </c>
    </row>
    <row r="886" spans="1:34">
      <c r="A886" s="165" t="s">
        <v>1383</v>
      </c>
      <c r="B886" s="39" t="s">
        <v>63</v>
      </c>
      <c r="C886" s="41">
        <v>46191</v>
      </c>
      <c r="D886" s="144">
        <v>0.625</v>
      </c>
      <c r="F886" s="8" t="s">
        <v>912</v>
      </c>
      <c r="G886" s="2">
        <v>1</v>
      </c>
      <c r="H886" s="2">
        <v>9</v>
      </c>
      <c r="I886" s="45">
        <v>240</v>
      </c>
      <c r="J886" s="2" t="s">
        <v>766</v>
      </c>
      <c r="K886" s="88" t="s">
        <v>784</v>
      </c>
      <c r="L886" s="92">
        <v>10000</v>
      </c>
      <c r="M886" s="69">
        <v>20</v>
      </c>
      <c r="N886" s="132" t="s">
        <v>821</v>
      </c>
      <c r="O886" s="39" t="s">
        <v>49</v>
      </c>
      <c r="P886" s="210"/>
      <c r="Q886" s="19">
        <v>40</v>
      </c>
      <c r="R886" s="15">
        <v>0.16666666666666666</v>
      </c>
      <c r="S886" s="5">
        <v>29</v>
      </c>
      <c r="U886" s="109" t="s">
        <v>767</v>
      </c>
      <c r="V886" s="71" t="s">
        <v>362</v>
      </c>
      <c r="W886" s="8" t="s">
        <v>367</v>
      </c>
      <c r="Y886" s="175"/>
      <c r="Z886" s="175"/>
      <c r="AA886" s="175"/>
      <c r="AB886" s="175"/>
      <c r="AC886" s="175"/>
      <c r="AD886" s="175"/>
      <c r="AE886" s="175"/>
      <c r="AF886" s="175"/>
      <c r="AG886" s="175"/>
      <c r="AH886" s="175"/>
    </row>
    <row r="887" spans="1:34">
      <c r="A887" s="165" t="s">
        <v>1383</v>
      </c>
      <c r="B887" s="39" t="s">
        <v>63</v>
      </c>
      <c r="C887" s="47">
        <v>46191</v>
      </c>
      <c r="D887" s="144">
        <v>0.625</v>
      </c>
      <c r="E887" s="193"/>
      <c r="F887" s="8" t="s">
        <v>1026</v>
      </c>
      <c r="G887" s="2">
        <v>1</v>
      </c>
      <c r="I887" s="126">
        <v>625</v>
      </c>
      <c r="J887" s="2" t="s">
        <v>766</v>
      </c>
      <c r="K887" s="88" t="s">
        <v>782</v>
      </c>
      <c r="L887" s="91">
        <v>10000</v>
      </c>
      <c r="M887" s="8">
        <v>15</v>
      </c>
      <c r="N887" s="132" t="s">
        <v>821</v>
      </c>
      <c r="O887" s="39" t="s">
        <v>57</v>
      </c>
      <c r="P887" s="19"/>
      <c r="Q887" s="2">
        <v>95</v>
      </c>
      <c r="R887" s="15">
        <f>Q887/I887</f>
        <v>0.152</v>
      </c>
      <c r="S887" s="149" t="s">
        <v>110</v>
      </c>
      <c r="T887" s="149"/>
      <c r="U887" s="109" t="s">
        <v>767</v>
      </c>
      <c r="V887" s="71" t="s">
        <v>362</v>
      </c>
      <c r="W887" s="8" t="s">
        <v>148</v>
      </c>
      <c r="AE887" s="2" t="e">
        <f>AD887*#REF!</f>
        <v>#REF!</v>
      </c>
      <c r="AF887" s="2" t="e">
        <f>Z887/Y887</f>
        <v>#DIV/0!</v>
      </c>
      <c r="AG887" s="2" t="e">
        <f>AA887/Z887</f>
        <v>#DIV/0!</v>
      </c>
      <c r="AH887" s="2" t="e">
        <f>AC887/AA887</f>
        <v>#DIV/0!</v>
      </c>
    </row>
    <row r="888" spans="1:34">
      <c r="A888" s="165" t="s">
        <v>1383</v>
      </c>
      <c r="B888" s="39" t="s">
        <v>63</v>
      </c>
      <c r="C888" s="41">
        <v>46191</v>
      </c>
      <c r="D888" s="144">
        <v>0.66666666666666663</v>
      </c>
      <c r="E888" s="8"/>
      <c r="F888" s="194" t="s">
        <v>1024</v>
      </c>
      <c r="G888" s="2">
        <v>1</v>
      </c>
      <c r="H888" s="2">
        <v>9</v>
      </c>
      <c r="I888" s="45">
        <v>400</v>
      </c>
      <c r="J888" s="2" t="s">
        <v>766</v>
      </c>
      <c r="K888" s="88" t="s">
        <v>794</v>
      </c>
      <c r="L888" s="92">
        <v>30000</v>
      </c>
      <c r="M888" s="10">
        <v>20</v>
      </c>
      <c r="N888" s="39" t="s">
        <v>817</v>
      </c>
      <c r="O888" s="39" t="s">
        <v>49</v>
      </c>
      <c r="P888" s="210"/>
      <c r="Q888" s="19">
        <v>70</v>
      </c>
      <c r="R888" s="15">
        <f>Q888/I888</f>
        <v>0.17499999999999999</v>
      </c>
      <c r="S888" s="5">
        <v>37</v>
      </c>
      <c r="U888" s="109" t="s">
        <v>129</v>
      </c>
      <c r="V888" s="71" t="s">
        <v>360</v>
      </c>
      <c r="Y888" s="175"/>
      <c r="Z888" s="175"/>
      <c r="AA888" s="175"/>
      <c r="AB888" s="175"/>
      <c r="AC888" s="175"/>
      <c r="AD888" s="175"/>
      <c r="AE888" s="175"/>
      <c r="AF888" s="175"/>
      <c r="AG888" s="175"/>
      <c r="AH888" s="175"/>
    </row>
    <row r="889" spans="1:34">
      <c r="A889" s="52" t="s">
        <v>229</v>
      </c>
      <c r="B889" s="52" t="s">
        <v>230</v>
      </c>
      <c r="C889" s="190">
        <v>46191</v>
      </c>
      <c r="D889" s="42">
        <v>0.66666666666666663</v>
      </c>
      <c r="E889" s="193"/>
      <c r="F889" s="194" t="s">
        <v>268</v>
      </c>
      <c r="G889" s="2">
        <v>1</v>
      </c>
      <c r="I889" s="126">
        <v>240</v>
      </c>
      <c r="J889" s="2" t="s">
        <v>766</v>
      </c>
      <c r="K889" s="88" t="s">
        <v>795</v>
      </c>
      <c r="L889" s="91">
        <v>30000</v>
      </c>
      <c r="M889" s="194">
        <v>20</v>
      </c>
      <c r="N889" s="39" t="s">
        <v>48</v>
      </c>
      <c r="O889" s="39" t="s">
        <v>862</v>
      </c>
      <c r="P889" s="19">
        <v>10000</v>
      </c>
      <c r="Q889" s="2">
        <v>40</v>
      </c>
      <c r="R889" s="15">
        <f>IF(Q889&gt;0,Q889/I889,"")</f>
        <v>0.16666666666666666</v>
      </c>
      <c r="S889" s="149" t="s">
        <v>110</v>
      </c>
      <c r="T889" s="149"/>
      <c r="U889" s="109" t="s">
        <v>767</v>
      </c>
      <c r="V889" s="205" t="s">
        <v>719</v>
      </c>
      <c r="W889" s="205"/>
      <c r="AE889" s="2">
        <f>AC889*AD889</f>
        <v>0</v>
      </c>
      <c r="AF889" s="2" t="e">
        <f>Z889/Y889</f>
        <v>#DIV/0!</v>
      </c>
      <c r="AG889" s="2" t="e">
        <f>AA889/Z889</f>
        <v>#DIV/0!</v>
      </c>
      <c r="AH889" s="2" t="e">
        <f>AB889/AA889</f>
        <v>#DIV/0!</v>
      </c>
    </row>
    <row r="890" spans="1:34">
      <c r="A890" s="103" t="s">
        <v>539</v>
      </c>
      <c r="B890" s="103" t="s">
        <v>540</v>
      </c>
      <c r="C890" s="191">
        <v>46191</v>
      </c>
      <c r="D890" s="42">
        <v>0.67708333333333337</v>
      </c>
      <c r="E890" s="8">
        <v>54</v>
      </c>
      <c r="F890" s="197" t="s">
        <v>566</v>
      </c>
      <c r="G890" s="2">
        <v>2</v>
      </c>
      <c r="H890" s="2">
        <v>9</v>
      </c>
      <c r="I890" s="126">
        <v>720</v>
      </c>
      <c r="J890" s="179" t="s">
        <v>766</v>
      </c>
      <c r="K890" s="179" t="s">
        <v>598</v>
      </c>
      <c r="L890" s="92">
        <v>30000</v>
      </c>
      <c r="M890" s="69">
        <v>40</v>
      </c>
      <c r="N890" s="39" t="s">
        <v>48</v>
      </c>
      <c r="O890" s="39" t="s">
        <v>49</v>
      </c>
      <c r="P890" s="131"/>
      <c r="Q890" s="19">
        <v>101</v>
      </c>
      <c r="R890" s="15">
        <f>Q890/I890</f>
        <v>0.14027777777777778</v>
      </c>
      <c r="S890" s="5">
        <f>($AC890*$AD890)/(($Z890/$Y890)+($AA890/$Z890)+($AB890/$AA890))</f>
        <v>88.163265306122454</v>
      </c>
      <c r="U890" s="109" t="s">
        <v>767</v>
      </c>
      <c r="V890" s="71" t="s">
        <v>1395</v>
      </c>
      <c r="W890" s="8" t="s">
        <v>1393</v>
      </c>
      <c r="Y890" s="2">
        <v>1.5</v>
      </c>
      <c r="Z890" s="2">
        <v>4</v>
      </c>
      <c r="AA890" s="2">
        <v>10</v>
      </c>
      <c r="AB890" s="2">
        <v>30</v>
      </c>
      <c r="AC890" s="2">
        <v>18</v>
      </c>
      <c r="AD890" s="2">
        <v>40</v>
      </c>
      <c r="AE890" s="2">
        <f>AC890*AD890</f>
        <v>720</v>
      </c>
      <c r="AF890" s="2">
        <f>Z890/Y890</f>
        <v>2.6666666666666665</v>
      </c>
      <c r="AG890" s="2">
        <f>AA890/Z890</f>
        <v>2.5</v>
      </c>
      <c r="AH890" s="2">
        <f>AC890/AA890</f>
        <v>1.8</v>
      </c>
    </row>
    <row r="891" spans="1:34">
      <c r="A891" s="165" t="s">
        <v>1383</v>
      </c>
      <c r="B891" s="39" t="s">
        <v>63</v>
      </c>
      <c r="C891" s="47">
        <v>46191</v>
      </c>
      <c r="D891" s="144">
        <v>0.75</v>
      </c>
      <c r="E891" s="193"/>
      <c r="F891" s="194" t="s">
        <v>899</v>
      </c>
      <c r="G891" s="2">
        <v>1</v>
      </c>
      <c r="I891" s="126">
        <v>5300</v>
      </c>
      <c r="J891" s="2" t="s">
        <v>766</v>
      </c>
      <c r="K891" s="88" t="s">
        <v>800</v>
      </c>
      <c r="L891" s="91">
        <v>25000</v>
      </c>
      <c r="M891" s="8">
        <v>30</v>
      </c>
      <c r="N891" s="132" t="s">
        <v>821</v>
      </c>
      <c r="O891" s="39" t="s">
        <v>57</v>
      </c>
      <c r="P891" s="19"/>
      <c r="Q891" s="2">
        <v>300</v>
      </c>
      <c r="R891" s="15">
        <f>Q891/I891</f>
        <v>5.6603773584905662E-2</v>
      </c>
      <c r="S891" s="149" t="s">
        <v>110</v>
      </c>
      <c r="T891" s="149"/>
      <c r="U891" s="109" t="s">
        <v>767</v>
      </c>
      <c r="V891" s="71" t="s">
        <v>362</v>
      </c>
      <c r="W891" s="194" t="s">
        <v>146</v>
      </c>
      <c r="AC891" s="70"/>
      <c r="AD891" s="70"/>
      <c r="AE891" s="2" t="e">
        <f>AD891*#REF!</f>
        <v>#REF!</v>
      </c>
      <c r="AF891" s="2" t="e">
        <f>Z891/Y891</f>
        <v>#DIV/0!</v>
      </c>
      <c r="AG891" s="2" t="e">
        <f>AA891/Z891</f>
        <v>#DIV/0!</v>
      </c>
      <c r="AH891" s="2" t="e">
        <f>AC891/AA891</f>
        <v>#DIV/0!</v>
      </c>
    </row>
    <row r="892" spans="1:34">
      <c r="A892" s="102" t="s">
        <v>475</v>
      </c>
      <c r="B892" s="102" t="s">
        <v>476</v>
      </c>
      <c r="C892" s="47">
        <v>46191</v>
      </c>
      <c r="D892" s="42">
        <v>0.75</v>
      </c>
      <c r="E892" s="8" t="s">
        <v>509</v>
      </c>
      <c r="F892" s="8" t="s">
        <v>492</v>
      </c>
      <c r="G892" s="2">
        <v>2</v>
      </c>
      <c r="H892" s="2">
        <v>9</v>
      </c>
      <c r="I892" s="126">
        <v>400</v>
      </c>
      <c r="J892" s="2" t="s">
        <v>766</v>
      </c>
      <c r="K892" s="109" t="s">
        <v>601</v>
      </c>
      <c r="L892" s="201">
        <v>30000</v>
      </c>
      <c r="M892" s="64">
        <v>30</v>
      </c>
      <c r="N892" s="39" t="s">
        <v>48</v>
      </c>
      <c r="O892" s="39" t="s">
        <v>49</v>
      </c>
      <c r="P892" s="212" t="s">
        <v>838</v>
      </c>
      <c r="Q892" s="19">
        <v>70</v>
      </c>
      <c r="R892" s="15">
        <f>Q892/I892</f>
        <v>0.17499999999999999</v>
      </c>
      <c r="S892" s="5">
        <f>($AC892*$AD892)/(($Z892/$Y892)+($AA892/$Z892)+($AB892/$AA892))</f>
        <v>72.897196261682254</v>
      </c>
      <c r="U892" s="109" t="s">
        <v>767</v>
      </c>
      <c r="V892" s="2" t="s">
        <v>638</v>
      </c>
      <c r="Y892" s="2">
        <v>2</v>
      </c>
      <c r="Z892" s="2">
        <v>5</v>
      </c>
      <c r="AA892" s="2">
        <v>13</v>
      </c>
      <c r="AB892" s="2">
        <v>30</v>
      </c>
      <c r="AC892" s="2">
        <v>30</v>
      </c>
      <c r="AD892" s="2">
        <v>18</v>
      </c>
      <c r="AE892" s="2">
        <f>AC892*AD892</f>
        <v>540</v>
      </c>
      <c r="AF892" s="2">
        <f>Z892/Y892</f>
        <v>2.5</v>
      </c>
      <c r="AG892" s="2">
        <f>AA892/Z892</f>
        <v>2.6</v>
      </c>
      <c r="AH892" s="2">
        <f>AB892/AA892</f>
        <v>2.3076923076923075</v>
      </c>
    </row>
    <row r="893" spans="1:34">
      <c r="A893" s="52" t="s">
        <v>229</v>
      </c>
      <c r="B893" s="52" t="s">
        <v>230</v>
      </c>
      <c r="C893" s="190">
        <v>46191</v>
      </c>
      <c r="D893" s="42">
        <v>0.75</v>
      </c>
      <c r="E893" s="193"/>
      <c r="F893" s="8" t="s">
        <v>241</v>
      </c>
      <c r="G893" s="2">
        <v>1</v>
      </c>
      <c r="I893" s="151">
        <v>200</v>
      </c>
      <c r="J893" s="2" t="s">
        <v>766</v>
      </c>
      <c r="K893" s="88" t="s">
        <v>804</v>
      </c>
      <c r="L893" s="113">
        <v>30000</v>
      </c>
      <c r="M893" s="8">
        <v>20</v>
      </c>
      <c r="N893" s="39" t="s">
        <v>48</v>
      </c>
      <c r="O893" s="39" t="s">
        <v>49</v>
      </c>
      <c r="P893" s="135" t="s">
        <v>832</v>
      </c>
      <c r="Q893" s="19">
        <v>40</v>
      </c>
      <c r="R893" s="59">
        <f>IF(Q893&gt;0,Q893/I893,"")</f>
        <v>0.2</v>
      </c>
      <c r="S893" s="5">
        <f>($AC893*$AD893)/(($Z893/$Y893)+($AA893/$Z893)+($AB893/$AA893))</f>
        <v>35.555555555555557</v>
      </c>
      <c r="U893" s="109" t="s">
        <v>767</v>
      </c>
      <c r="V893" s="83" t="s">
        <v>719</v>
      </c>
      <c r="W893" s="205"/>
      <c r="Y893" s="2">
        <v>2</v>
      </c>
      <c r="Z893" s="2">
        <v>5</v>
      </c>
      <c r="AA893" s="2">
        <v>20</v>
      </c>
      <c r="AB893" s="2">
        <v>50</v>
      </c>
      <c r="AC893" s="2">
        <v>20</v>
      </c>
      <c r="AD893" s="2">
        <v>16</v>
      </c>
      <c r="AE893" s="2">
        <f>AC893*AD893</f>
        <v>320</v>
      </c>
      <c r="AF893" s="2">
        <f>Z893/Y893</f>
        <v>2.5</v>
      </c>
      <c r="AG893" s="2">
        <f>AA893/Z893</f>
        <v>4</v>
      </c>
      <c r="AH893" s="2">
        <f>AB893/AA893</f>
        <v>2.5</v>
      </c>
    </row>
    <row r="894" spans="1:34">
      <c r="A894" s="52" t="s">
        <v>220</v>
      </c>
      <c r="B894" s="52" t="s">
        <v>221</v>
      </c>
      <c r="C894" s="191">
        <v>46191</v>
      </c>
      <c r="D894" s="42">
        <v>0.75</v>
      </c>
      <c r="E894" s="193"/>
      <c r="F894" s="8" t="s">
        <v>1073</v>
      </c>
      <c r="G894" s="2">
        <v>1</v>
      </c>
      <c r="H894" s="2">
        <v>9</v>
      </c>
      <c r="I894" s="126">
        <v>1100</v>
      </c>
      <c r="J894" s="2" t="s">
        <v>766</v>
      </c>
      <c r="K894" s="88" t="s">
        <v>799</v>
      </c>
      <c r="L894" s="91">
        <v>30000</v>
      </c>
      <c r="M894" s="64">
        <v>20</v>
      </c>
      <c r="N894" s="39" t="s">
        <v>48</v>
      </c>
      <c r="O894" s="39" t="s">
        <v>49</v>
      </c>
      <c r="P894" s="212" t="s">
        <v>838</v>
      </c>
      <c r="Q894" s="19">
        <v>125</v>
      </c>
      <c r="R894" s="15">
        <f>Q894/I894</f>
        <v>0.11363636363636363</v>
      </c>
      <c r="S894" s="5">
        <f>($AC894*$AD894)/(($Z894/$Y894)+($AA894/$Z894)+($AB894/$AA894))</f>
        <v>62.448979591836739</v>
      </c>
      <c r="U894" s="109" t="s">
        <v>129</v>
      </c>
      <c r="V894" s="205" t="s">
        <v>738</v>
      </c>
      <c r="W894" s="205"/>
      <c r="Y894" s="2">
        <v>2</v>
      </c>
      <c r="Z894" s="2">
        <v>5</v>
      </c>
      <c r="AA894" s="2">
        <v>15</v>
      </c>
      <c r="AB894" s="2">
        <v>40</v>
      </c>
      <c r="AC894" s="2">
        <v>17</v>
      </c>
      <c r="AD894" s="2">
        <v>30</v>
      </c>
      <c r="AE894" s="2">
        <f>AC894*AD894</f>
        <v>510</v>
      </c>
      <c r="AF894" s="2">
        <f>Z894/Y894</f>
        <v>2.5</v>
      </c>
      <c r="AG894" s="2">
        <f>AA894/Z894</f>
        <v>3</v>
      </c>
      <c r="AH894" s="2">
        <f>AB894/AA894</f>
        <v>2.6666666666666665</v>
      </c>
    </row>
    <row r="895" spans="1:34">
      <c r="A895" s="96" t="s">
        <v>461</v>
      </c>
      <c r="B895" s="96" t="s">
        <v>462</v>
      </c>
      <c r="C895" s="41">
        <v>46191</v>
      </c>
      <c r="D895" s="42">
        <v>0.75694444444444442</v>
      </c>
      <c r="F895" s="8" t="s">
        <v>458</v>
      </c>
      <c r="G895" s="2">
        <v>1</v>
      </c>
      <c r="I895" s="126">
        <v>200</v>
      </c>
      <c r="J895" s="2" t="s">
        <v>766</v>
      </c>
      <c r="K895" s="109" t="s">
        <v>602</v>
      </c>
      <c r="L895" s="194">
        <v>30000</v>
      </c>
      <c r="M895" s="202">
        <v>20</v>
      </c>
      <c r="N895" s="39" t="s">
        <v>48</v>
      </c>
      <c r="O895" s="39" t="s">
        <v>49</v>
      </c>
      <c r="P895" s="212" t="s">
        <v>833</v>
      </c>
      <c r="Q895" s="19">
        <v>40</v>
      </c>
      <c r="R895" s="15">
        <f>Q895/I895</f>
        <v>0.2</v>
      </c>
      <c r="S895" s="5">
        <f>($AC895*$AD895)/(($Z895/$Y895)+($AA895/$Z895)+($AB895/$AA895))</f>
        <v>41.632653061224495</v>
      </c>
      <c r="U895" s="109" t="s">
        <v>767</v>
      </c>
      <c r="V895" s="205" t="s">
        <v>735</v>
      </c>
      <c r="W895" s="205"/>
      <c r="Y895" s="2">
        <v>2</v>
      </c>
      <c r="Z895" s="2">
        <v>5</v>
      </c>
      <c r="AA895" s="2">
        <v>15</v>
      </c>
      <c r="AB895" s="2">
        <v>40</v>
      </c>
      <c r="AC895" s="2">
        <v>17</v>
      </c>
      <c r="AD895" s="2">
        <v>20</v>
      </c>
      <c r="AE895" s="2">
        <f>AC895*AD895</f>
        <v>340</v>
      </c>
      <c r="AF895" s="2">
        <f>Z895/Y895</f>
        <v>2.5</v>
      </c>
      <c r="AG895" s="2">
        <f>AA895/Z895</f>
        <v>3</v>
      </c>
      <c r="AH895" s="2">
        <f>AB895/AA895</f>
        <v>2.6666666666666665</v>
      </c>
    </row>
    <row r="896" spans="1:34">
      <c r="A896" s="68" t="s">
        <v>357</v>
      </c>
      <c r="B896" s="68" t="s">
        <v>358</v>
      </c>
      <c r="C896" s="191">
        <v>46191</v>
      </c>
      <c r="D896" s="42">
        <v>0.75694444444444442</v>
      </c>
      <c r="E896" s="8">
        <v>57</v>
      </c>
      <c r="F896" s="63" t="s">
        <v>290</v>
      </c>
      <c r="G896" s="2">
        <v>1</v>
      </c>
      <c r="H896" s="2">
        <v>9</v>
      </c>
      <c r="I896" s="126">
        <v>600</v>
      </c>
      <c r="J896" s="2" t="s">
        <v>766</v>
      </c>
      <c r="K896" s="137" t="s">
        <v>602</v>
      </c>
      <c r="L896" s="92">
        <v>25000</v>
      </c>
      <c r="M896" s="202">
        <v>30</v>
      </c>
      <c r="N896" s="39" t="s">
        <v>48</v>
      </c>
      <c r="O896" s="39" t="s">
        <v>49</v>
      </c>
      <c r="P896" s="212" t="s">
        <v>836</v>
      </c>
      <c r="Q896" s="19">
        <v>80</v>
      </c>
      <c r="R896" s="15">
        <f>Q896/I896</f>
        <v>0.13333333333333333</v>
      </c>
      <c r="S896" s="5">
        <f>($AC896*$AD896)/(($Z896/$Y896)+($AA896/$Z896)+($AB896/$AA896))</f>
        <v>55.03292568203198</v>
      </c>
      <c r="U896" s="109" t="s">
        <v>219</v>
      </c>
      <c r="V896" s="205" t="s">
        <v>662</v>
      </c>
      <c r="W896" s="220" t="s">
        <v>389</v>
      </c>
      <c r="Y896" s="2">
        <v>2.5</v>
      </c>
      <c r="Z896" s="2">
        <v>6.5</v>
      </c>
      <c r="AA896" s="2">
        <v>20</v>
      </c>
      <c r="AB896" s="2">
        <v>50</v>
      </c>
      <c r="AC896" s="2">
        <v>30</v>
      </c>
      <c r="AD896" s="2">
        <v>15</v>
      </c>
      <c r="AE896" s="2">
        <f>AC896*AD896</f>
        <v>450</v>
      </c>
      <c r="AF896" s="2">
        <f>Z896/Y896</f>
        <v>2.6</v>
      </c>
      <c r="AG896" s="2">
        <f>AA896/Z896</f>
        <v>3.0769230769230771</v>
      </c>
      <c r="AH896" s="2">
        <f>AB896/AA896</f>
        <v>2.5</v>
      </c>
    </row>
    <row r="897" spans="1:34">
      <c r="A897" s="95" t="s">
        <v>447</v>
      </c>
      <c r="B897" s="95" t="s">
        <v>448</v>
      </c>
      <c r="C897" s="190">
        <v>46191</v>
      </c>
      <c r="D897" s="42">
        <v>0.79166666666666663</v>
      </c>
      <c r="E897" s="193"/>
      <c r="F897" s="8" t="s">
        <v>403</v>
      </c>
      <c r="G897" s="2">
        <v>1</v>
      </c>
      <c r="H897" s="2">
        <v>9</v>
      </c>
      <c r="I897" s="126">
        <v>300</v>
      </c>
      <c r="J897" s="2" t="s">
        <v>766</v>
      </c>
      <c r="K897" s="109" t="s">
        <v>602</v>
      </c>
      <c r="L897" s="194">
        <v>25000</v>
      </c>
      <c r="M897" s="8">
        <v>25</v>
      </c>
      <c r="N897" s="39" t="s">
        <v>48</v>
      </c>
      <c r="O897" s="39" t="s">
        <v>49</v>
      </c>
      <c r="P897" s="212" t="s">
        <v>834</v>
      </c>
      <c r="Q897" s="19">
        <v>50</v>
      </c>
      <c r="R897" s="15">
        <f>Q897/I897</f>
        <v>0.16666666666666666</v>
      </c>
      <c r="S897" s="5">
        <f>($AC897*$AD897)/(($Z897/$Y897)+($AA897/$Z897)+($AB897/$AA897))</f>
        <v>37.5</v>
      </c>
      <c r="U897" s="109" t="s">
        <v>767</v>
      </c>
      <c r="V897" s="2" t="s">
        <v>741</v>
      </c>
      <c r="Y897" s="2">
        <v>2.5</v>
      </c>
      <c r="Z897" s="2">
        <v>7.5</v>
      </c>
      <c r="AA897" s="2">
        <v>25</v>
      </c>
      <c r="AB897" s="2">
        <v>75</v>
      </c>
      <c r="AC897" s="2">
        <v>14</v>
      </c>
      <c r="AD897" s="2">
        <v>25</v>
      </c>
      <c r="AE897" s="2">
        <f>AC897*AD897</f>
        <v>350</v>
      </c>
      <c r="AF897" s="2">
        <f>Z897/Y897</f>
        <v>3</v>
      </c>
      <c r="AG897" s="2">
        <f>AA897/Z897</f>
        <v>3.3333333333333335</v>
      </c>
      <c r="AH897" s="2">
        <f>AB897/AA897</f>
        <v>3</v>
      </c>
    </row>
    <row r="898" spans="1:34">
      <c r="A898" s="165" t="s">
        <v>1383</v>
      </c>
      <c r="B898" s="39" t="s">
        <v>63</v>
      </c>
      <c r="C898" s="41">
        <v>46191</v>
      </c>
      <c r="D898" s="144">
        <v>0.79166666666666663</v>
      </c>
      <c r="F898" s="8" t="s">
        <v>917</v>
      </c>
      <c r="G898" s="2">
        <v>1</v>
      </c>
      <c r="H898" s="2">
        <v>9</v>
      </c>
      <c r="I898" s="81">
        <v>585</v>
      </c>
      <c r="J898" s="2" t="s">
        <v>766</v>
      </c>
      <c r="K898" s="88" t="s">
        <v>800</v>
      </c>
      <c r="L898" s="92">
        <v>10000</v>
      </c>
      <c r="M898" s="202">
        <v>20</v>
      </c>
      <c r="N898" s="132" t="s">
        <v>821</v>
      </c>
      <c r="O898" s="39" t="s">
        <v>49</v>
      </c>
      <c r="P898" s="210"/>
      <c r="Q898" s="19">
        <v>89</v>
      </c>
      <c r="R898" s="59">
        <f>Q898/I898</f>
        <v>0.15213675213675212</v>
      </c>
      <c r="S898" s="5">
        <v>29</v>
      </c>
      <c r="U898" s="109" t="s">
        <v>767</v>
      </c>
      <c r="V898" s="83" t="s">
        <v>362</v>
      </c>
      <c r="W898" s="8" t="s">
        <v>368</v>
      </c>
      <c r="Y898" s="175"/>
      <c r="Z898" s="175"/>
      <c r="AA898" s="175"/>
      <c r="AB898" s="175"/>
      <c r="AC898" s="175"/>
      <c r="AD898" s="175"/>
      <c r="AE898" s="175"/>
      <c r="AF898" s="175"/>
      <c r="AG898" s="175"/>
      <c r="AH898" s="175"/>
    </row>
    <row r="899" spans="1:34">
      <c r="A899" s="103" t="s">
        <v>539</v>
      </c>
      <c r="B899" s="103" t="s">
        <v>540</v>
      </c>
      <c r="C899" s="191">
        <v>46191</v>
      </c>
      <c r="D899" s="42">
        <v>0.80208333333333337</v>
      </c>
      <c r="E899" s="46">
        <v>57</v>
      </c>
      <c r="F899" s="63" t="s">
        <v>544</v>
      </c>
      <c r="G899" s="2">
        <v>1</v>
      </c>
      <c r="H899" s="2">
        <v>9</v>
      </c>
      <c r="I899" s="151">
        <v>150</v>
      </c>
      <c r="J899" s="179" t="s">
        <v>766</v>
      </c>
      <c r="K899" s="179" t="s">
        <v>602</v>
      </c>
      <c r="L899" s="160">
        <v>30000</v>
      </c>
      <c r="M899" s="202">
        <v>15</v>
      </c>
      <c r="N899" s="39" t="s">
        <v>48</v>
      </c>
      <c r="O899" s="39" t="s">
        <v>49</v>
      </c>
      <c r="P899" s="135" t="s">
        <v>828</v>
      </c>
      <c r="Q899" s="19">
        <v>46</v>
      </c>
      <c r="R899" s="59">
        <f>Q899/I899</f>
        <v>0.30666666666666664</v>
      </c>
      <c r="S899" s="5">
        <f>($AC899*$AD899)/(($Z899/$Y899)+($AA899/$Z899)+($AB899/$AA899))</f>
        <v>19.534883720930232</v>
      </c>
      <c r="U899" s="109" t="s">
        <v>129</v>
      </c>
      <c r="V899" s="71" t="s">
        <v>1395</v>
      </c>
      <c r="W899" s="179" t="s">
        <v>1389</v>
      </c>
      <c r="Y899" s="2">
        <v>4</v>
      </c>
      <c r="Z899" s="2">
        <v>8</v>
      </c>
      <c r="AA899" s="2">
        <v>30</v>
      </c>
      <c r="AB899" s="2">
        <v>150</v>
      </c>
      <c r="AC899" s="2">
        <v>14</v>
      </c>
      <c r="AD899" s="2">
        <v>15</v>
      </c>
      <c r="AE899" s="2">
        <f>AC899*AD899</f>
        <v>210</v>
      </c>
      <c r="AF899" s="2">
        <f>Z899/Y899</f>
        <v>2</v>
      </c>
      <c r="AG899" s="2">
        <f>AA899/Z899</f>
        <v>3.75</v>
      </c>
      <c r="AH899" s="2">
        <f>AB899/AA899</f>
        <v>5</v>
      </c>
    </row>
    <row r="900" spans="1:34">
      <c r="A900" s="165" t="s">
        <v>1383</v>
      </c>
      <c r="B900" s="39" t="s">
        <v>63</v>
      </c>
      <c r="C900" s="41">
        <v>46191</v>
      </c>
      <c r="D900" s="144">
        <v>0.83333333333333337</v>
      </c>
      <c r="E900" s="8"/>
      <c r="F900" s="194" t="s">
        <v>1023</v>
      </c>
      <c r="G900" s="2">
        <v>1</v>
      </c>
      <c r="H900" s="2">
        <v>9</v>
      </c>
      <c r="I900" s="45">
        <v>200</v>
      </c>
      <c r="J900" s="2" t="s">
        <v>766</v>
      </c>
      <c r="K900" s="88" t="s">
        <v>806</v>
      </c>
      <c r="L900" s="92">
        <v>20000</v>
      </c>
      <c r="M900" s="205">
        <v>20</v>
      </c>
      <c r="N900" s="39" t="s">
        <v>817</v>
      </c>
      <c r="O900" s="39" t="s">
        <v>49</v>
      </c>
      <c r="P900" s="210"/>
      <c r="Q900" s="19">
        <v>45</v>
      </c>
      <c r="R900" s="15">
        <f>Q900/I900</f>
        <v>0.22500000000000001</v>
      </c>
      <c r="S900" s="5">
        <v>23</v>
      </c>
      <c r="U900" s="109" t="s">
        <v>129</v>
      </c>
      <c r="V900" s="71" t="s">
        <v>360</v>
      </c>
      <c r="Y900" s="175"/>
      <c r="Z900" s="175"/>
      <c r="AA900" s="175"/>
      <c r="AB900" s="175"/>
      <c r="AC900" s="175"/>
      <c r="AD900" s="175"/>
      <c r="AE900" s="175"/>
      <c r="AF900" s="175"/>
      <c r="AG900" s="175"/>
      <c r="AH900" s="175"/>
    </row>
    <row r="901" spans="1:34">
      <c r="A901" s="165" t="s">
        <v>1383</v>
      </c>
      <c r="B901" s="39" t="s">
        <v>63</v>
      </c>
      <c r="C901" s="41">
        <v>46191</v>
      </c>
      <c r="D901" s="144">
        <v>0.91666666666666663</v>
      </c>
      <c r="F901" s="194" t="s">
        <v>909</v>
      </c>
      <c r="G901" s="2">
        <v>1</v>
      </c>
      <c r="H901" s="2">
        <v>9</v>
      </c>
      <c r="I901" s="45">
        <v>135</v>
      </c>
      <c r="J901" s="2" t="s">
        <v>766</v>
      </c>
      <c r="K901" s="88" t="s">
        <v>813</v>
      </c>
      <c r="L901" s="92">
        <v>10000</v>
      </c>
      <c r="M901" s="202">
        <v>15</v>
      </c>
      <c r="N901" s="132" t="s">
        <v>821</v>
      </c>
      <c r="O901" s="39" t="s">
        <v>49</v>
      </c>
      <c r="P901" s="210"/>
      <c r="Q901" s="19">
        <v>35</v>
      </c>
      <c r="R901" s="15">
        <f>Q901/I901</f>
        <v>0.25925925925925924</v>
      </c>
      <c r="S901" s="5">
        <v>22</v>
      </c>
      <c r="U901" s="109" t="s">
        <v>767</v>
      </c>
      <c r="V901" s="71" t="s">
        <v>362</v>
      </c>
      <c r="W901" s="8" t="s">
        <v>369</v>
      </c>
      <c r="Y901" s="175"/>
      <c r="Z901" s="175"/>
      <c r="AA901" s="175"/>
      <c r="AB901" s="175"/>
      <c r="AC901" s="175"/>
      <c r="AD901" s="175"/>
      <c r="AE901" s="175"/>
      <c r="AF901" s="175"/>
      <c r="AG901" s="175"/>
      <c r="AH901" s="175"/>
    </row>
    <row r="902" spans="1:34">
      <c r="A902" s="96" t="s">
        <v>461</v>
      </c>
      <c r="B902" s="96" t="s">
        <v>462</v>
      </c>
      <c r="C902" s="41">
        <v>46191</v>
      </c>
      <c r="D902" s="42">
        <v>0.92361111111111116</v>
      </c>
      <c r="F902" s="194" t="s">
        <v>456</v>
      </c>
      <c r="G902" s="2">
        <v>1</v>
      </c>
      <c r="I902" s="126">
        <v>120</v>
      </c>
      <c r="J902" s="2" t="s">
        <v>766</v>
      </c>
      <c r="K902" s="109" t="s">
        <v>737</v>
      </c>
      <c r="L902" s="194">
        <v>20000</v>
      </c>
      <c r="M902" s="69">
        <v>15</v>
      </c>
      <c r="N902" s="39" t="s">
        <v>48</v>
      </c>
      <c r="O902" s="39" t="s">
        <v>49</v>
      </c>
      <c r="P902" s="135" t="s">
        <v>827</v>
      </c>
      <c r="Q902" s="19">
        <v>24</v>
      </c>
      <c r="R902" s="15">
        <f>Q902/I902</f>
        <v>0.2</v>
      </c>
      <c r="S902" s="5">
        <f>($AC902*$AD902)/(($Z902/$Y902)+($AA902/$Z902)+($AB902/$AA902))</f>
        <v>25.161290322580644</v>
      </c>
      <c r="U902" s="109" t="s">
        <v>463</v>
      </c>
      <c r="V902" s="2" t="s">
        <v>735</v>
      </c>
      <c r="W902" s="2" t="s">
        <v>464</v>
      </c>
      <c r="Y902" s="2">
        <v>2.5</v>
      </c>
      <c r="Z902" s="2">
        <v>7.5</v>
      </c>
      <c r="AA902" s="2">
        <v>30</v>
      </c>
      <c r="AB902" s="2">
        <v>100</v>
      </c>
      <c r="AC902" s="2">
        <v>13</v>
      </c>
      <c r="AD902" s="2">
        <v>20</v>
      </c>
      <c r="AE902" s="2">
        <f>AC902*AD902</f>
        <v>260</v>
      </c>
      <c r="AF902" s="2">
        <f>Z902/Y902</f>
        <v>3</v>
      </c>
      <c r="AG902" s="2">
        <f>AA902/Z902</f>
        <v>4</v>
      </c>
      <c r="AH902" s="2">
        <f>AB902/AA902</f>
        <v>3.3333333333333335</v>
      </c>
    </row>
    <row r="903" spans="1:34">
      <c r="A903" s="165" t="s">
        <v>1383</v>
      </c>
      <c r="B903" s="36" t="s">
        <v>63</v>
      </c>
      <c r="C903" s="41">
        <v>46191</v>
      </c>
      <c r="D903" s="144" t="s">
        <v>117</v>
      </c>
      <c r="E903" s="14">
        <v>50</v>
      </c>
      <c r="F903" s="194" t="s">
        <v>973</v>
      </c>
      <c r="G903" s="2">
        <v>5</v>
      </c>
      <c r="H903" s="2">
        <v>9</v>
      </c>
      <c r="I903" s="45">
        <v>1500</v>
      </c>
      <c r="J903" s="2" t="s">
        <v>761</v>
      </c>
      <c r="K903" s="109" t="s">
        <v>602</v>
      </c>
      <c r="L903" s="92">
        <v>25000</v>
      </c>
      <c r="M903" s="202">
        <v>60</v>
      </c>
      <c r="N903" s="39" t="s">
        <v>48</v>
      </c>
      <c r="O903" s="39" t="s">
        <v>49</v>
      </c>
      <c r="Q903" s="19">
        <f>R903*I903</f>
        <v>172.5</v>
      </c>
      <c r="R903" s="15">
        <v>0.115</v>
      </c>
      <c r="S903" s="5">
        <f>($AC903*$AD903)/(($Z903/$Y903)+($AA903/$Z903)+($AB903/$AA903))</f>
        <v>140.86956521739131</v>
      </c>
      <c r="U903" s="109" t="s">
        <v>767</v>
      </c>
      <c r="V903" s="2" t="s">
        <v>121</v>
      </c>
      <c r="W903" s="205"/>
      <c r="Y903" s="2">
        <v>1.5</v>
      </c>
      <c r="Z903" s="2">
        <v>4</v>
      </c>
      <c r="AA903" s="2">
        <v>10</v>
      </c>
      <c r="AB903" s="2">
        <v>25</v>
      </c>
      <c r="AC903" s="2">
        <v>18</v>
      </c>
      <c r="AD903" s="2">
        <v>60</v>
      </c>
      <c r="AE903" s="2">
        <f>AC903*AD903</f>
        <v>1080</v>
      </c>
      <c r="AF903" s="2">
        <f>Z903/Y903</f>
        <v>2.6666666666666665</v>
      </c>
      <c r="AG903" s="2">
        <f>AA903/Z903</f>
        <v>2.5</v>
      </c>
      <c r="AH903" s="2">
        <f>AB903/AA903</f>
        <v>2.5</v>
      </c>
    </row>
    <row r="904" spans="1:34">
      <c r="A904" s="165" t="s">
        <v>1383</v>
      </c>
      <c r="B904" s="36" t="s">
        <v>63</v>
      </c>
      <c r="C904" s="41">
        <v>46191</v>
      </c>
      <c r="D904" s="144" t="s">
        <v>115</v>
      </c>
      <c r="E904" s="8">
        <v>51</v>
      </c>
      <c r="F904" s="194" t="s">
        <v>1148</v>
      </c>
      <c r="G904" s="2">
        <v>3</v>
      </c>
      <c r="H904" s="2">
        <v>8</v>
      </c>
      <c r="I904" s="45">
        <v>10000</v>
      </c>
      <c r="J904" s="2" t="s">
        <v>762</v>
      </c>
      <c r="K904" s="109" t="s">
        <v>601</v>
      </c>
      <c r="L904" s="92">
        <v>60000</v>
      </c>
      <c r="M904" s="202">
        <v>40</v>
      </c>
      <c r="N904" s="39" t="s">
        <v>48</v>
      </c>
      <c r="O904" s="39" t="s">
        <v>49</v>
      </c>
      <c r="P904" s="210"/>
      <c r="Q904" s="19">
        <f>R904*I904</f>
        <v>700.00000000000011</v>
      </c>
      <c r="R904" s="15">
        <v>7.0000000000000007E-2</v>
      </c>
      <c r="S904" s="5">
        <f>($AC904*$AD904)/(($Z904/$Y904)+($AA904/$Z904)+($AB904/$AA904))</f>
        <v>113.3956386292835</v>
      </c>
      <c r="U904" s="109" t="s">
        <v>55</v>
      </c>
      <c r="V904" s="205" t="s">
        <v>121</v>
      </c>
      <c r="W904" s="205"/>
      <c r="Y904" s="2">
        <v>2</v>
      </c>
      <c r="Z904" s="2">
        <v>5</v>
      </c>
      <c r="AA904" s="2">
        <v>13</v>
      </c>
      <c r="AB904" s="2">
        <v>30</v>
      </c>
      <c r="AC904" s="2">
        <v>21</v>
      </c>
      <c r="AD904" s="2">
        <v>40</v>
      </c>
      <c r="AE904" s="2">
        <f>AC904*AD904</f>
        <v>840</v>
      </c>
      <c r="AF904" s="2">
        <f>Z904/Y904</f>
        <v>2.5</v>
      </c>
      <c r="AG904" s="2">
        <f>AA904/Z904</f>
        <v>2.6</v>
      </c>
      <c r="AH904" s="2">
        <f>AB904/AA904</f>
        <v>2.3076923076923075</v>
      </c>
    </row>
    <row r="905" spans="1:34">
      <c r="A905" s="165" t="s">
        <v>1383</v>
      </c>
      <c r="B905" s="36" t="s">
        <v>63</v>
      </c>
      <c r="C905" s="41">
        <v>46191</v>
      </c>
      <c r="D905" s="144" t="s">
        <v>115</v>
      </c>
      <c r="E905" s="14">
        <v>47</v>
      </c>
      <c r="F905" s="194" t="s">
        <v>1270</v>
      </c>
      <c r="G905" s="2">
        <v>4</v>
      </c>
      <c r="H905" s="2">
        <v>8</v>
      </c>
      <c r="I905" s="45">
        <v>25000</v>
      </c>
      <c r="J905" s="2" t="s">
        <v>762</v>
      </c>
      <c r="K905" s="109" t="s">
        <v>601</v>
      </c>
      <c r="L905" s="92">
        <v>150000</v>
      </c>
      <c r="M905" s="202">
        <v>60</v>
      </c>
      <c r="N905" s="39" t="s">
        <v>48</v>
      </c>
      <c r="O905" s="39" t="s">
        <v>57</v>
      </c>
      <c r="P905" s="213"/>
      <c r="Q905" s="38">
        <f>R905*I905</f>
        <v>1500</v>
      </c>
      <c r="R905" s="15">
        <v>0.06</v>
      </c>
      <c r="S905" s="149" t="s">
        <v>110</v>
      </c>
      <c r="T905" s="149"/>
      <c r="U905" s="109" t="s">
        <v>767</v>
      </c>
      <c r="V905" s="2" t="s">
        <v>121</v>
      </c>
      <c r="W905" s="205"/>
      <c r="Y905" s="70"/>
      <c r="Z905" s="70"/>
      <c r="AA905" s="70"/>
      <c r="AC905" s="70"/>
      <c r="AD905" s="70"/>
      <c r="AE905" s="2" t="e">
        <f>AD905*#REF!</f>
        <v>#REF!</v>
      </c>
      <c r="AF905" s="2" t="e">
        <f>Z905/Y905</f>
        <v>#DIV/0!</v>
      </c>
      <c r="AG905" s="2" t="e">
        <f>AA905/Z905</f>
        <v>#DIV/0!</v>
      </c>
      <c r="AH905" s="2" t="e">
        <f>AC905/AA905</f>
        <v>#DIV/0!</v>
      </c>
    </row>
    <row r="906" spans="1:34">
      <c r="A906" s="165" t="s">
        <v>1383</v>
      </c>
      <c r="B906" s="36" t="s">
        <v>63</v>
      </c>
      <c r="C906" s="41">
        <v>46191</v>
      </c>
      <c r="D906" s="144" t="s">
        <v>115</v>
      </c>
      <c r="E906" s="8">
        <v>53</v>
      </c>
      <c r="F906" s="194" t="s">
        <v>168</v>
      </c>
      <c r="G906" s="2">
        <v>3</v>
      </c>
      <c r="H906" s="2">
        <v>8</v>
      </c>
      <c r="I906" s="45">
        <v>1500</v>
      </c>
      <c r="J906" s="2" t="s">
        <v>762</v>
      </c>
      <c r="K906" s="109" t="s">
        <v>598</v>
      </c>
      <c r="L906" s="92">
        <v>25000</v>
      </c>
      <c r="M906" s="202" t="s">
        <v>97</v>
      </c>
      <c r="N906" s="39" t="s">
        <v>48</v>
      </c>
      <c r="O906" s="39" t="s">
        <v>223</v>
      </c>
      <c r="P906" s="213"/>
      <c r="Q906" s="38">
        <f>R906*I906</f>
        <v>172.5</v>
      </c>
      <c r="R906" s="15">
        <v>0.115</v>
      </c>
      <c r="S906" s="149" t="s">
        <v>110</v>
      </c>
      <c r="T906" s="149"/>
      <c r="U906" s="109" t="s">
        <v>767</v>
      </c>
      <c r="V906" s="2" t="s">
        <v>121</v>
      </c>
      <c r="W906" s="205"/>
      <c r="AE906" s="2" t="e">
        <f>AD906*#REF!</f>
        <v>#REF!</v>
      </c>
      <c r="AF906" s="2" t="e">
        <f>Z906/Y906</f>
        <v>#DIV/0!</v>
      </c>
      <c r="AG906" s="2" t="e">
        <f>AA906/Z906</f>
        <v>#DIV/0!</v>
      </c>
      <c r="AH906" s="2" t="e">
        <f>AC906/AA906</f>
        <v>#DIV/0!</v>
      </c>
    </row>
    <row r="907" spans="1:34">
      <c r="A907" s="165" t="s">
        <v>1383</v>
      </c>
      <c r="B907" s="36" t="s">
        <v>63</v>
      </c>
      <c r="C907" s="41">
        <v>46191</v>
      </c>
      <c r="D907" s="144" t="s">
        <v>116</v>
      </c>
      <c r="E907" s="8">
        <v>54</v>
      </c>
      <c r="F907" s="194" t="s">
        <v>977</v>
      </c>
      <c r="G907" s="2">
        <v>4</v>
      </c>
      <c r="H907" s="2">
        <v>9</v>
      </c>
      <c r="I907" s="45">
        <v>10000</v>
      </c>
      <c r="J907" s="2" t="s">
        <v>110</v>
      </c>
      <c r="K907" s="109" t="s">
        <v>816</v>
      </c>
      <c r="L907" s="92">
        <v>60000</v>
      </c>
      <c r="M907" s="202" t="s">
        <v>111</v>
      </c>
      <c r="N907" s="39" t="s">
        <v>48</v>
      </c>
      <c r="O907" s="39" t="s">
        <v>122</v>
      </c>
      <c r="P907" s="213"/>
      <c r="Q907" s="38">
        <f>R907*I907</f>
        <v>700.00000000000011</v>
      </c>
      <c r="R907" s="15">
        <v>7.0000000000000007E-2</v>
      </c>
      <c r="S907" s="149" t="s">
        <v>110</v>
      </c>
      <c r="T907" s="149"/>
      <c r="U907" s="109" t="s">
        <v>767</v>
      </c>
      <c r="V907" s="2" t="s">
        <v>121</v>
      </c>
      <c r="W907" s="205"/>
      <c r="AE907" s="2" t="e">
        <f>AD907*#REF!</f>
        <v>#REF!</v>
      </c>
      <c r="AF907" s="2" t="e">
        <f>Z907/Y907</f>
        <v>#DIV/0!</v>
      </c>
      <c r="AG907" s="2" t="e">
        <f>AA907/Z907</f>
        <v>#DIV/0!</v>
      </c>
      <c r="AH907" s="2" t="e">
        <f>AC907/AA907</f>
        <v>#DIV/0!</v>
      </c>
    </row>
    <row r="908" spans="1:34">
      <c r="A908" s="165" t="s">
        <v>1383</v>
      </c>
      <c r="B908" s="36" t="s">
        <v>63</v>
      </c>
      <c r="C908" s="41">
        <v>46191</v>
      </c>
      <c r="D908" s="144" t="s">
        <v>876</v>
      </c>
      <c r="E908" s="8">
        <v>49</v>
      </c>
      <c r="F908" s="194" t="s">
        <v>1264</v>
      </c>
      <c r="G908" s="2">
        <v>3</v>
      </c>
      <c r="H908" s="2">
        <v>9</v>
      </c>
      <c r="I908" s="45">
        <v>2500</v>
      </c>
      <c r="J908" s="2" t="s">
        <v>110</v>
      </c>
      <c r="K908" s="109" t="s">
        <v>601</v>
      </c>
      <c r="L908" s="92">
        <v>35000</v>
      </c>
      <c r="M908" s="69" t="s">
        <v>97</v>
      </c>
      <c r="N908" s="39" t="s">
        <v>48</v>
      </c>
      <c r="O908" s="39" t="s">
        <v>49</v>
      </c>
      <c r="Q908" s="19">
        <f>R908*I908</f>
        <v>275</v>
      </c>
      <c r="R908" s="15">
        <v>0.11</v>
      </c>
      <c r="S908" s="5">
        <f>($AC908*$AD908)/(($Z908/$Y908)+($AA908/$Z908)+($AB908/$AA908))</f>
        <v>99.130434782608702</v>
      </c>
      <c r="U908" s="109" t="s">
        <v>853</v>
      </c>
      <c r="V908" s="205" t="s">
        <v>121</v>
      </c>
      <c r="W908" s="205"/>
      <c r="Y908" s="2">
        <v>1.5</v>
      </c>
      <c r="Z908" s="2">
        <v>4</v>
      </c>
      <c r="AA908" s="2">
        <v>10</v>
      </c>
      <c r="AB908" s="2">
        <v>25</v>
      </c>
      <c r="AC908" s="2">
        <v>19</v>
      </c>
      <c r="AD908" s="2">
        <v>40</v>
      </c>
      <c r="AE908" s="2">
        <f>AC908*AD908</f>
        <v>760</v>
      </c>
      <c r="AF908" s="2">
        <f>Z908/Y908</f>
        <v>2.6666666666666665</v>
      </c>
      <c r="AG908" s="2">
        <f>AA908/Z908</f>
        <v>2.5</v>
      </c>
      <c r="AH908" s="2">
        <f>AB908/AA908</f>
        <v>2.5</v>
      </c>
    </row>
    <row r="909" spans="1:34">
      <c r="A909" s="96" t="s">
        <v>461</v>
      </c>
      <c r="B909" s="96" t="s">
        <v>462</v>
      </c>
      <c r="C909" s="41">
        <v>46192</v>
      </c>
      <c r="D909" s="42">
        <v>0.4236111111111111</v>
      </c>
      <c r="E909" s="193"/>
      <c r="F909" s="8" t="s">
        <v>457</v>
      </c>
      <c r="G909" s="2">
        <v>1</v>
      </c>
      <c r="I909" s="126">
        <v>120</v>
      </c>
      <c r="J909" s="2" t="s">
        <v>766</v>
      </c>
      <c r="K909" s="109" t="s">
        <v>602</v>
      </c>
      <c r="L909" s="194">
        <v>20000</v>
      </c>
      <c r="M909" s="202">
        <v>20</v>
      </c>
      <c r="N909" s="39" t="s">
        <v>48</v>
      </c>
      <c r="O909" s="39" t="s">
        <v>49</v>
      </c>
      <c r="P909" s="135" t="s">
        <v>832</v>
      </c>
      <c r="Q909" s="19">
        <v>24</v>
      </c>
      <c r="R909" s="15">
        <f>Q909/I909</f>
        <v>0.2</v>
      </c>
      <c r="S909" s="5">
        <f>($AC909*$AD909)/(($Z909/$Y909)+($AA909/$Z909)+($AB909/$AA909))</f>
        <v>25.161290322580644</v>
      </c>
      <c r="U909" s="109" t="s">
        <v>767</v>
      </c>
      <c r="V909" s="2" t="s">
        <v>735</v>
      </c>
      <c r="Y909" s="2">
        <v>2.5</v>
      </c>
      <c r="Z909" s="2">
        <v>7.5</v>
      </c>
      <c r="AA909" s="2">
        <v>30</v>
      </c>
      <c r="AB909" s="2">
        <v>100</v>
      </c>
      <c r="AC909" s="2">
        <v>13</v>
      </c>
      <c r="AD909" s="2">
        <v>20</v>
      </c>
      <c r="AE909" s="2">
        <f>AC909*AD909</f>
        <v>260</v>
      </c>
      <c r="AF909" s="2">
        <f>Z909/Y909</f>
        <v>3</v>
      </c>
      <c r="AG909" s="2">
        <f>AA909/Z909</f>
        <v>4</v>
      </c>
      <c r="AH909" s="2">
        <f>AB909/AA909</f>
        <v>3.3333333333333335</v>
      </c>
    </row>
    <row r="910" spans="1:34">
      <c r="A910" s="68" t="s">
        <v>357</v>
      </c>
      <c r="B910" s="68" t="s">
        <v>358</v>
      </c>
      <c r="C910" s="191">
        <v>46192</v>
      </c>
      <c r="D910" s="42">
        <v>0.4236111111111111</v>
      </c>
      <c r="E910" s="8">
        <v>58</v>
      </c>
      <c r="F910" s="63" t="s">
        <v>313</v>
      </c>
      <c r="G910" s="2">
        <v>2</v>
      </c>
      <c r="H910" s="2">
        <v>9</v>
      </c>
      <c r="I910" s="126">
        <v>1600</v>
      </c>
      <c r="J910" s="2" t="s">
        <v>766</v>
      </c>
      <c r="K910" s="137" t="s">
        <v>598</v>
      </c>
      <c r="L910" s="92">
        <v>40000</v>
      </c>
      <c r="M910" s="69">
        <v>40</v>
      </c>
      <c r="N910" s="39" t="s">
        <v>48</v>
      </c>
      <c r="O910" s="39" t="s">
        <v>49</v>
      </c>
      <c r="P910" s="135" t="s">
        <v>847</v>
      </c>
      <c r="Q910" s="19">
        <v>180</v>
      </c>
      <c r="R910" s="15">
        <f>Q910/I910</f>
        <v>0.1125</v>
      </c>
      <c r="S910" s="5">
        <f>($AC910*$AD910)/(($Z910/$Y910)+($AA910/$Z910)+($AB910/$AA910))</f>
        <v>102.59605399792316</v>
      </c>
      <c r="U910" s="109" t="s">
        <v>54</v>
      </c>
      <c r="V910" s="2" t="s">
        <v>679</v>
      </c>
      <c r="W910" s="205"/>
      <c r="Y910" s="2">
        <v>2</v>
      </c>
      <c r="Z910" s="2">
        <v>5</v>
      </c>
      <c r="AA910" s="2">
        <v>13</v>
      </c>
      <c r="AB910" s="2">
        <v>30</v>
      </c>
      <c r="AC910" s="2">
        <v>40</v>
      </c>
      <c r="AD910" s="2">
        <v>19</v>
      </c>
      <c r="AE910" s="2">
        <f>AC910*AD910</f>
        <v>760</v>
      </c>
      <c r="AF910" s="2">
        <f>Z910/Y910</f>
        <v>2.5</v>
      </c>
      <c r="AG910" s="2">
        <f>AA910/Z910</f>
        <v>2.6</v>
      </c>
      <c r="AH910" s="2">
        <f>AB910/AA910</f>
        <v>2.3076923076923075</v>
      </c>
    </row>
    <row r="911" spans="1:34">
      <c r="A911" s="95" t="s">
        <v>447</v>
      </c>
      <c r="B911" s="95" t="s">
        <v>448</v>
      </c>
      <c r="C911" s="190">
        <v>46192</v>
      </c>
      <c r="D911" s="42">
        <v>0.45833333333333331</v>
      </c>
      <c r="E911" s="193"/>
      <c r="F911" s="8" t="s">
        <v>1324</v>
      </c>
      <c r="G911" s="2">
        <v>2</v>
      </c>
      <c r="H911" s="2">
        <v>9</v>
      </c>
      <c r="I911" s="126">
        <v>2200</v>
      </c>
      <c r="J911" s="2" t="s">
        <v>766</v>
      </c>
      <c r="K911" s="109" t="s">
        <v>598</v>
      </c>
      <c r="L911" s="194">
        <v>40000</v>
      </c>
      <c r="M911" s="8">
        <v>40</v>
      </c>
      <c r="N911" s="39" t="s">
        <v>48</v>
      </c>
      <c r="O911" s="39" t="s">
        <v>49</v>
      </c>
      <c r="P911" s="135" t="s">
        <v>848</v>
      </c>
      <c r="Q911" s="19">
        <v>200</v>
      </c>
      <c r="R911" s="15">
        <f>Q911/I911</f>
        <v>9.0909090909090912E-2</v>
      </c>
      <c r="S911" s="5">
        <f>($AC911*$AD911)/(($Z911/$Y911)+($AA911/$Z911)+($AB911/$AA911))</f>
        <v>102.59605399792316</v>
      </c>
      <c r="U911" s="109" t="s">
        <v>55</v>
      </c>
      <c r="V911" s="2" t="s">
        <v>741</v>
      </c>
      <c r="Y911" s="2">
        <v>2</v>
      </c>
      <c r="Z911" s="2">
        <v>5</v>
      </c>
      <c r="AA911" s="2">
        <v>13</v>
      </c>
      <c r="AB911" s="2">
        <v>30</v>
      </c>
      <c r="AC911" s="2">
        <v>19</v>
      </c>
      <c r="AD911" s="2">
        <v>40</v>
      </c>
      <c r="AE911" s="2">
        <f>AC911*AD911</f>
        <v>760</v>
      </c>
      <c r="AF911" s="2">
        <f>Z911/Y911</f>
        <v>2.5</v>
      </c>
      <c r="AG911" s="2">
        <f>AA911/Z911</f>
        <v>2.6</v>
      </c>
      <c r="AH911" s="2">
        <f>AB911/AA911</f>
        <v>2.3076923076923075</v>
      </c>
    </row>
    <row r="912" spans="1:34">
      <c r="A912" s="165" t="s">
        <v>1383</v>
      </c>
      <c r="B912" s="36" t="s">
        <v>63</v>
      </c>
      <c r="C912" s="41">
        <v>46192</v>
      </c>
      <c r="D912" s="144">
        <v>0.45833333333333331</v>
      </c>
      <c r="E912" s="14">
        <v>50</v>
      </c>
      <c r="F912" s="8" t="s">
        <v>1127</v>
      </c>
      <c r="G912" s="2">
        <v>5</v>
      </c>
      <c r="H912" s="2">
        <v>9</v>
      </c>
      <c r="I912" s="45">
        <v>1500</v>
      </c>
      <c r="J912" s="2" t="s">
        <v>761</v>
      </c>
      <c r="K912" s="109" t="s">
        <v>602</v>
      </c>
      <c r="L912" s="92">
        <v>25000</v>
      </c>
      <c r="M912" s="69">
        <v>60</v>
      </c>
      <c r="N912" s="39" t="s">
        <v>48</v>
      </c>
      <c r="O912" s="39" t="s">
        <v>49</v>
      </c>
      <c r="Q912" s="19">
        <f>R912*I912</f>
        <v>172.5</v>
      </c>
      <c r="R912" s="15">
        <v>0.115</v>
      </c>
      <c r="S912" s="5">
        <f>($AC912*$AD912)/(($Z912/$Y912)+($AA912/$Z912)+($AB912/$AA912))</f>
        <v>140.86956521739131</v>
      </c>
      <c r="U912" s="109" t="s">
        <v>767</v>
      </c>
      <c r="V912" s="205" t="s">
        <v>121</v>
      </c>
      <c r="W912" s="205"/>
      <c r="Y912" s="2">
        <v>1.5</v>
      </c>
      <c r="Z912" s="2">
        <v>4</v>
      </c>
      <c r="AA912" s="2">
        <v>10</v>
      </c>
      <c r="AB912" s="2">
        <v>25</v>
      </c>
      <c r="AC912" s="2">
        <v>18</v>
      </c>
      <c r="AD912" s="2">
        <v>60</v>
      </c>
      <c r="AE912" s="2">
        <f>AC912*AD912</f>
        <v>1080</v>
      </c>
      <c r="AF912" s="2">
        <f>Z912/Y912</f>
        <v>2.6666666666666665</v>
      </c>
      <c r="AG912" s="2">
        <f>AA912/Z912</f>
        <v>2.5</v>
      </c>
      <c r="AH912" s="2">
        <f>AB912/AA912</f>
        <v>2.5</v>
      </c>
    </row>
    <row r="913" spans="1:34">
      <c r="A913" s="165" t="s">
        <v>1383</v>
      </c>
      <c r="B913" s="36" t="s">
        <v>63</v>
      </c>
      <c r="C913" s="41">
        <v>46192</v>
      </c>
      <c r="D913" s="144">
        <v>0.45833333333333331</v>
      </c>
      <c r="E913" s="14">
        <v>46</v>
      </c>
      <c r="F913" s="8" t="s">
        <v>1370</v>
      </c>
      <c r="G913" s="2">
        <v>5</v>
      </c>
      <c r="H913" s="2">
        <v>9</v>
      </c>
      <c r="I913" s="45">
        <v>1000</v>
      </c>
      <c r="J913" s="2" t="s">
        <v>761</v>
      </c>
      <c r="K913" s="109" t="s">
        <v>602</v>
      </c>
      <c r="L913" s="92">
        <v>20000</v>
      </c>
      <c r="M913" s="202">
        <v>60</v>
      </c>
      <c r="N913" s="39" t="s">
        <v>48</v>
      </c>
      <c r="O913" s="39" t="s">
        <v>49</v>
      </c>
      <c r="Q913" s="19">
        <f>R913*I913</f>
        <v>120</v>
      </c>
      <c r="R913" s="15">
        <v>0.12</v>
      </c>
      <c r="S913" s="5">
        <f>($AC913*$AD913)/(($Z913/$Y913)+($AA913/$Z913)+($AB913/$AA913))</f>
        <v>133.04347826086956</v>
      </c>
      <c r="U913" s="109" t="s">
        <v>54</v>
      </c>
      <c r="V913" s="2" t="s">
        <v>121</v>
      </c>
      <c r="Y913" s="2">
        <v>1.5</v>
      </c>
      <c r="Z913" s="2">
        <v>4</v>
      </c>
      <c r="AA913" s="2">
        <v>10</v>
      </c>
      <c r="AB913" s="2">
        <v>25</v>
      </c>
      <c r="AC913" s="2">
        <v>17</v>
      </c>
      <c r="AD913" s="2">
        <v>60</v>
      </c>
      <c r="AE913" s="2">
        <f>AC913*AD913</f>
        <v>1020</v>
      </c>
      <c r="AF913" s="2">
        <f>Z913/Y913</f>
        <v>2.6666666666666665</v>
      </c>
      <c r="AG913" s="2">
        <f>AA913/Z913</f>
        <v>2.5</v>
      </c>
      <c r="AH913" s="2">
        <f>AB913/AA913</f>
        <v>2.5</v>
      </c>
    </row>
    <row r="914" spans="1:34">
      <c r="A914" s="102" t="s">
        <v>475</v>
      </c>
      <c r="B914" s="102" t="s">
        <v>476</v>
      </c>
      <c r="C914" s="190">
        <v>46192</v>
      </c>
      <c r="D914" s="42">
        <v>0.45833333333333331</v>
      </c>
      <c r="E914" s="8">
        <v>20</v>
      </c>
      <c r="F914" s="8" t="s">
        <v>496</v>
      </c>
      <c r="G914" s="2">
        <v>1</v>
      </c>
      <c r="H914" s="2">
        <v>9</v>
      </c>
      <c r="I914" s="126">
        <v>400</v>
      </c>
      <c r="J914" s="2" t="s">
        <v>766</v>
      </c>
      <c r="K914" s="109" t="s">
        <v>601</v>
      </c>
      <c r="L914" s="201">
        <v>30000</v>
      </c>
      <c r="M914" s="203">
        <v>30</v>
      </c>
      <c r="N914" s="39" t="s">
        <v>48</v>
      </c>
      <c r="O914" s="39" t="s">
        <v>49</v>
      </c>
      <c r="P914" s="134" t="s">
        <v>834</v>
      </c>
      <c r="Q914" s="19">
        <v>70</v>
      </c>
      <c r="R914" s="15">
        <f>Q914/I914</f>
        <v>0.17499999999999999</v>
      </c>
      <c r="S914" s="5">
        <f>($AC914*$AD914)/(($Z914/$Y914)+($AA914/$Z914)+($AB914/$AA914))</f>
        <v>72.897196261682254</v>
      </c>
      <c r="U914" s="109" t="s">
        <v>767</v>
      </c>
      <c r="V914" s="2" t="s">
        <v>637</v>
      </c>
      <c r="Y914" s="2">
        <v>2</v>
      </c>
      <c r="Z914" s="2">
        <v>5</v>
      </c>
      <c r="AA914" s="2">
        <v>13</v>
      </c>
      <c r="AB914" s="2">
        <v>30</v>
      </c>
      <c r="AC914" s="2">
        <v>30</v>
      </c>
      <c r="AD914" s="2">
        <v>18</v>
      </c>
      <c r="AE914" s="2">
        <f>AC914*AD914</f>
        <v>540</v>
      </c>
      <c r="AF914" s="2">
        <f>Z914/Y914</f>
        <v>2.5</v>
      </c>
      <c r="AG914" s="2">
        <f>AA914/Z914</f>
        <v>2.6</v>
      </c>
      <c r="AH914" s="2">
        <f>AB914/AA914</f>
        <v>2.3076923076923075</v>
      </c>
    </row>
    <row r="915" spans="1:34">
      <c r="A915" s="52" t="s">
        <v>229</v>
      </c>
      <c r="B915" s="52" t="s">
        <v>230</v>
      </c>
      <c r="C915" s="190">
        <v>46192</v>
      </c>
      <c r="D915" s="42">
        <v>0.45833333333333331</v>
      </c>
      <c r="E915" s="193"/>
      <c r="F915" s="8" t="s">
        <v>249</v>
      </c>
      <c r="G915" s="2">
        <v>1</v>
      </c>
      <c r="I915" s="126">
        <v>300</v>
      </c>
      <c r="J915" s="2" t="s">
        <v>766</v>
      </c>
      <c r="K915" s="88" t="s">
        <v>788</v>
      </c>
      <c r="L915" s="91">
        <v>30000</v>
      </c>
      <c r="M915" s="194">
        <v>30</v>
      </c>
      <c r="N915" s="39" t="s">
        <v>48</v>
      </c>
      <c r="O915" s="39" t="s">
        <v>49</v>
      </c>
      <c r="P915" s="134" t="s">
        <v>835</v>
      </c>
      <c r="Q915" s="19">
        <v>45</v>
      </c>
      <c r="R915" s="15">
        <f>IF(Q915&gt;0,Q915/I915,"")</f>
        <v>0.15</v>
      </c>
      <c r="S915" s="5">
        <f>($AC915*$AD915)/(($Z915/$Y915)+($AA915/$Z915)+($AB915/$AA915))</f>
        <v>72.897196261682254</v>
      </c>
      <c r="U915" s="109" t="s">
        <v>767</v>
      </c>
      <c r="V915" s="205" t="s">
        <v>719</v>
      </c>
      <c r="W915" s="205"/>
      <c r="Y915" s="2">
        <v>2</v>
      </c>
      <c r="Z915" s="2">
        <v>5</v>
      </c>
      <c r="AA915" s="2">
        <v>13</v>
      </c>
      <c r="AB915" s="2">
        <v>30</v>
      </c>
      <c r="AC915" s="2">
        <v>18</v>
      </c>
      <c r="AD915" s="2">
        <v>30</v>
      </c>
      <c r="AE915" s="2">
        <f>AC915*AD915</f>
        <v>540</v>
      </c>
      <c r="AF915" s="2">
        <f>Z915/Y915</f>
        <v>2.5</v>
      </c>
      <c r="AG915" s="2">
        <f>AA915/Z915</f>
        <v>2.6</v>
      </c>
      <c r="AH915" s="2">
        <f>AB915/AA915</f>
        <v>2.3076923076923075</v>
      </c>
    </row>
    <row r="916" spans="1:34">
      <c r="A916" s="52" t="s">
        <v>229</v>
      </c>
      <c r="B916" s="52" t="s">
        <v>230</v>
      </c>
      <c r="C916" s="41">
        <v>46192</v>
      </c>
      <c r="D916" s="42">
        <v>0.45833333333333331</v>
      </c>
      <c r="E916" s="193"/>
      <c r="F916" s="8" t="s">
        <v>269</v>
      </c>
      <c r="G916" s="2">
        <v>1</v>
      </c>
      <c r="I916" s="45">
        <v>600</v>
      </c>
      <c r="J916" s="2" t="s">
        <v>766</v>
      </c>
      <c r="K916" s="88" t="s">
        <v>788</v>
      </c>
      <c r="L916" s="92">
        <v>40000</v>
      </c>
      <c r="M916" s="55" t="s">
        <v>22</v>
      </c>
      <c r="N916" s="39" t="s">
        <v>48</v>
      </c>
      <c r="O916" s="39" t="s">
        <v>49</v>
      </c>
      <c r="P916" s="212" t="s">
        <v>837</v>
      </c>
      <c r="Q916" s="19">
        <v>85</v>
      </c>
      <c r="R916" s="15">
        <f>IF(Q916&gt;0,Q916/I916,"")</f>
        <v>0.14166666666666666</v>
      </c>
      <c r="S916" s="5">
        <f>($AC916*$AD916)/(($Z916/$Y916)+($AA916/$Z916)+($AB916/$AA916))</f>
        <v>76.947040498442377</v>
      </c>
      <c r="U916" s="109" t="s">
        <v>125</v>
      </c>
      <c r="V916" s="205" t="s">
        <v>719</v>
      </c>
      <c r="W916" s="205"/>
      <c r="Y916" s="2">
        <v>2</v>
      </c>
      <c r="Z916" s="2">
        <v>5</v>
      </c>
      <c r="AA916" s="2">
        <v>13</v>
      </c>
      <c r="AB916" s="2">
        <v>30</v>
      </c>
      <c r="AC916" s="2">
        <v>19</v>
      </c>
      <c r="AD916" s="2">
        <v>30</v>
      </c>
      <c r="AE916" s="2">
        <f>AC916*AD916</f>
        <v>570</v>
      </c>
      <c r="AF916" s="2">
        <f>Z916/Y916</f>
        <v>2.5</v>
      </c>
      <c r="AG916" s="2">
        <f>AA916/Z916</f>
        <v>2.6</v>
      </c>
      <c r="AH916" s="2">
        <f>AB916/AA916</f>
        <v>2.3076923076923075</v>
      </c>
    </row>
    <row r="917" spans="1:34">
      <c r="A917" s="103" t="s">
        <v>539</v>
      </c>
      <c r="B917" s="103" t="s">
        <v>540</v>
      </c>
      <c r="C917" s="191">
        <v>46192</v>
      </c>
      <c r="D917" s="42">
        <v>0.46875</v>
      </c>
      <c r="E917" s="8">
        <v>54</v>
      </c>
      <c r="F917" s="63" t="s">
        <v>567</v>
      </c>
      <c r="G917" s="2">
        <v>2</v>
      </c>
      <c r="H917" s="2">
        <v>9</v>
      </c>
      <c r="I917" s="126">
        <v>720</v>
      </c>
      <c r="J917" s="179" t="s">
        <v>766</v>
      </c>
      <c r="K917" s="179" t="s">
        <v>598</v>
      </c>
      <c r="L917" s="92">
        <v>30000</v>
      </c>
      <c r="M917" s="69">
        <v>40</v>
      </c>
      <c r="N917" s="39" t="s">
        <v>48</v>
      </c>
      <c r="O917" s="39" t="s">
        <v>49</v>
      </c>
      <c r="P917" s="131"/>
      <c r="Q917" s="19">
        <v>101</v>
      </c>
      <c r="R917" s="15">
        <f>Q917/I917</f>
        <v>0.14027777777777778</v>
      </c>
      <c r="S917" s="5">
        <f>($AC917*$AD917)/(($Z917/$Y917)+($AA917/$Z917)+($AB917/$AA917))</f>
        <v>88.163265306122454</v>
      </c>
      <c r="U917" s="109" t="s">
        <v>767</v>
      </c>
      <c r="V917" s="71" t="s">
        <v>1395</v>
      </c>
      <c r="W917" s="8" t="s">
        <v>1393</v>
      </c>
      <c r="Y917" s="2">
        <v>1.5</v>
      </c>
      <c r="Z917" s="2">
        <v>4</v>
      </c>
      <c r="AA917" s="2">
        <v>10</v>
      </c>
      <c r="AB917" s="2">
        <v>30</v>
      </c>
      <c r="AC917" s="2">
        <v>18</v>
      </c>
      <c r="AD917" s="2">
        <v>40</v>
      </c>
      <c r="AE917" s="2">
        <f>AC917*AD917</f>
        <v>720</v>
      </c>
      <c r="AF917" s="2">
        <f>Z917/Y917</f>
        <v>2.6666666666666665</v>
      </c>
      <c r="AG917" s="2">
        <f>AA917/Z917</f>
        <v>2.5</v>
      </c>
      <c r="AH917" s="2">
        <f>AC917/AA917</f>
        <v>1.8</v>
      </c>
    </row>
    <row r="918" spans="1:34">
      <c r="A918" s="102" t="s">
        <v>475</v>
      </c>
      <c r="B918" s="102" t="s">
        <v>476</v>
      </c>
      <c r="C918" s="47">
        <v>46192</v>
      </c>
      <c r="D918" s="42">
        <v>0.5</v>
      </c>
      <c r="E918" s="8">
        <v>19</v>
      </c>
      <c r="F918" s="8" t="s">
        <v>1330</v>
      </c>
      <c r="G918" s="2">
        <v>2</v>
      </c>
      <c r="H918" s="2">
        <v>9</v>
      </c>
      <c r="I918" s="126">
        <v>400</v>
      </c>
      <c r="J918" s="2" t="s">
        <v>766</v>
      </c>
      <c r="K918" s="109" t="s">
        <v>601</v>
      </c>
      <c r="L918" s="201">
        <v>30000</v>
      </c>
      <c r="M918" s="203">
        <v>30</v>
      </c>
      <c r="N918" s="39" t="s">
        <v>48</v>
      </c>
      <c r="O918" s="39" t="s">
        <v>49</v>
      </c>
      <c r="P918" s="134" t="s">
        <v>838</v>
      </c>
      <c r="Q918" s="19">
        <v>70</v>
      </c>
      <c r="R918" s="15">
        <f>Q918/I918</f>
        <v>0.17499999999999999</v>
      </c>
      <c r="S918" s="5">
        <f>($AC918*$AD918)/(($Z918/$Y918)+($AA918/$Z918)+($AB918/$AA918))</f>
        <v>72.897196261682254</v>
      </c>
      <c r="U918" s="109" t="s">
        <v>767</v>
      </c>
      <c r="V918" s="2" t="s">
        <v>638</v>
      </c>
      <c r="W918" s="205"/>
      <c r="Y918" s="2">
        <v>2</v>
      </c>
      <c r="Z918" s="2">
        <v>5</v>
      </c>
      <c r="AA918" s="2">
        <v>13</v>
      </c>
      <c r="AB918" s="2">
        <v>30</v>
      </c>
      <c r="AC918" s="2">
        <v>30</v>
      </c>
      <c r="AD918" s="2">
        <v>18</v>
      </c>
      <c r="AE918" s="2">
        <f>AC918*AD918</f>
        <v>540</v>
      </c>
      <c r="AF918" s="2">
        <f>Z918/Y918</f>
        <v>2.5</v>
      </c>
      <c r="AG918" s="2">
        <f>AA918/Z918</f>
        <v>2.6</v>
      </c>
      <c r="AH918" s="2">
        <f>AB918/AA918</f>
        <v>2.3076923076923075</v>
      </c>
    </row>
    <row r="919" spans="1:34">
      <c r="A919" s="52" t="s">
        <v>220</v>
      </c>
      <c r="B919" s="52" t="s">
        <v>221</v>
      </c>
      <c r="C919" s="191">
        <v>46192</v>
      </c>
      <c r="D919" s="42">
        <v>0.5</v>
      </c>
      <c r="E919" s="193"/>
      <c r="F919" s="8" t="s">
        <v>1053</v>
      </c>
      <c r="G919" s="2">
        <v>1</v>
      </c>
      <c r="H919" s="2">
        <v>9</v>
      </c>
      <c r="I919" s="126">
        <v>1100</v>
      </c>
      <c r="J919" s="2" t="s">
        <v>766</v>
      </c>
      <c r="K919" s="88" t="s">
        <v>780</v>
      </c>
      <c r="L919" s="91">
        <v>30000</v>
      </c>
      <c r="M919" s="203">
        <v>30</v>
      </c>
      <c r="N919" s="39" t="s">
        <v>48</v>
      </c>
      <c r="O919" s="39" t="s">
        <v>49</v>
      </c>
      <c r="P919" s="135" t="s">
        <v>841</v>
      </c>
      <c r="Q919" s="19">
        <v>125</v>
      </c>
      <c r="R919" s="15">
        <f>Q919/I919</f>
        <v>0.11363636363636363</v>
      </c>
      <c r="S919" s="5">
        <f>($AC919*$AD919)/(($Z919/$Y919)+($AA919/$Z919)+($AB919/$AA919))</f>
        <v>62.448979591836739</v>
      </c>
      <c r="U919" s="109" t="s">
        <v>767</v>
      </c>
      <c r="V919" s="205" t="s">
        <v>738</v>
      </c>
      <c r="W919" s="205"/>
      <c r="Y919" s="2">
        <v>2</v>
      </c>
      <c r="Z919" s="2">
        <v>5</v>
      </c>
      <c r="AA919" s="2">
        <v>15</v>
      </c>
      <c r="AB919" s="2">
        <v>40</v>
      </c>
      <c r="AC919" s="2">
        <v>17</v>
      </c>
      <c r="AD919" s="2">
        <v>30</v>
      </c>
      <c r="AE919" s="2">
        <f>AC919*AD919</f>
        <v>510</v>
      </c>
      <c r="AF919" s="2">
        <f>Z919/Y919</f>
        <v>2.5</v>
      </c>
      <c r="AG919" s="2">
        <f>AA919/Z919</f>
        <v>3</v>
      </c>
      <c r="AH919" s="2">
        <f>AB919/AA919</f>
        <v>2.6666666666666665</v>
      </c>
    </row>
    <row r="920" spans="1:34">
      <c r="A920" s="52" t="s">
        <v>220</v>
      </c>
      <c r="B920" s="52" t="s">
        <v>221</v>
      </c>
      <c r="C920" s="191">
        <v>46192</v>
      </c>
      <c r="D920" s="42">
        <v>0.5</v>
      </c>
      <c r="E920" s="193"/>
      <c r="F920" s="8" t="s">
        <v>880</v>
      </c>
      <c r="G920" s="2">
        <v>1</v>
      </c>
      <c r="H920" s="2">
        <v>6</v>
      </c>
      <c r="I920" s="126">
        <v>1100</v>
      </c>
      <c r="J920" s="2" t="s">
        <v>766</v>
      </c>
      <c r="K920" s="88" t="s">
        <v>780</v>
      </c>
      <c r="L920" s="91">
        <v>35000</v>
      </c>
      <c r="M920" s="203">
        <v>30</v>
      </c>
      <c r="N920" s="39" t="s">
        <v>48</v>
      </c>
      <c r="O920" s="39" t="s">
        <v>224</v>
      </c>
      <c r="P920" s="63">
        <v>50000</v>
      </c>
      <c r="Q920" s="2">
        <v>125</v>
      </c>
      <c r="R920" s="15">
        <f>Q920/I920</f>
        <v>0.11363636363636363</v>
      </c>
      <c r="S920" s="149" t="s">
        <v>110</v>
      </c>
      <c r="T920" s="149"/>
      <c r="U920" s="109" t="s">
        <v>767</v>
      </c>
      <c r="V920" s="205" t="s">
        <v>738</v>
      </c>
      <c r="W920" s="205"/>
      <c r="AE920" s="2">
        <f>AC920*AD920</f>
        <v>0</v>
      </c>
      <c r="AF920" s="2" t="e">
        <f>Z920/Y920</f>
        <v>#DIV/0!</v>
      </c>
      <c r="AG920" s="2" t="e">
        <f>AA920/Z920</f>
        <v>#DIV/0!</v>
      </c>
      <c r="AH920" s="2" t="e">
        <f>AB920/AA920</f>
        <v>#DIV/0!</v>
      </c>
    </row>
    <row r="921" spans="1:34">
      <c r="A921" s="68" t="s">
        <v>357</v>
      </c>
      <c r="B921" s="68" t="s">
        <v>358</v>
      </c>
      <c r="C921" s="51">
        <v>46192</v>
      </c>
      <c r="D921" s="42">
        <v>0.50694444444444442</v>
      </c>
      <c r="E921" s="8">
        <v>59</v>
      </c>
      <c r="F921" s="63" t="s">
        <v>314</v>
      </c>
      <c r="G921" s="2">
        <v>1</v>
      </c>
      <c r="H921" s="2">
        <v>8</v>
      </c>
      <c r="I921" s="126">
        <v>1100</v>
      </c>
      <c r="J921" s="2" t="s">
        <v>766</v>
      </c>
      <c r="K921" s="137" t="s">
        <v>815</v>
      </c>
      <c r="L921" s="92">
        <v>30000</v>
      </c>
      <c r="M921" s="69">
        <v>30</v>
      </c>
      <c r="N921" s="39" t="s">
        <v>48</v>
      </c>
      <c r="O921" s="39" t="s">
        <v>57</v>
      </c>
      <c r="P921" s="234">
        <v>150000</v>
      </c>
      <c r="Q921" s="2">
        <v>130</v>
      </c>
      <c r="R921" s="15">
        <f>Q921/I921</f>
        <v>0.11818181818181818</v>
      </c>
      <c r="S921" s="149" t="s">
        <v>110</v>
      </c>
      <c r="T921" s="149"/>
      <c r="U921" s="109" t="s">
        <v>767</v>
      </c>
      <c r="V921" s="2" t="s">
        <v>680</v>
      </c>
      <c r="W921" s="205"/>
      <c r="AE921" s="2">
        <f>AC921*AD921</f>
        <v>0</v>
      </c>
      <c r="AF921" s="2" t="e">
        <f>Z921/Y921</f>
        <v>#DIV/0!</v>
      </c>
      <c r="AG921" s="2" t="e">
        <f>AA921/Z921</f>
        <v>#DIV/0!</v>
      </c>
      <c r="AH921" s="2" t="e">
        <f>AB921/AA921</f>
        <v>#DIV/0!</v>
      </c>
    </row>
    <row r="922" spans="1:34">
      <c r="A922" s="103" t="s">
        <v>539</v>
      </c>
      <c r="B922" s="103" t="s">
        <v>540</v>
      </c>
      <c r="C922" s="191">
        <v>46192</v>
      </c>
      <c r="D922" s="42">
        <v>0.51041666666666663</v>
      </c>
      <c r="E922" s="46">
        <v>58</v>
      </c>
      <c r="F922" s="63" t="s">
        <v>260</v>
      </c>
      <c r="G922" s="2">
        <v>1</v>
      </c>
      <c r="H922" s="2">
        <v>8</v>
      </c>
      <c r="I922" s="126">
        <v>500</v>
      </c>
      <c r="J922" s="179" t="s">
        <v>766</v>
      </c>
      <c r="K922" s="179" t="s">
        <v>602</v>
      </c>
      <c r="L922" s="92">
        <v>35000</v>
      </c>
      <c r="M922" s="181" t="s">
        <v>22</v>
      </c>
      <c r="N922" s="39" t="s">
        <v>48</v>
      </c>
      <c r="O922" s="39" t="s">
        <v>862</v>
      </c>
      <c r="P922" s="63">
        <v>25000</v>
      </c>
      <c r="Q922" s="2">
        <v>70</v>
      </c>
      <c r="R922" s="15">
        <f>Q922/I922</f>
        <v>0.14000000000000001</v>
      </c>
      <c r="S922" s="142"/>
      <c r="U922" s="109" t="s">
        <v>767</v>
      </c>
      <c r="V922" s="71" t="s">
        <v>1395</v>
      </c>
      <c r="W922" s="205"/>
      <c r="AE922" s="2">
        <f>AC922*AD922</f>
        <v>0</v>
      </c>
      <c r="AF922" s="2" t="e">
        <f>Z922/Y922</f>
        <v>#DIV/0!</v>
      </c>
      <c r="AG922" s="2" t="e">
        <f>AA922/Z922</f>
        <v>#DIV/0!</v>
      </c>
      <c r="AH922" s="2" t="e">
        <f>AB922/AA922</f>
        <v>#DIV/0!</v>
      </c>
    </row>
    <row r="923" spans="1:34">
      <c r="A923" s="95" t="s">
        <v>447</v>
      </c>
      <c r="B923" s="95" t="s">
        <v>448</v>
      </c>
      <c r="C923" s="190">
        <v>46192</v>
      </c>
      <c r="D923" s="42">
        <v>0.54166666666666663</v>
      </c>
      <c r="E923" s="193"/>
      <c r="F923" s="8" t="s">
        <v>405</v>
      </c>
      <c r="G923" s="2">
        <v>1</v>
      </c>
      <c r="H923" s="2">
        <v>9</v>
      </c>
      <c r="I923" s="126">
        <v>800</v>
      </c>
      <c r="J923" s="2" t="s">
        <v>766</v>
      </c>
      <c r="K923" s="109" t="s">
        <v>602</v>
      </c>
      <c r="L923" s="194">
        <v>30000</v>
      </c>
      <c r="M923" s="194">
        <v>30</v>
      </c>
      <c r="N923" s="39" t="s">
        <v>48</v>
      </c>
      <c r="O923" s="39" t="s">
        <v>49</v>
      </c>
      <c r="P923" s="135" t="s">
        <v>840</v>
      </c>
      <c r="Q923" s="19">
        <v>100</v>
      </c>
      <c r="R923" s="15">
        <f>Q923/I923</f>
        <v>0.125</v>
      </c>
      <c r="S923" s="5">
        <f>($AC923*$AD923)/(($Z923/$Y923)+($AA923/$Z923)+($AB923/$AA923))</f>
        <v>72.897196261682254</v>
      </c>
      <c r="U923" s="109" t="s">
        <v>767</v>
      </c>
      <c r="V923" s="205" t="s">
        <v>741</v>
      </c>
      <c r="W923" s="205"/>
      <c r="Y923" s="2">
        <v>2</v>
      </c>
      <c r="Z923" s="2">
        <v>5</v>
      </c>
      <c r="AA923" s="2">
        <v>13</v>
      </c>
      <c r="AB923" s="2">
        <v>30</v>
      </c>
      <c r="AC923" s="2">
        <v>18</v>
      </c>
      <c r="AD923" s="2">
        <v>30</v>
      </c>
      <c r="AE923" s="2">
        <f>AC923*AD923</f>
        <v>540</v>
      </c>
      <c r="AF923" s="2">
        <f>Z923/Y923</f>
        <v>2.5</v>
      </c>
      <c r="AG923" s="2">
        <f>AA923/Z923</f>
        <v>2.6</v>
      </c>
      <c r="AH923" s="2">
        <f>AB923/AA923</f>
        <v>2.3076923076923075</v>
      </c>
    </row>
    <row r="924" spans="1:34">
      <c r="A924" s="103" t="s">
        <v>539</v>
      </c>
      <c r="B924" s="103" t="s">
        <v>540</v>
      </c>
      <c r="C924" s="191">
        <v>46192</v>
      </c>
      <c r="D924" s="42">
        <v>0.54166666666666663</v>
      </c>
      <c r="E924" s="46">
        <v>59</v>
      </c>
      <c r="F924" s="63" t="s">
        <v>542</v>
      </c>
      <c r="G924" s="2">
        <v>1</v>
      </c>
      <c r="H924" s="2">
        <v>9</v>
      </c>
      <c r="I924" s="151">
        <v>200</v>
      </c>
      <c r="J924" s="179" t="s">
        <v>766</v>
      </c>
      <c r="K924" s="179" t="s">
        <v>815</v>
      </c>
      <c r="L924" s="160">
        <v>30000</v>
      </c>
      <c r="M924" s="69">
        <v>30</v>
      </c>
      <c r="N924" s="39" t="s">
        <v>48</v>
      </c>
      <c r="O924" s="39" t="s">
        <v>49</v>
      </c>
      <c r="P924" s="134" t="s">
        <v>833</v>
      </c>
      <c r="Q924" s="19">
        <v>44</v>
      </c>
      <c r="R924" s="59">
        <f>Q924/I924</f>
        <v>0.22</v>
      </c>
      <c r="S924" s="5">
        <f>($AC924*$AD924)/(($Z924/$Y924)+($AA924/$Z924)+($AB924/$AA924))</f>
        <v>53.333333333333336</v>
      </c>
      <c r="U924" s="109" t="s">
        <v>767</v>
      </c>
      <c r="V924" s="71" t="s">
        <v>1395</v>
      </c>
      <c r="W924" s="205"/>
      <c r="Y924" s="2">
        <v>2</v>
      </c>
      <c r="Z924" s="2">
        <v>5</v>
      </c>
      <c r="AA924" s="2">
        <v>20</v>
      </c>
      <c r="AB924" s="2">
        <v>50</v>
      </c>
      <c r="AC924" s="2">
        <v>16</v>
      </c>
      <c r="AD924" s="2">
        <v>30</v>
      </c>
      <c r="AE924" s="2">
        <f>AC924*AD924</f>
        <v>480</v>
      </c>
      <c r="AF924" s="2">
        <f>Z924/Y924</f>
        <v>2.5</v>
      </c>
      <c r="AG924" s="2">
        <f>AA924/Z924</f>
        <v>4</v>
      </c>
      <c r="AH924" s="2">
        <f>AB924/AA924</f>
        <v>2.5</v>
      </c>
    </row>
    <row r="925" spans="1:34">
      <c r="A925" s="165" t="s">
        <v>1383</v>
      </c>
      <c r="B925" s="36" t="s">
        <v>63</v>
      </c>
      <c r="C925" s="41">
        <v>46192</v>
      </c>
      <c r="D925" s="144">
        <v>0.54166666666666663</v>
      </c>
      <c r="E925" s="8">
        <v>54</v>
      </c>
      <c r="F925" s="8" t="s">
        <v>1143</v>
      </c>
      <c r="G925" s="2">
        <v>4</v>
      </c>
      <c r="H925" s="2">
        <v>9</v>
      </c>
      <c r="I925" s="45">
        <v>10000</v>
      </c>
      <c r="J925" s="2" t="s">
        <v>110</v>
      </c>
      <c r="K925" s="109" t="s">
        <v>816</v>
      </c>
      <c r="L925" s="92">
        <v>60000</v>
      </c>
      <c r="M925" s="69" t="s">
        <v>111</v>
      </c>
      <c r="N925" s="39" t="s">
        <v>48</v>
      </c>
      <c r="O925" s="39" t="s">
        <v>122</v>
      </c>
      <c r="P925" s="19"/>
      <c r="Q925" s="38">
        <f>R925*I925</f>
        <v>700.00000000000011</v>
      </c>
      <c r="R925" s="15">
        <v>7.0000000000000007E-2</v>
      </c>
      <c r="S925" s="149" t="s">
        <v>110</v>
      </c>
      <c r="T925" s="149"/>
      <c r="U925" s="109" t="s">
        <v>767</v>
      </c>
      <c r="V925" s="2" t="s">
        <v>121</v>
      </c>
      <c r="W925" s="205"/>
      <c r="AE925" s="2" t="e">
        <f>AD925*#REF!</f>
        <v>#REF!</v>
      </c>
      <c r="AF925" s="2" t="e">
        <f>Z925/Y925</f>
        <v>#DIV/0!</v>
      </c>
      <c r="AG925" s="2" t="e">
        <f>AA925/Z925</f>
        <v>#DIV/0!</v>
      </c>
      <c r="AH925" s="2" t="e">
        <f>AC925/AA925</f>
        <v>#DIV/0!</v>
      </c>
    </row>
    <row r="926" spans="1:34">
      <c r="A926" s="165" t="s">
        <v>1383</v>
      </c>
      <c r="B926" s="39" t="s">
        <v>63</v>
      </c>
      <c r="C926" s="41">
        <v>46192</v>
      </c>
      <c r="D926" s="144">
        <v>0.54166666666666663</v>
      </c>
      <c r="E926" s="8"/>
      <c r="F926" s="8" t="s">
        <v>881</v>
      </c>
      <c r="G926" s="2">
        <v>1</v>
      </c>
      <c r="H926" s="2">
        <v>9</v>
      </c>
      <c r="I926" s="45">
        <v>250</v>
      </c>
      <c r="J926" s="2" t="s">
        <v>766</v>
      </c>
      <c r="K926" s="88" t="s">
        <v>787</v>
      </c>
      <c r="L926" s="92">
        <v>25000</v>
      </c>
      <c r="M926" s="10">
        <v>30</v>
      </c>
      <c r="N926" s="39" t="s">
        <v>817</v>
      </c>
      <c r="O926" s="39" t="s">
        <v>49</v>
      </c>
      <c r="P926" s="210"/>
      <c r="Q926" s="19">
        <v>50</v>
      </c>
      <c r="R926" s="15">
        <f>Q926/I926</f>
        <v>0.2</v>
      </c>
      <c r="S926" s="5">
        <v>44</v>
      </c>
      <c r="U926" s="109" t="s">
        <v>767</v>
      </c>
      <c r="V926" s="71" t="s">
        <v>360</v>
      </c>
      <c r="Y926" s="175"/>
      <c r="Z926" s="175"/>
      <c r="AA926" s="175"/>
      <c r="AB926" s="175"/>
      <c r="AC926" s="175"/>
      <c r="AD926" s="175"/>
      <c r="AE926" s="175"/>
      <c r="AF926" s="175"/>
      <c r="AG926" s="175"/>
      <c r="AH926" s="175"/>
    </row>
    <row r="927" spans="1:34">
      <c r="A927" s="96" t="s">
        <v>461</v>
      </c>
      <c r="B927" s="96" t="s">
        <v>462</v>
      </c>
      <c r="C927" s="41">
        <v>46192</v>
      </c>
      <c r="D927" s="42">
        <v>0.59027777777777779</v>
      </c>
      <c r="E927" s="193"/>
      <c r="F927" s="8" t="s">
        <v>459</v>
      </c>
      <c r="G927" s="2">
        <v>1</v>
      </c>
      <c r="I927" s="126">
        <v>120</v>
      </c>
      <c r="J927" s="2" t="s">
        <v>766</v>
      </c>
      <c r="K927" s="109" t="s">
        <v>602</v>
      </c>
      <c r="L927" s="194">
        <v>20000</v>
      </c>
      <c r="M927" s="69">
        <v>20</v>
      </c>
      <c r="N927" s="39" t="s">
        <v>48</v>
      </c>
      <c r="O927" s="39" t="s">
        <v>465</v>
      </c>
      <c r="P927" s="63">
        <v>6000</v>
      </c>
      <c r="Q927" s="2">
        <v>24</v>
      </c>
      <c r="R927" s="15">
        <f>Q927/I927</f>
        <v>0.2</v>
      </c>
      <c r="S927" s="149" t="s">
        <v>110</v>
      </c>
      <c r="T927" s="149"/>
      <c r="U927" s="109" t="s">
        <v>767</v>
      </c>
      <c r="V927" s="2" t="s">
        <v>735</v>
      </c>
      <c r="AE927" s="2">
        <f>AC927*AD927</f>
        <v>0</v>
      </c>
      <c r="AF927" s="2" t="e">
        <f>Z927/Y927</f>
        <v>#DIV/0!</v>
      </c>
      <c r="AG927" s="2" t="e">
        <f>AA927/Z927</f>
        <v>#DIV/0!</v>
      </c>
      <c r="AH927" s="2" t="e">
        <f>AB927/AA927</f>
        <v>#DIV/0!</v>
      </c>
    </row>
    <row r="928" spans="1:34">
      <c r="A928" s="165" t="s">
        <v>1383</v>
      </c>
      <c r="B928" s="39" t="s">
        <v>63</v>
      </c>
      <c r="C928" s="41">
        <v>46192</v>
      </c>
      <c r="D928" s="144">
        <v>0.625</v>
      </c>
      <c r="F928" s="8" t="s">
        <v>912</v>
      </c>
      <c r="G928" s="2">
        <v>1</v>
      </c>
      <c r="H928" s="2">
        <v>9</v>
      </c>
      <c r="I928" s="45">
        <v>240</v>
      </c>
      <c r="J928" s="2" t="s">
        <v>766</v>
      </c>
      <c r="K928" s="88" t="s">
        <v>784</v>
      </c>
      <c r="L928" s="92">
        <v>10000</v>
      </c>
      <c r="M928" s="202">
        <v>20</v>
      </c>
      <c r="N928" s="132" t="s">
        <v>821</v>
      </c>
      <c r="O928" s="39" t="s">
        <v>49</v>
      </c>
      <c r="P928" s="210"/>
      <c r="Q928" s="19">
        <v>40</v>
      </c>
      <c r="R928" s="15">
        <v>0.16666666666666666</v>
      </c>
      <c r="S928" s="5">
        <v>29</v>
      </c>
      <c r="U928" s="109" t="s">
        <v>767</v>
      </c>
      <c r="V928" s="71" t="s">
        <v>362</v>
      </c>
      <c r="W928" s="8" t="s">
        <v>367</v>
      </c>
      <c r="Y928" s="175"/>
      <c r="Z928" s="175"/>
      <c r="AA928" s="175"/>
      <c r="AB928" s="175"/>
      <c r="AC928" s="175"/>
      <c r="AD928" s="175"/>
      <c r="AE928" s="175"/>
      <c r="AF928" s="175"/>
      <c r="AG928" s="175"/>
      <c r="AH928" s="175"/>
    </row>
    <row r="929" spans="1:34">
      <c r="A929" s="165" t="s">
        <v>1383</v>
      </c>
      <c r="B929" s="39" t="s">
        <v>63</v>
      </c>
      <c r="C929" s="47">
        <v>46192</v>
      </c>
      <c r="D929" s="144">
        <v>0.625</v>
      </c>
      <c r="E929" s="193"/>
      <c r="F929" s="8" t="s">
        <v>922</v>
      </c>
      <c r="G929" s="2">
        <v>1</v>
      </c>
      <c r="H929" s="2">
        <v>7</v>
      </c>
      <c r="I929" s="126">
        <v>625</v>
      </c>
      <c r="J929" s="2" t="s">
        <v>766</v>
      </c>
      <c r="K929" s="88" t="s">
        <v>779</v>
      </c>
      <c r="L929" s="91">
        <v>10000</v>
      </c>
      <c r="M929" s="194">
        <v>15</v>
      </c>
      <c r="N929" s="132" t="s">
        <v>821</v>
      </c>
      <c r="O929" s="39" t="s">
        <v>863</v>
      </c>
      <c r="P929" s="19"/>
      <c r="Q929" s="2">
        <v>95</v>
      </c>
      <c r="R929" s="15">
        <f>Q929/I929</f>
        <v>0.152</v>
      </c>
      <c r="S929" s="149" t="s">
        <v>110</v>
      </c>
      <c r="T929" s="149"/>
      <c r="U929" s="109" t="s">
        <v>767</v>
      </c>
      <c r="V929" s="71" t="s">
        <v>362</v>
      </c>
      <c r="W929" s="8" t="s">
        <v>150</v>
      </c>
      <c r="AE929" s="2" t="e">
        <f>AD929*#REF!</f>
        <v>#REF!</v>
      </c>
      <c r="AF929" s="2" t="e">
        <f>Z929/Y929</f>
        <v>#DIV/0!</v>
      </c>
      <c r="AG929" s="2" t="e">
        <f>AA929/Z929</f>
        <v>#DIV/0!</v>
      </c>
      <c r="AH929" s="2" t="e">
        <f>AC929/AA929</f>
        <v>#DIV/0!</v>
      </c>
    </row>
    <row r="930" spans="1:34">
      <c r="A930" s="165" t="s">
        <v>1383</v>
      </c>
      <c r="B930" s="39" t="s">
        <v>63</v>
      </c>
      <c r="C930" s="41">
        <v>46192</v>
      </c>
      <c r="D930" s="144">
        <v>0.66666666666666663</v>
      </c>
      <c r="E930" s="8"/>
      <c r="F930" s="8" t="s">
        <v>1024</v>
      </c>
      <c r="G930" s="2">
        <v>1</v>
      </c>
      <c r="H930" s="2">
        <v>9</v>
      </c>
      <c r="I930" s="45">
        <v>400</v>
      </c>
      <c r="J930" s="2" t="s">
        <v>766</v>
      </c>
      <c r="K930" s="88" t="s">
        <v>794</v>
      </c>
      <c r="L930" s="92">
        <v>30000</v>
      </c>
      <c r="M930" s="10">
        <v>20</v>
      </c>
      <c r="N930" s="39" t="s">
        <v>817</v>
      </c>
      <c r="O930" s="39" t="s">
        <v>49</v>
      </c>
      <c r="P930" s="210"/>
      <c r="Q930" s="19">
        <v>70</v>
      </c>
      <c r="R930" s="15">
        <f>Q930/I930</f>
        <v>0.17499999999999999</v>
      </c>
      <c r="S930" s="5">
        <v>37</v>
      </c>
      <c r="U930" s="109" t="s">
        <v>129</v>
      </c>
      <c r="V930" s="71" t="s">
        <v>360</v>
      </c>
      <c r="W930" s="205"/>
      <c r="Y930" s="175"/>
      <c r="Z930" s="175"/>
      <c r="AA930" s="175"/>
      <c r="AB930" s="175"/>
      <c r="AC930" s="175"/>
      <c r="AD930" s="175"/>
      <c r="AE930" s="175"/>
      <c r="AF930" s="175"/>
      <c r="AG930" s="175"/>
      <c r="AH930" s="175"/>
    </row>
    <row r="931" spans="1:34">
      <c r="A931" s="103" t="s">
        <v>539</v>
      </c>
      <c r="B931" s="103" t="s">
        <v>540</v>
      </c>
      <c r="C931" s="191">
        <v>46192</v>
      </c>
      <c r="D931" s="42">
        <v>0.67708333333333337</v>
      </c>
      <c r="E931" s="8">
        <v>54</v>
      </c>
      <c r="F931" s="63" t="s">
        <v>568</v>
      </c>
      <c r="G931" s="2">
        <v>2</v>
      </c>
      <c r="H931" s="2">
        <v>9</v>
      </c>
      <c r="I931" s="126">
        <v>720</v>
      </c>
      <c r="J931" s="179" t="s">
        <v>766</v>
      </c>
      <c r="K931" s="179" t="s">
        <v>598</v>
      </c>
      <c r="L931" s="92">
        <v>30000</v>
      </c>
      <c r="M931" s="69">
        <v>40</v>
      </c>
      <c r="N931" s="39" t="s">
        <v>48</v>
      </c>
      <c r="O931" s="39" t="s">
        <v>49</v>
      </c>
      <c r="P931" s="131"/>
      <c r="Q931" s="19">
        <v>101</v>
      </c>
      <c r="R931" s="15">
        <f>Q931/I931</f>
        <v>0.14027777777777778</v>
      </c>
      <c r="S931" s="5">
        <f>($AC931*$AD931)/(($Z931/$Y931)+($AA931/$Z931)+($AB931/$AA931))</f>
        <v>88.163265306122454</v>
      </c>
      <c r="U931" s="109" t="s">
        <v>767</v>
      </c>
      <c r="V931" s="71" t="s">
        <v>1395</v>
      </c>
      <c r="W931" s="8" t="s">
        <v>1393</v>
      </c>
      <c r="Y931" s="2">
        <v>1.5</v>
      </c>
      <c r="Z931" s="2">
        <v>4</v>
      </c>
      <c r="AA931" s="2">
        <v>10</v>
      </c>
      <c r="AB931" s="2">
        <v>30</v>
      </c>
      <c r="AC931" s="2">
        <v>18</v>
      </c>
      <c r="AD931" s="2">
        <v>40</v>
      </c>
      <c r="AE931" s="2">
        <f>AC931*AD931</f>
        <v>720</v>
      </c>
      <c r="AF931" s="2">
        <f>Z931/Y931</f>
        <v>2.6666666666666665</v>
      </c>
      <c r="AG931" s="2">
        <f>AA931/Z931</f>
        <v>2.5</v>
      </c>
      <c r="AH931" s="2">
        <f>AC931/AA931</f>
        <v>1.8</v>
      </c>
    </row>
    <row r="932" spans="1:34">
      <c r="A932" s="165" t="s">
        <v>1383</v>
      </c>
      <c r="B932" s="39" t="s">
        <v>63</v>
      </c>
      <c r="C932" s="47">
        <v>46192</v>
      </c>
      <c r="D932" s="144">
        <v>0.75</v>
      </c>
      <c r="E932" s="193"/>
      <c r="F932" s="8" t="s">
        <v>914</v>
      </c>
      <c r="G932" s="2">
        <v>1</v>
      </c>
      <c r="H932" s="2">
        <v>7</v>
      </c>
      <c r="I932" s="126">
        <v>5300</v>
      </c>
      <c r="J932" s="2" t="s">
        <v>766</v>
      </c>
      <c r="K932" s="88" t="s">
        <v>809</v>
      </c>
      <c r="L932" s="91">
        <v>25000</v>
      </c>
      <c r="M932" s="194">
        <v>30</v>
      </c>
      <c r="N932" s="132" t="s">
        <v>821</v>
      </c>
      <c r="O932" s="39" t="s">
        <v>863</v>
      </c>
      <c r="P932" s="19"/>
      <c r="Q932" s="2">
        <v>300</v>
      </c>
      <c r="R932" s="15">
        <f>Q932/I932</f>
        <v>5.6603773584905662E-2</v>
      </c>
      <c r="S932" s="149" t="s">
        <v>110</v>
      </c>
      <c r="T932" s="149"/>
      <c r="U932" s="109" t="s">
        <v>767</v>
      </c>
      <c r="V932" s="71" t="s">
        <v>362</v>
      </c>
      <c r="W932" s="8" t="s">
        <v>382</v>
      </c>
      <c r="AE932" s="2" t="e">
        <f>AD932*#REF!</f>
        <v>#REF!</v>
      </c>
      <c r="AF932" s="2" t="e">
        <f>Z932/Y932</f>
        <v>#DIV/0!</v>
      </c>
      <c r="AG932" s="2" t="e">
        <f>AA932/Z932</f>
        <v>#DIV/0!</v>
      </c>
      <c r="AH932" s="2" t="e">
        <f>AC932/AA932</f>
        <v>#DIV/0!</v>
      </c>
    </row>
    <row r="933" spans="1:34">
      <c r="A933" s="102" t="s">
        <v>475</v>
      </c>
      <c r="B933" s="102" t="s">
        <v>476</v>
      </c>
      <c r="C933" s="47">
        <v>46192</v>
      </c>
      <c r="D933" s="42">
        <v>0.75</v>
      </c>
      <c r="E933" s="8">
        <v>21</v>
      </c>
      <c r="F933" s="8" t="s">
        <v>495</v>
      </c>
      <c r="G933" s="2">
        <v>1</v>
      </c>
      <c r="H933" s="2">
        <v>8</v>
      </c>
      <c r="I933" s="126">
        <v>250</v>
      </c>
      <c r="J933" s="2" t="s">
        <v>766</v>
      </c>
      <c r="K933" s="109" t="s">
        <v>602</v>
      </c>
      <c r="L933" s="201">
        <v>25000</v>
      </c>
      <c r="M933" s="203">
        <v>30</v>
      </c>
      <c r="N933" s="39" t="s">
        <v>48</v>
      </c>
      <c r="O933" s="39" t="s">
        <v>359</v>
      </c>
      <c r="P933" s="63">
        <v>10000</v>
      </c>
      <c r="Q933" s="2">
        <v>45</v>
      </c>
      <c r="R933" s="15">
        <f>Q933/I933</f>
        <v>0.18</v>
      </c>
      <c r="S933" s="149" t="s">
        <v>110</v>
      </c>
      <c r="T933" s="149"/>
      <c r="U933" s="109" t="s">
        <v>767</v>
      </c>
      <c r="V933" s="2" t="s">
        <v>636</v>
      </c>
      <c r="AE933" s="2">
        <f>AC933*AD933</f>
        <v>0</v>
      </c>
      <c r="AF933" s="2" t="e">
        <f>Z933/Y933</f>
        <v>#DIV/0!</v>
      </c>
      <c r="AG933" s="2" t="e">
        <f>AA933/Z933</f>
        <v>#DIV/0!</v>
      </c>
      <c r="AH933" s="2" t="e">
        <f>AB933/AA933</f>
        <v>#DIV/0!</v>
      </c>
    </row>
    <row r="934" spans="1:34">
      <c r="A934" s="52" t="s">
        <v>229</v>
      </c>
      <c r="B934" s="52" t="s">
        <v>230</v>
      </c>
      <c r="C934" s="190">
        <v>46192</v>
      </c>
      <c r="D934" s="42">
        <v>0.75</v>
      </c>
      <c r="E934" s="193"/>
      <c r="F934" s="8" t="s">
        <v>243</v>
      </c>
      <c r="G934" s="2">
        <v>1</v>
      </c>
      <c r="I934" s="126">
        <v>200</v>
      </c>
      <c r="J934" s="2" t="s">
        <v>766</v>
      </c>
      <c r="K934" s="88" t="s">
        <v>809</v>
      </c>
      <c r="L934" s="91">
        <v>30000</v>
      </c>
      <c r="M934" s="195" t="s">
        <v>128</v>
      </c>
      <c r="N934" s="39" t="s">
        <v>48</v>
      </c>
      <c r="O934" s="39" t="s">
        <v>49</v>
      </c>
      <c r="P934" s="134" t="s">
        <v>835</v>
      </c>
      <c r="Q934" s="19">
        <v>40</v>
      </c>
      <c r="R934" s="15">
        <f>IF(Q934&gt;0,Q934/I934,"")</f>
        <v>0.2</v>
      </c>
      <c r="S934" s="5">
        <f>($AC934*$AD934)/(($Z934/$Y934)+($AA934/$Z934)+($AB934/$AA934))</f>
        <v>48.598130841121502</v>
      </c>
      <c r="U934" s="109" t="s">
        <v>767</v>
      </c>
      <c r="V934" s="205" t="s">
        <v>719</v>
      </c>
      <c r="W934" s="205"/>
      <c r="Y934" s="2">
        <v>2</v>
      </c>
      <c r="Z934" s="2">
        <v>5</v>
      </c>
      <c r="AA934" s="2">
        <v>13</v>
      </c>
      <c r="AB934" s="2">
        <v>30</v>
      </c>
      <c r="AC934" s="2">
        <v>18</v>
      </c>
      <c r="AD934" s="2">
        <v>20</v>
      </c>
      <c r="AE934" s="2">
        <f>AC934*AD934</f>
        <v>360</v>
      </c>
      <c r="AF934" s="2">
        <f>Z934/Y934</f>
        <v>2.5</v>
      </c>
      <c r="AG934" s="2">
        <f>AA934/Z934</f>
        <v>2.6</v>
      </c>
      <c r="AH934" s="2">
        <f>AB934/AA934</f>
        <v>2.3076923076923075</v>
      </c>
    </row>
    <row r="935" spans="1:34">
      <c r="A935" s="52" t="s">
        <v>220</v>
      </c>
      <c r="B935" s="52" t="s">
        <v>221</v>
      </c>
      <c r="C935" s="191">
        <v>46192</v>
      </c>
      <c r="D935" s="42">
        <v>0.75</v>
      </c>
      <c r="E935" s="193"/>
      <c r="F935" s="194" t="s">
        <v>1073</v>
      </c>
      <c r="G935" s="2">
        <v>1</v>
      </c>
      <c r="H935" s="2">
        <v>9</v>
      </c>
      <c r="I935" s="126">
        <v>1100</v>
      </c>
      <c r="J935" s="2" t="s">
        <v>766</v>
      </c>
      <c r="K935" s="88" t="s">
        <v>799</v>
      </c>
      <c r="L935" s="91">
        <v>30000</v>
      </c>
      <c r="M935" s="203">
        <v>20</v>
      </c>
      <c r="N935" s="39" t="s">
        <v>48</v>
      </c>
      <c r="O935" s="39" t="s">
        <v>49</v>
      </c>
      <c r="P935" s="212" t="s">
        <v>838</v>
      </c>
      <c r="Q935" s="19">
        <v>125</v>
      </c>
      <c r="R935" s="15">
        <f>Q935/I935</f>
        <v>0.11363636363636363</v>
      </c>
      <c r="S935" s="5">
        <f>($AC935*$AD935)/(($Z935/$Y935)+($AA935/$Z935)+($AB935/$AA935))</f>
        <v>41.632653061224495</v>
      </c>
      <c r="U935" s="109" t="s">
        <v>129</v>
      </c>
      <c r="V935" s="205" t="s">
        <v>738</v>
      </c>
      <c r="W935" s="205"/>
      <c r="Y935" s="2">
        <v>2</v>
      </c>
      <c r="Z935" s="2">
        <v>5</v>
      </c>
      <c r="AA935" s="2">
        <v>15</v>
      </c>
      <c r="AB935" s="2">
        <v>40</v>
      </c>
      <c r="AC935" s="2">
        <v>17</v>
      </c>
      <c r="AD935" s="115">
        <v>20</v>
      </c>
      <c r="AE935" s="2">
        <f>AC935*AD935</f>
        <v>340</v>
      </c>
      <c r="AF935" s="2">
        <f>Z935/Y935</f>
        <v>2.5</v>
      </c>
      <c r="AG935" s="2">
        <f>AA935/Z935</f>
        <v>3</v>
      </c>
      <c r="AH935" s="2">
        <f>AB935/AA935</f>
        <v>2.6666666666666665</v>
      </c>
    </row>
    <row r="936" spans="1:34">
      <c r="A936" s="96" t="s">
        <v>461</v>
      </c>
      <c r="B936" s="96" t="s">
        <v>462</v>
      </c>
      <c r="C936" s="41">
        <v>46192</v>
      </c>
      <c r="D936" s="42">
        <v>0.75694444444444442</v>
      </c>
      <c r="F936" s="194" t="s">
        <v>458</v>
      </c>
      <c r="G936" s="2">
        <v>1</v>
      </c>
      <c r="I936" s="126">
        <v>200</v>
      </c>
      <c r="J936" s="2" t="s">
        <v>766</v>
      </c>
      <c r="K936" s="109" t="s">
        <v>602</v>
      </c>
      <c r="L936" s="194">
        <v>30000</v>
      </c>
      <c r="M936" s="69">
        <v>20</v>
      </c>
      <c r="N936" s="39" t="s">
        <v>48</v>
      </c>
      <c r="O936" s="39" t="s">
        <v>49</v>
      </c>
      <c r="P936" s="212" t="s">
        <v>833</v>
      </c>
      <c r="Q936" s="19">
        <v>40</v>
      </c>
      <c r="R936" s="15">
        <f>Q936/I936</f>
        <v>0.2</v>
      </c>
      <c r="S936" s="5">
        <f>($AC936*$AD936)/(($Z936/$Y936)+($AA936/$Z936)+($AB936/$AA936))</f>
        <v>41.632653061224495</v>
      </c>
      <c r="U936" s="109" t="s">
        <v>767</v>
      </c>
      <c r="V936" s="205" t="s">
        <v>735</v>
      </c>
      <c r="W936" s="205"/>
      <c r="Y936" s="2">
        <v>2</v>
      </c>
      <c r="Z936" s="2">
        <v>5</v>
      </c>
      <c r="AA936" s="2">
        <v>15</v>
      </c>
      <c r="AB936" s="2">
        <v>40</v>
      </c>
      <c r="AC936" s="2">
        <v>17</v>
      </c>
      <c r="AD936" s="2">
        <v>20</v>
      </c>
      <c r="AE936" s="2">
        <f>AC936*AD936</f>
        <v>340</v>
      </c>
      <c r="AF936" s="2">
        <f>Z936/Y936</f>
        <v>2.5</v>
      </c>
      <c r="AG936" s="2">
        <f>AA936/Z936</f>
        <v>3</v>
      </c>
      <c r="AH936" s="2">
        <f>AB936/AA936</f>
        <v>2.6666666666666665</v>
      </c>
    </row>
    <row r="937" spans="1:34">
      <c r="A937" s="95" t="s">
        <v>447</v>
      </c>
      <c r="B937" s="95" t="s">
        <v>448</v>
      </c>
      <c r="C937" s="190">
        <v>46192</v>
      </c>
      <c r="D937" s="42">
        <v>0.79166666666666663</v>
      </c>
      <c r="E937" s="193"/>
      <c r="F937" s="194" t="s">
        <v>403</v>
      </c>
      <c r="G937" s="2">
        <v>1</v>
      </c>
      <c r="H937" s="2">
        <v>9</v>
      </c>
      <c r="I937" s="126">
        <v>300</v>
      </c>
      <c r="J937" s="2" t="s">
        <v>766</v>
      </c>
      <c r="K937" s="109" t="s">
        <v>602</v>
      </c>
      <c r="L937" s="194">
        <v>25000</v>
      </c>
      <c r="M937" s="194">
        <v>25</v>
      </c>
      <c r="N937" s="39" t="s">
        <v>48</v>
      </c>
      <c r="O937" s="39" t="s">
        <v>49</v>
      </c>
      <c r="P937" s="212" t="s">
        <v>834</v>
      </c>
      <c r="Q937" s="19">
        <v>50</v>
      </c>
      <c r="R937" s="15">
        <f>Q937/I937</f>
        <v>0.16666666666666666</v>
      </c>
      <c r="S937" s="5">
        <f>($AC937*$AD937)/(($Z937/$Y937)+($AA937/$Z937)+($AB937/$AA937))</f>
        <v>37.5</v>
      </c>
      <c r="U937" s="109" t="s">
        <v>767</v>
      </c>
      <c r="V937" s="2" t="s">
        <v>741</v>
      </c>
      <c r="Y937" s="2">
        <v>2.5</v>
      </c>
      <c r="Z937" s="2">
        <v>7.5</v>
      </c>
      <c r="AA937" s="2">
        <v>25</v>
      </c>
      <c r="AB937" s="2">
        <v>75</v>
      </c>
      <c r="AC937" s="2">
        <v>14</v>
      </c>
      <c r="AD937" s="2">
        <v>25</v>
      </c>
      <c r="AE937" s="2">
        <f>AC937*AD937</f>
        <v>350</v>
      </c>
      <c r="AF937" s="2">
        <f>Z937/Y937</f>
        <v>3</v>
      </c>
      <c r="AG937" s="2">
        <f>AA937/Z937</f>
        <v>3.3333333333333335</v>
      </c>
      <c r="AH937" s="2">
        <f>AB937/AA937</f>
        <v>3</v>
      </c>
    </row>
    <row r="938" spans="1:34">
      <c r="A938" s="165" t="s">
        <v>1383</v>
      </c>
      <c r="B938" s="39" t="s">
        <v>63</v>
      </c>
      <c r="C938" s="41">
        <v>46192</v>
      </c>
      <c r="D938" s="144">
        <v>0.79166666666666663</v>
      </c>
      <c r="F938" s="194" t="s">
        <v>917</v>
      </c>
      <c r="G938" s="2">
        <v>1</v>
      </c>
      <c r="H938" s="2">
        <v>9</v>
      </c>
      <c r="I938" s="81">
        <v>585</v>
      </c>
      <c r="J938" s="2" t="s">
        <v>766</v>
      </c>
      <c r="K938" s="88" t="s">
        <v>800</v>
      </c>
      <c r="L938" s="92">
        <v>10000</v>
      </c>
      <c r="M938" s="69">
        <v>20</v>
      </c>
      <c r="N938" s="132" t="s">
        <v>821</v>
      </c>
      <c r="O938" s="39" t="s">
        <v>49</v>
      </c>
      <c r="P938" s="210"/>
      <c r="Q938" s="19">
        <v>89</v>
      </c>
      <c r="R938" s="59">
        <f>Q938/I938</f>
        <v>0.15213675213675212</v>
      </c>
      <c r="S938" s="5">
        <v>29</v>
      </c>
      <c r="U938" s="109" t="s">
        <v>767</v>
      </c>
      <c r="V938" s="83" t="s">
        <v>362</v>
      </c>
      <c r="W938" s="8" t="s">
        <v>368</v>
      </c>
      <c r="Y938" s="175"/>
      <c r="Z938" s="175"/>
      <c r="AA938" s="175"/>
      <c r="AB938" s="175"/>
      <c r="AC938" s="175"/>
      <c r="AD938" s="175"/>
      <c r="AE938" s="175"/>
      <c r="AF938" s="175"/>
      <c r="AG938" s="175"/>
      <c r="AH938" s="175"/>
    </row>
    <row r="939" spans="1:34">
      <c r="A939" s="103" t="s">
        <v>539</v>
      </c>
      <c r="B939" s="103" t="s">
        <v>540</v>
      </c>
      <c r="C939" s="191">
        <v>46192</v>
      </c>
      <c r="D939" s="42">
        <v>0.80208333333333337</v>
      </c>
      <c r="E939" s="46">
        <v>60</v>
      </c>
      <c r="F939" s="197" t="s">
        <v>544</v>
      </c>
      <c r="G939" s="2">
        <v>1</v>
      </c>
      <c r="H939" s="2">
        <v>9</v>
      </c>
      <c r="I939" s="126">
        <v>150</v>
      </c>
      <c r="J939" s="179" t="s">
        <v>766</v>
      </c>
      <c r="K939" s="179" t="s">
        <v>602</v>
      </c>
      <c r="L939" s="92">
        <v>30000</v>
      </c>
      <c r="M939" s="69">
        <v>15</v>
      </c>
      <c r="N939" s="39" t="s">
        <v>48</v>
      </c>
      <c r="O939" s="39" t="s">
        <v>49</v>
      </c>
      <c r="P939" s="135" t="s">
        <v>828</v>
      </c>
      <c r="Q939" s="19">
        <v>46</v>
      </c>
      <c r="R939" s="15">
        <f>Q939/I939</f>
        <v>0.30666666666666664</v>
      </c>
      <c r="S939" s="5">
        <f>($AC939*$AD939)/(($Z939/$Y939)+($AA939/$Z939)+($AB939/$AA939))</f>
        <v>19.534883720930232</v>
      </c>
      <c r="U939" s="109" t="s">
        <v>129</v>
      </c>
      <c r="V939" s="71" t="s">
        <v>1395</v>
      </c>
      <c r="W939" s="179" t="s">
        <v>1389</v>
      </c>
      <c r="Y939" s="2">
        <v>4</v>
      </c>
      <c r="Z939" s="2">
        <v>8</v>
      </c>
      <c r="AA939" s="2">
        <v>30</v>
      </c>
      <c r="AB939" s="2">
        <v>150</v>
      </c>
      <c r="AC939" s="2">
        <v>14</v>
      </c>
      <c r="AD939" s="2">
        <v>15</v>
      </c>
      <c r="AE939" s="2">
        <f>AC939*AD939</f>
        <v>210</v>
      </c>
      <c r="AF939" s="2">
        <f>Z939/Y939</f>
        <v>2</v>
      </c>
      <c r="AG939" s="2">
        <f>AA939/Z939</f>
        <v>3.75</v>
      </c>
      <c r="AH939" s="2">
        <f>AB939/AA939</f>
        <v>5</v>
      </c>
    </row>
    <row r="940" spans="1:34">
      <c r="A940" s="165" t="s">
        <v>1383</v>
      </c>
      <c r="B940" s="39" t="s">
        <v>63</v>
      </c>
      <c r="C940" s="41">
        <v>46192</v>
      </c>
      <c r="D940" s="144">
        <v>0.83333333333333337</v>
      </c>
      <c r="E940" s="8"/>
      <c r="F940" s="194" t="s">
        <v>1023</v>
      </c>
      <c r="G940" s="2">
        <v>1</v>
      </c>
      <c r="H940" s="2">
        <v>9</v>
      </c>
      <c r="I940" s="45">
        <v>200</v>
      </c>
      <c r="J940" s="2" t="s">
        <v>766</v>
      </c>
      <c r="K940" s="88" t="s">
        <v>806</v>
      </c>
      <c r="L940" s="92">
        <v>20000</v>
      </c>
      <c r="M940" s="10">
        <v>20</v>
      </c>
      <c r="N940" s="39" t="s">
        <v>817</v>
      </c>
      <c r="O940" s="39" t="s">
        <v>49</v>
      </c>
      <c r="P940" s="210"/>
      <c r="Q940" s="19">
        <v>45</v>
      </c>
      <c r="R940" s="15">
        <f>Q940/I940</f>
        <v>0.22500000000000001</v>
      </c>
      <c r="S940" s="5">
        <v>23</v>
      </c>
      <c r="U940" s="109" t="s">
        <v>129</v>
      </c>
      <c r="V940" s="71" t="s">
        <v>360</v>
      </c>
      <c r="Y940" s="175"/>
      <c r="Z940" s="175"/>
      <c r="AA940" s="175"/>
      <c r="AB940" s="175"/>
      <c r="AC940" s="175"/>
      <c r="AD940" s="175"/>
      <c r="AE940" s="175"/>
      <c r="AF940" s="175"/>
      <c r="AG940" s="175"/>
      <c r="AH940" s="175"/>
    </row>
    <row r="941" spans="1:34">
      <c r="A941" s="102" t="s">
        <v>475</v>
      </c>
      <c r="B941" s="102" t="s">
        <v>476</v>
      </c>
      <c r="C941" s="41">
        <v>46192</v>
      </c>
      <c r="D941" s="42">
        <v>0.88194444444444442</v>
      </c>
      <c r="E941" s="193"/>
      <c r="F941" s="194" t="s">
        <v>483</v>
      </c>
      <c r="G941" s="2">
        <v>1</v>
      </c>
      <c r="H941" s="2">
        <v>9</v>
      </c>
      <c r="I941" s="126">
        <v>160</v>
      </c>
      <c r="J941" s="2" t="s">
        <v>766</v>
      </c>
      <c r="K941" s="109" t="s">
        <v>603</v>
      </c>
      <c r="L941" s="201">
        <v>20000</v>
      </c>
      <c r="M941" s="203">
        <v>20</v>
      </c>
      <c r="N941" s="39" t="s">
        <v>48</v>
      </c>
      <c r="O941" s="39" t="s">
        <v>49</v>
      </c>
      <c r="P941" s="135" t="s">
        <v>828</v>
      </c>
      <c r="Q941" s="19">
        <v>30</v>
      </c>
      <c r="R941" s="15">
        <f>Q941/I941</f>
        <v>0.1875</v>
      </c>
      <c r="S941" s="5">
        <f>($AC941*$AD941)/(($Z941/$Y941)+($AA941/$Z941)+($AB941/$AA941))</f>
        <v>20</v>
      </c>
      <c r="U941" s="109" t="s">
        <v>767</v>
      </c>
      <c r="V941" s="71" t="s">
        <v>595</v>
      </c>
      <c r="W941" s="107" t="s">
        <v>604</v>
      </c>
      <c r="Y941" s="2">
        <v>2</v>
      </c>
      <c r="Z941" s="2">
        <v>5</v>
      </c>
      <c r="AA941" s="2">
        <v>40</v>
      </c>
      <c r="AB941" s="2">
        <v>100</v>
      </c>
      <c r="AC941" s="2">
        <v>20</v>
      </c>
      <c r="AD941" s="2">
        <v>13</v>
      </c>
      <c r="AE941" s="2">
        <f>AC941*AD941</f>
        <v>260</v>
      </c>
      <c r="AF941" s="2">
        <f>Z941/Y941</f>
        <v>2.5</v>
      </c>
      <c r="AG941" s="2">
        <f>AA941/Z941</f>
        <v>8</v>
      </c>
      <c r="AH941" s="2">
        <f>AB941/AA941</f>
        <v>2.5</v>
      </c>
    </row>
    <row r="942" spans="1:34">
      <c r="A942" s="165" t="s">
        <v>1383</v>
      </c>
      <c r="B942" s="39" t="s">
        <v>63</v>
      </c>
      <c r="C942" s="41">
        <v>46192</v>
      </c>
      <c r="D942" s="144">
        <v>0.91666666666666663</v>
      </c>
      <c r="F942" s="194" t="s">
        <v>909</v>
      </c>
      <c r="G942" s="2">
        <v>1</v>
      </c>
      <c r="H942" s="2">
        <v>9</v>
      </c>
      <c r="I942" s="45">
        <v>135</v>
      </c>
      <c r="J942" s="2" t="s">
        <v>766</v>
      </c>
      <c r="K942" s="88" t="s">
        <v>813</v>
      </c>
      <c r="L942" s="92">
        <v>10000</v>
      </c>
      <c r="M942" s="69">
        <v>15</v>
      </c>
      <c r="N942" s="132" t="s">
        <v>821</v>
      </c>
      <c r="O942" s="39" t="s">
        <v>49</v>
      </c>
      <c r="P942" s="210"/>
      <c r="Q942" s="19">
        <v>35</v>
      </c>
      <c r="R942" s="15">
        <f>Q942/I942</f>
        <v>0.25925925925925924</v>
      </c>
      <c r="S942" s="5">
        <v>22</v>
      </c>
      <c r="U942" s="109" t="s">
        <v>767</v>
      </c>
      <c r="V942" s="71" t="s">
        <v>362</v>
      </c>
      <c r="W942" s="8" t="s">
        <v>369</v>
      </c>
      <c r="Y942" s="175"/>
      <c r="Z942" s="175"/>
      <c r="AA942" s="175"/>
      <c r="AB942" s="175"/>
      <c r="AC942" s="175"/>
      <c r="AD942" s="175"/>
      <c r="AE942" s="175"/>
      <c r="AF942" s="175"/>
      <c r="AG942" s="175"/>
      <c r="AH942" s="175"/>
    </row>
    <row r="943" spans="1:34">
      <c r="A943" s="96" t="s">
        <v>461</v>
      </c>
      <c r="B943" s="96" t="s">
        <v>462</v>
      </c>
      <c r="C943" s="41">
        <v>46192</v>
      </c>
      <c r="D943" s="42">
        <v>0.92361111111111116</v>
      </c>
      <c r="F943" s="194" t="s">
        <v>456</v>
      </c>
      <c r="G943" s="2">
        <v>1</v>
      </c>
      <c r="I943" s="126">
        <v>120</v>
      </c>
      <c r="J943" s="2" t="s">
        <v>766</v>
      </c>
      <c r="K943" s="109" t="s">
        <v>737</v>
      </c>
      <c r="L943" s="194">
        <v>20000</v>
      </c>
      <c r="M943" s="69">
        <v>15</v>
      </c>
      <c r="N943" s="39" t="s">
        <v>48</v>
      </c>
      <c r="O943" s="39" t="s">
        <v>49</v>
      </c>
      <c r="P943" s="135" t="s">
        <v>827</v>
      </c>
      <c r="Q943" s="19">
        <v>24</v>
      </c>
      <c r="R943" s="15">
        <f>Q943/I943</f>
        <v>0.2</v>
      </c>
      <c r="S943" s="5">
        <f>($AC943*$AD943)/(($Z943/$Y943)+($AA943/$Z943)+($AB943/$AA943))</f>
        <v>25.161290322580644</v>
      </c>
      <c r="U943" s="109" t="s">
        <v>463</v>
      </c>
      <c r="V943" s="2" t="s">
        <v>735</v>
      </c>
      <c r="W943" s="2" t="s">
        <v>464</v>
      </c>
      <c r="Y943" s="2">
        <v>2.5</v>
      </c>
      <c r="Z943" s="2">
        <v>7.5</v>
      </c>
      <c r="AA943" s="2">
        <v>30</v>
      </c>
      <c r="AB943" s="2">
        <v>100</v>
      </c>
      <c r="AC943" s="2">
        <v>13</v>
      </c>
      <c r="AD943" s="2">
        <v>20</v>
      </c>
      <c r="AE943" s="2">
        <f>AC943*AD943</f>
        <v>260</v>
      </c>
      <c r="AF943" s="2">
        <f>Z943/Y943</f>
        <v>3</v>
      </c>
      <c r="AG943" s="2">
        <f>AA943/Z943</f>
        <v>4</v>
      </c>
      <c r="AH943" s="2">
        <f>AB943/AA943</f>
        <v>3.3333333333333335</v>
      </c>
    </row>
    <row r="944" spans="1:34">
      <c r="A944" s="165" t="s">
        <v>1383</v>
      </c>
      <c r="B944" s="36" t="s">
        <v>63</v>
      </c>
      <c r="C944" s="41">
        <v>46192</v>
      </c>
      <c r="D944" s="144" t="s">
        <v>117</v>
      </c>
      <c r="E944" s="14">
        <v>50</v>
      </c>
      <c r="F944" s="194" t="s">
        <v>974</v>
      </c>
      <c r="G944" s="2">
        <v>5</v>
      </c>
      <c r="H944" s="2">
        <v>9</v>
      </c>
      <c r="I944" s="45">
        <v>1500</v>
      </c>
      <c r="J944" s="2" t="s">
        <v>761</v>
      </c>
      <c r="K944" s="109" t="s">
        <v>602</v>
      </c>
      <c r="L944" s="92">
        <v>25000</v>
      </c>
      <c r="M944" s="69">
        <v>60</v>
      </c>
      <c r="N944" s="39" t="s">
        <v>48</v>
      </c>
      <c r="O944" s="39" t="s">
        <v>49</v>
      </c>
      <c r="P944" s="210"/>
      <c r="Q944" s="19">
        <f>R944*I944</f>
        <v>172.5</v>
      </c>
      <c r="R944" s="15">
        <v>0.115</v>
      </c>
      <c r="S944" s="5">
        <f>($AC944*$AD944)/(($Z944/$Y944)+($AA944/$Z944)+($AB944/$AA944))</f>
        <v>140.86956521739131</v>
      </c>
      <c r="U944" s="109" t="s">
        <v>767</v>
      </c>
      <c r="V944" s="205" t="s">
        <v>121</v>
      </c>
      <c r="W944" s="205"/>
      <c r="Y944" s="2">
        <v>1.5</v>
      </c>
      <c r="Z944" s="2">
        <v>4</v>
      </c>
      <c r="AA944" s="2">
        <v>10</v>
      </c>
      <c r="AB944" s="2">
        <v>25</v>
      </c>
      <c r="AC944" s="2">
        <v>18</v>
      </c>
      <c r="AD944" s="2">
        <v>60</v>
      </c>
      <c r="AE944" s="2">
        <f>AC944*AD944</f>
        <v>1080</v>
      </c>
      <c r="AF944" s="2">
        <f>Z944/Y944</f>
        <v>2.6666666666666665</v>
      </c>
      <c r="AG944" s="2">
        <f>AA944/Z944</f>
        <v>2.5</v>
      </c>
      <c r="AH944" s="2">
        <f>AB944/AA944</f>
        <v>2.5</v>
      </c>
    </row>
    <row r="945" spans="1:34">
      <c r="A945" s="165" t="s">
        <v>1383</v>
      </c>
      <c r="B945" s="36" t="s">
        <v>63</v>
      </c>
      <c r="C945" s="41">
        <v>46192</v>
      </c>
      <c r="D945" s="144" t="s">
        <v>115</v>
      </c>
      <c r="E945" s="8">
        <v>53</v>
      </c>
      <c r="F945" s="194" t="s">
        <v>1121</v>
      </c>
      <c r="G945" s="2">
        <v>3</v>
      </c>
      <c r="H945" s="2">
        <v>8</v>
      </c>
      <c r="I945" s="45">
        <v>1500</v>
      </c>
      <c r="J945" s="2" t="s">
        <v>762</v>
      </c>
      <c r="K945" s="109" t="s">
        <v>598</v>
      </c>
      <c r="L945" s="92">
        <v>25000</v>
      </c>
      <c r="M945" s="69" t="s">
        <v>97</v>
      </c>
      <c r="N945" s="39" t="s">
        <v>48</v>
      </c>
      <c r="O945" s="39" t="s">
        <v>223</v>
      </c>
      <c r="P945" s="213"/>
      <c r="Q945" s="38">
        <f>R945*I945</f>
        <v>172.5</v>
      </c>
      <c r="R945" s="15">
        <v>0.115</v>
      </c>
      <c r="S945" s="149" t="s">
        <v>110</v>
      </c>
      <c r="T945" s="149"/>
      <c r="U945" s="109" t="s">
        <v>767</v>
      </c>
      <c r="V945" s="205" t="s">
        <v>121</v>
      </c>
      <c r="W945" s="205"/>
      <c r="AE945" s="2" t="e">
        <f>AD945*#REF!</f>
        <v>#REF!</v>
      </c>
      <c r="AF945" s="2" t="e">
        <f>Z945/Y945</f>
        <v>#DIV/0!</v>
      </c>
      <c r="AG945" s="2" t="e">
        <f>AA945/Z945</f>
        <v>#DIV/0!</v>
      </c>
      <c r="AH945" s="2" t="e">
        <f>AC945/AA945</f>
        <v>#DIV/0!</v>
      </c>
    </row>
    <row r="946" spans="1:34">
      <c r="A946" s="165" t="s">
        <v>1383</v>
      </c>
      <c r="B946" s="36" t="s">
        <v>63</v>
      </c>
      <c r="C946" s="41">
        <v>46192</v>
      </c>
      <c r="D946" s="144" t="s">
        <v>115</v>
      </c>
      <c r="E946" s="8">
        <v>55</v>
      </c>
      <c r="F946" s="194" t="s">
        <v>169</v>
      </c>
      <c r="G946" s="2">
        <v>3</v>
      </c>
      <c r="H946" s="2">
        <v>8</v>
      </c>
      <c r="I946" s="45">
        <v>50000</v>
      </c>
      <c r="J946" s="2" t="s">
        <v>762</v>
      </c>
      <c r="K946" s="109" t="s">
        <v>601</v>
      </c>
      <c r="L946" s="92">
        <v>300000</v>
      </c>
      <c r="M946" s="69" t="s">
        <v>97</v>
      </c>
      <c r="N946" s="39" t="s">
        <v>48</v>
      </c>
      <c r="O946" s="39" t="s">
        <v>57</v>
      </c>
      <c r="P946" s="213"/>
      <c r="Q946" s="38">
        <f>R946*I946</f>
        <v>2500</v>
      </c>
      <c r="R946" s="15">
        <v>0.05</v>
      </c>
      <c r="S946" s="149" t="s">
        <v>110</v>
      </c>
      <c r="T946" s="149"/>
      <c r="U946" s="109" t="s">
        <v>767</v>
      </c>
      <c r="V946" s="2" t="s">
        <v>121</v>
      </c>
      <c r="W946" s="205"/>
      <c r="Y946" s="70"/>
      <c r="Z946" s="70"/>
      <c r="AA946" s="70"/>
      <c r="AC946" s="70"/>
      <c r="AD946" s="70"/>
      <c r="AE946" s="2" t="e">
        <f>AD946*#REF!</f>
        <v>#REF!</v>
      </c>
      <c r="AF946" s="2" t="e">
        <f>Z946/Y946</f>
        <v>#DIV/0!</v>
      </c>
      <c r="AG946" s="2" t="e">
        <f>AA946/Z946</f>
        <v>#DIV/0!</v>
      </c>
      <c r="AH946" s="2" t="e">
        <f>AC946/AA946</f>
        <v>#DIV/0!</v>
      </c>
    </row>
    <row r="947" spans="1:34">
      <c r="A947" s="165" t="s">
        <v>1383</v>
      </c>
      <c r="B947" s="36" t="s">
        <v>63</v>
      </c>
      <c r="C947" s="41">
        <v>46192</v>
      </c>
      <c r="D947" s="144" t="s">
        <v>116</v>
      </c>
      <c r="E947" s="8">
        <v>56</v>
      </c>
      <c r="F947" s="194" t="s">
        <v>978</v>
      </c>
      <c r="G947" s="2">
        <v>2</v>
      </c>
      <c r="H947" s="2">
        <v>6</v>
      </c>
      <c r="I947" s="45">
        <v>3000</v>
      </c>
      <c r="J947" s="2" t="s">
        <v>760</v>
      </c>
      <c r="K947" s="109" t="s">
        <v>816</v>
      </c>
      <c r="L947" s="92">
        <v>40000</v>
      </c>
      <c r="M947" s="69" t="s">
        <v>22</v>
      </c>
      <c r="N947" s="39" t="s">
        <v>48</v>
      </c>
      <c r="O947" s="39" t="s">
        <v>49</v>
      </c>
      <c r="P947" s="210"/>
      <c r="Q947" s="19">
        <f>R947*I947</f>
        <v>330</v>
      </c>
      <c r="R947" s="15">
        <v>0.11</v>
      </c>
      <c r="S947" s="5">
        <f>($AC947*$AD947)/(($Z947/$Y947)+($AA947/$Z947)+($AB947/$AA947))</f>
        <v>77.027027027027017</v>
      </c>
      <c r="U947" s="109" t="s">
        <v>375</v>
      </c>
      <c r="V947" s="205" t="s">
        <v>121</v>
      </c>
      <c r="W947" s="205"/>
      <c r="Y947" s="2">
        <v>2</v>
      </c>
      <c r="Z947" s="2">
        <v>5</v>
      </c>
      <c r="AA947" s="2">
        <v>12.5</v>
      </c>
      <c r="AB947" s="2">
        <v>30</v>
      </c>
      <c r="AC947" s="2">
        <v>19</v>
      </c>
      <c r="AD947" s="2">
        <v>30</v>
      </c>
      <c r="AE947" s="2">
        <f>AC947*AD947</f>
        <v>570</v>
      </c>
      <c r="AF947" s="2">
        <f>Z947/Y947</f>
        <v>2.5</v>
      </c>
      <c r="AG947" s="2">
        <f>AA947/Z947</f>
        <v>2.5</v>
      </c>
      <c r="AH947" s="2">
        <f>AB947/AA947</f>
        <v>2.4</v>
      </c>
    </row>
    <row r="948" spans="1:34">
      <c r="A948" s="165" t="s">
        <v>1383</v>
      </c>
      <c r="B948" s="36" t="s">
        <v>63</v>
      </c>
      <c r="C948" s="41">
        <v>46192</v>
      </c>
      <c r="D948" s="144" t="s">
        <v>876</v>
      </c>
      <c r="E948" s="14">
        <v>47</v>
      </c>
      <c r="F948" s="8" t="s">
        <v>1173</v>
      </c>
      <c r="G948" s="2">
        <v>4</v>
      </c>
      <c r="H948" s="2">
        <v>8</v>
      </c>
      <c r="I948" s="45">
        <v>25000</v>
      </c>
      <c r="J948" s="2" t="s">
        <v>762</v>
      </c>
      <c r="K948" s="109" t="s">
        <v>601</v>
      </c>
      <c r="L948" s="92">
        <v>150000</v>
      </c>
      <c r="M948" s="69">
        <v>60</v>
      </c>
      <c r="N948" s="39" t="s">
        <v>48</v>
      </c>
      <c r="O948" s="39" t="s">
        <v>57</v>
      </c>
      <c r="P948" s="213"/>
      <c r="Q948" s="38">
        <f>R948*I948</f>
        <v>1500</v>
      </c>
      <c r="R948" s="15">
        <v>0.06</v>
      </c>
      <c r="S948" s="149" t="s">
        <v>110</v>
      </c>
      <c r="T948" s="149"/>
      <c r="U948" s="109" t="s">
        <v>767</v>
      </c>
      <c r="V948" s="205" t="s">
        <v>121</v>
      </c>
      <c r="W948" s="205"/>
      <c r="Y948" s="70"/>
      <c r="Z948" s="70"/>
      <c r="AA948" s="70"/>
      <c r="AC948" s="70"/>
      <c r="AD948" s="70"/>
      <c r="AE948" s="2" t="e">
        <f>AD948*#REF!</f>
        <v>#REF!</v>
      </c>
      <c r="AF948" s="2" t="e">
        <f>Z948/Y948</f>
        <v>#DIV/0!</v>
      </c>
      <c r="AG948" s="2" t="e">
        <f>AA948/Z948</f>
        <v>#DIV/0!</v>
      </c>
      <c r="AH948" s="2" t="e">
        <f>AC948/AA948</f>
        <v>#DIV/0!</v>
      </c>
    </row>
    <row r="949" spans="1:34">
      <c r="A949" s="165" t="s">
        <v>1383</v>
      </c>
      <c r="B949" s="36" t="s">
        <v>63</v>
      </c>
      <c r="C949" s="41">
        <v>46192</v>
      </c>
      <c r="D949" s="144" t="s">
        <v>876</v>
      </c>
      <c r="E949" s="8">
        <v>52</v>
      </c>
      <c r="F949" s="8" t="s">
        <v>1272</v>
      </c>
      <c r="G949" s="2">
        <v>3</v>
      </c>
      <c r="H949" s="2">
        <v>7</v>
      </c>
      <c r="I949" s="45">
        <v>3000</v>
      </c>
      <c r="J949" s="2" t="s">
        <v>760</v>
      </c>
      <c r="K949" s="109" t="s">
        <v>815</v>
      </c>
      <c r="L949" s="92">
        <v>40000</v>
      </c>
      <c r="M949" s="69" t="s">
        <v>97</v>
      </c>
      <c r="N949" s="39" t="s">
        <v>48</v>
      </c>
      <c r="O949" s="39" t="s">
        <v>863</v>
      </c>
      <c r="P949" s="19"/>
      <c r="Q949" s="38">
        <f>R949*I949</f>
        <v>330</v>
      </c>
      <c r="R949" s="15">
        <v>0.11</v>
      </c>
      <c r="S949" s="149" t="s">
        <v>110</v>
      </c>
      <c r="T949" s="149"/>
      <c r="U949" s="109" t="s">
        <v>767</v>
      </c>
      <c r="V949" s="2" t="s">
        <v>121</v>
      </c>
      <c r="W949" s="205"/>
      <c r="AE949" s="2" t="e">
        <f>AD949*#REF!</f>
        <v>#REF!</v>
      </c>
      <c r="AF949" s="2" t="e">
        <f>Z949/Y949</f>
        <v>#DIV/0!</v>
      </c>
      <c r="AG949" s="2" t="e">
        <f>AA949/Z949</f>
        <v>#DIV/0!</v>
      </c>
      <c r="AH949" s="2" t="e">
        <f>AC949/AA949</f>
        <v>#DIV/0!</v>
      </c>
    </row>
    <row r="950" spans="1:34">
      <c r="A950" s="165" t="s">
        <v>1383</v>
      </c>
      <c r="B950" s="36" t="s">
        <v>63</v>
      </c>
      <c r="C950" s="41">
        <v>46192</v>
      </c>
      <c r="D950" s="144" t="s">
        <v>876</v>
      </c>
      <c r="E950" s="8">
        <v>51</v>
      </c>
      <c r="F950" s="8" t="s">
        <v>1248</v>
      </c>
      <c r="G950" s="2">
        <v>3</v>
      </c>
      <c r="H950" s="2">
        <v>8</v>
      </c>
      <c r="I950" s="45">
        <v>10000</v>
      </c>
      <c r="J950" s="2" t="s">
        <v>762</v>
      </c>
      <c r="K950" s="109" t="s">
        <v>601</v>
      </c>
      <c r="L950" s="92">
        <v>60000</v>
      </c>
      <c r="M950" s="69">
        <v>40</v>
      </c>
      <c r="N950" s="39" t="s">
        <v>48</v>
      </c>
      <c r="O950" s="39" t="s">
        <v>49</v>
      </c>
      <c r="Q950" s="19">
        <f>R950*I950</f>
        <v>700.00000000000011</v>
      </c>
      <c r="R950" s="15">
        <v>7.0000000000000007E-2</v>
      </c>
      <c r="S950" s="5">
        <f>($AC950*$AD950)/(($Z950/$Y950)+($AA950/$Z950)+($AB950/$AA950))</f>
        <v>113.3956386292835</v>
      </c>
      <c r="U950" s="109" t="s">
        <v>55</v>
      </c>
      <c r="V950" s="205" t="s">
        <v>121</v>
      </c>
      <c r="W950" s="205"/>
      <c r="Y950" s="2">
        <v>2</v>
      </c>
      <c r="Z950" s="2">
        <v>5</v>
      </c>
      <c r="AA950" s="2">
        <v>13</v>
      </c>
      <c r="AB950" s="2">
        <v>30</v>
      </c>
      <c r="AC950" s="2">
        <v>21</v>
      </c>
      <c r="AD950" s="2">
        <v>40</v>
      </c>
      <c r="AE950" s="2">
        <f>AC950*AD950</f>
        <v>840</v>
      </c>
      <c r="AF950" s="2">
        <f>Z950/Y950</f>
        <v>2.5</v>
      </c>
      <c r="AG950" s="2">
        <f>AA950/Z950</f>
        <v>2.6</v>
      </c>
      <c r="AH950" s="2">
        <f>AB950/AA950</f>
        <v>2.3076923076923075</v>
      </c>
    </row>
    <row r="951" spans="1:34">
      <c r="A951" s="96" t="s">
        <v>461</v>
      </c>
      <c r="B951" s="96" t="s">
        <v>462</v>
      </c>
      <c r="C951" s="41">
        <v>46193</v>
      </c>
      <c r="D951" s="42">
        <v>0.4236111111111111</v>
      </c>
      <c r="E951" s="193"/>
      <c r="F951" s="8" t="s">
        <v>457</v>
      </c>
      <c r="G951" s="2">
        <v>1</v>
      </c>
      <c r="I951" s="126">
        <v>120</v>
      </c>
      <c r="J951" s="2" t="s">
        <v>766</v>
      </c>
      <c r="K951" s="109" t="s">
        <v>602</v>
      </c>
      <c r="L951" s="194">
        <v>20000</v>
      </c>
      <c r="M951" s="69">
        <v>20</v>
      </c>
      <c r="N951" s="39" t="s">
        <v>48</v>
      </c>
      <c r="O951" s="39" t="s">
        <v>49</v>
      </c>
      <c r="P951" s="135" t="s">
        <v>832</v>
      </c>
      <c r="Q951" s="19">
        <v>24</v>
      </c>
      <c r="R951" s="15">
        <f>Q951/I951</f>
        <v>0.2</v>
      </c>
      <c r="S951" s="5">
        <f>($AC951*$AD951)/(($Z951/$Y951)+($AA951/$Z951)+($AB951/$AA951))</f>
        <v>25.161290322580644</v>
      </c>
      <c r="U951" s="109" t="s">
        <v>767</v>
      </c>
      <c r="V951" s="2" t="s">
        <v>735</v>
      </c>
      <c r="Y951" s="2">
        <v>2.5</v>
      </c>
      <c r="Z951" s="2">
        <v>7.5</v>
      </c>
      <c r="AA951" s="2">
        <v>30</v>
      </c>
      <c r="AB951" s="2">
        <v>100</v>
      </c>
      <c r="AC951" s="2">
        <v>13</v>
      </c>
      <c r="AD951" s="2">
        <v>20</v>
      </c>
      <c r="AE951" s="2">
        <f>AC951*AD951</f>
        <v>260</v>
      </c>
      <c r="AF951" s="2">
        <f>Z951/Y951</f>
        <v>3</v>
      </c>
      <c r="AG951" s="2">
        <f>AA951/Z951</f>
        <v>4</v>
      </c>
      <c r="AH951" s="2">
        <f>AB951/AA951</f>
        <v>3.3333333333333335</v>
      </c>
    </row>
    <row r="952" spans="1:34">
      <c r="A952" s="68" t="s">
        <v>357</v>
      </c>
      <c r="B952" s="68" t="s">
        <v>358</v>
      </c>
      <c r="C952" s="191">
        <v>46193</v>
      </c>
      <c r="D952" s="42">
        <v>0.4236111111111111</v>
      </c>
      <c r="E952" s="8">
        <v>58</v>
      </c>
      <c r="F952" s="63" t="s">
        <v>315</v>
      </c>
      <c r="G952" s="2">
        <v>2</v>
      </c>
      <c r="H952" s="2">
        <v>9</v>
      </c>
      <c r="I952" s="126">
        <v>1600</v>
      </c>
      <c r="J952" s="2" t="s">
        <v>766</v>
      </c>
      <c r="K952" s="137" t="s">
        <v>598</v>
      </c>
      <c r="L952" s="89">
        <v>40000</v>
      </c>
      <c r="M952" s="202">
        <v>40</v>
      </c>
      <c r="N952" s="39" t="s">
        <v>48</v>
      </c>
      <c r="O952" s="39" t="s">
        <v>49</v>
      </c>
      <c r="P952" s="135" t="s">
        <v>847</v>
      </c>
      <c r="Q952" s="19">
        <v>180</v>
      </c>
      <c r="R952" s="15">
        <f>Q952/I952</f>
        <v>0.1125</v>
      </c>
      <c r="S952" s="5">
        <f>($AC952*$AD952)/(($Z952/$Y952)+($AA952/$Z952)+($AB952/$AA952))</f>
        <v>102.59605399792316</v>
      </c>
      <c r="U952" s="109" t="s">
        <v>54</v>
      </c>
      <c r="V952" s="2" t="s">
        <v>679</v>
      </c>
      <c r="Y952" s="2">
        <v>2</v>
      </c>
      <c r="Z952" s="2">
        <v>5</v>
      </c>
      <c r="AA952" s="2">
        <v>13</v>
      </c>
      <c r="AB952" s="2">
        <v>30</v>
      </c>
      <c r="AC952" s="2">
        <v>40</v>
      </c>
      <c r="AD952" s="2">
        <v>19</v>
      </c>
      <c r="AE952" s="2">
        <f>AC952*AD952</f>
        <v>760</v>
      </c>
      <c r="AF952" s="2">
        <f>Z952/Y952</f>
        <v>2.5</v>
      </c>
      <c r="AG952" s="2">
        <f>AA952/Z952</f>
        <v>2.6</v>
      </c>
      <c r="AH952" s="2">
        <f>AB952/AA952</f>
        <v>2.3076923076923075</v>
      </c>
    </row>
    <row r="953" spans="1:34">
      <c r="A953" s="95" t="s">
        <v>447</v>
      </c>
      <c r="B953" s="95" t="s">
        <v>448</v>
      </c>
      <c r="C953" s="190">
        <v>46193</v>
      </c>
      <c r="D953" s="42">
        <v>0.45833333333333331</v>
      </c>
      <c r="E953" s="193"/>
      <c r="F953" s="8" t="s">
        <v>405</v>
      </c>
      <c r="G953" s="2">
        <v>1</v>
      </c>
      <c r="H953" s="2">
        <v>9</v>
      </c>
      <c r="I953" s="126">
        <v>800</v>
      </c>
      <c r="J953" s="2" t="s">
        <v>766</v>
      </c>
      <c r="K953" s="109" t="s">
        <v>602</v>
      </c>
      <c r="L953" s="194">
        <v>30000</v>
      </c>
      <c r="M953" s="194">
        <v>30</v>
      </c>
      <c r="N953" s="39" t="s">
        <v>48</v>
      </c>
      <c r="O953" s="39" t="s">
        <v>49</v>
      </c>
      <c r="P953" s="135" t="s">
        <v>840</v>
      </c>
      <c r="Q953" s="19">
        <v>100</v>
      </c>
      <c r="R953" s="15">
        <f>Q953/I953</f>
        <v>0.125</v>
      </c>
      <c r="S953" s="5">
        <f>($AC953*$AD953)/(($Z953/$Y953)+($AA953/$Z953)+($AB953/$AA953))</f>
        <v>72.897196261682254</v>
      </c>
      <c r="U953" s="109" t="s">
        <v>767</v>
      </c>
      <c r="V953" s="205" t="s">
        <v>741</v>
      </c>
      <c r="W953" s="205"/>
      <c r="Y953" s="2">
        <v>2</v>
      </c>
      <c r="Z953" s="2">
        <v>5</v>
      </c>
      <c r="AA953" s="2">
        <v>13</v>
      </c>
      <c r="AB953" s="2">
        <v>30</v>
      </c>
      <c r="AC953" s="2">
        <v>18</v>
      </c>
      <c r="AD953" s="2">
        <v>30</v>
      </c>
      <c r="AE953" s="2">
        <f>AC953*AD953</f>
        <v>540</v>
      </c>
      <c r="AF953" s="2">
        <f>Z953/Y953</f>
        <v>2.5</v>
      </c>
      <c r="AG953" s="2">
        <f>AA953/Z953</f>
        <v>2.6</v>
      </c>
      <c r="AH953" s="2">
        <f>AB953/AA953</f>
        <v>2.3076923076923075</v>
      </c>
    </row>
    <row r="954" spans="1:34">
      <c r="A954" s="165" t="s">
        <v>1383</v>
      </c>
      <c r="B954" s="36" t="s">
        <v>63</v>
      </c>
      <c r="C954" s="192">
        <v>46193</v>
      </c>
      <c r="D954" s="144">
        <v>0.45833333333333331</v>
      </c>
      <c r="E954" s="14">
        <v>50</v>
      </c>
      <c r="F954" s="8" t="s">
        <v>1128</v>
      </c>
      <c r="G954" s="2">
        <v>5</v>
      </c>
      <c r="H954" s="2">
        <v>9</v>
      </c>
      <c r="I954" s="37">
        <v>1500</v>
      </c>
      <c r="J954" s="2" t="s">
        <v>761</v>
      </c>
      <c r="K954" s="109" t="s">
        <v>602</v>
      </c>
      <c r="L954" s="89">
        <v>25000</v>
      </c>
      <c r="M954" s="202">
        <v>60</v>
      </c>
      <c r="N954" s="39" t="s">
        <v>48</v>
      </c>
      <c r="O954" s="39" t="s">
        <v>49</v>
      </c>
      <c r="Q954" s="19">
        <f>R954*I954</f>
        <v>172.5</v>
      </c>
      <c r="R954" s="15">
        <v>0.115</v>
      </c>
      <c r="S954" s="5">
        <f>($AC954*$AD954)/(($Z954/$Y954)+($AA954/$Z954)+($AB954/$AA954))</f>
        <v>140.86956521739131</v>
      </c>
      <c r="U954" s="109" t="s">
        <v>767</v>
      </c>
      <c r="V954" s="205" t="s">
        <v>121</v>
      </c>
      <c r="W954" s="205"/>
      <c r="Y954" s="2">
        <v>1.5</v>
      </c>
      <c r="Z954" s="2">
        <v>4</v>
      </c>
      <c r="AA954" s="2">
        <v>10</v>
      </c>
      <c r="AB954" s="2">
        <v>25</v>
      </c>
      <c r="AC954" s="2">
        <v>18</v>
      </c>
      <c r="AD954" s="2">
        <v>60</v>
      </c>
      <c r="AE954" s="2">
        <f>AC954*AD954</f>
        <v>1080</v>
      </c>
      <c r="AF954" s="2">
        <f>Z954/Y954</f>
        <v>2.6666666666666665</v>
      </c>
      <c r="AG954" s="2">
        <f>AA954/Z954</f>
        <v>2.5</v>
      </c>
      <c r="AH954" s="2">
        <f>AB954/AA954</f>
        <v>2.5</v>
      </c>
    </row>
    <row r="955" spans="1:34">
      <c r="A955" s="102" t="s">
        <v>475</v>
      </c>
      <c r="B955" s="102" t="s">
        <v>476</v>
      </c>
      <c r="C955" s="190">
        <v>46193</v>
      </c>
      <c r="D955" s="42">
        <v>0.45833333333333331</v>
      </c>
      <c r="E955" s="8">
        <v>22</v>
      </c>
      <c r="F955" s="8" t="s">
        <v>510</v>
      </c>
      <c r="G955" s="2">
        <v>1</v>
      </c>
      <c r="H955" s="2">
        <v>9</v>
      </c>
      <c r="I955" s="126">
        <v>250</v>
      </c>
      <c r="J955" s="2" t="s">
        <v>766</v>
      </c>
      <c r="K955" s="109" t="s">
        <v>601</v>
      </c>
      <c r="L955" s="201">
        <v>30000</v>
      </c>
      <c r="M955" s="203">
        <v>30</v>
      </c>
      <c r="N955" s="39" t="s">
        <v>48</v>
      </c>
      <c r="O955" s="39" t="s">
        <v>49</v>
      </c>
      <c r="P955" s="134" t="s">
        <v>833</v>
      </c>
      <c r="Q955" s="19">
        <v>50</v>
      </c>
      <c r="R955" s="15">
        <f>Q955/I955</f>
        <v>0.2</v>
      </c>
      <c r="S955" s="5">
        <f>($AC955*$AD955)/(($Z955/$Y955)+($AA955/$Z955)+($AB955/$AA955))</f>
        <v>68.918918918918919</v>
      </c>
      <c r="U955" s="109" t="s">
        <v>125</v>
      </c>
      <c r="V955" s="205" t="s">
        <v>635</v>
      </c>
      <c r="Y955" s="2">
        <v>2</v>
      </c>
      <c r="Z955" s="2">
        <v>5</v>
      </c>
      <c r="AA955" s="2">
        <v>12.5</v>
      </c>
      <c r="AB955" s="2">
        <v>30</v>
      </c>
      <c r="AC955" s="2">
        <v>30</v>
      </c>
      <c r="AD955" s="2">
        <v>17</v>
      </c>
      <c r="AE955" s="2">
        <f>AC955*AD955</f>
        <v>510</v>
      </c>
      <c r="AF955" s="2">
        <f>Z955/Y955</f>
        <v>2.5</v>
      </c>
      <c r="AG955" s="2">
        <f>AA955/Z955</f>
        <v>2.5</v>
      </c>
      <c r="AH955" s="2">
        <f>AB955/AA955</f>
        <v>2.4</v>
      </c>
    </row>
    <row r="956" spans="1:34">
      <c r="A956" s="52" t="s">
        <v>229</v>
      </c>
      <c r="B956" s="52" t="s">
        <v>230</v>
      </c>
      <c r="C956" s="190">
        <v>46193</v>
      </c>
      <c r="D956" s="42">
        <v>0.45833333333333331</v>
      </c>
      <c r="E956" s="193"/>
      <c r="F956" s="8" t="s">
        <v>240</v>
      </c>
      <c r="G956" s="2">
        <v>1</v>
      </c>
      <c r="I956" s="126">
        <v>400</v>
      </c>
      <c r="J956" s="2" t="s">
        <v>766</v>
      </c>
      <c r="K956" s="88" t="s">
        <v>788</v>
      </c>
      <c r="L956" s="91">
        <v>40000</v>
      </c>
      <c r="M956" s="195" t="s">
        <v>22</v>
      </c>
      <c r="N956" s="39" t="s">
        <v>48</v>
      </c>
      <c r="O956" s="39" t="s">
        <v>49</v>
      </c>
      <c r="P956" s="134" t="s">
        <v>836</v>
      </c>
      <c r="Q956" s="19">
        <v>60</v>
      </c>
      <c r="R956" s="15">
        <f>IF(Q956&gt;0,Q956/I956,"")</f>
        <v>0.15</v>
      </c>
      <c r="S956" s="5">
        <f>($AC956*$AD956)/(($Z956/$Y956)+($AA956/$Z956)+($AB956/$AA956))</f>
        <v>76.947040498442377</v>
      </c>
      <c r="U956" s="109" t="s">
        <v>767</v>
      </c>
      <c r="V956" s="205" t="s">
        <v>719</v>
      </c>
      <c r="W956" s="205"/>
      <c r="Y956" s="2">
        <v>2</v>
      </c>
      <c r="Z956" s="2">
        <v>5</v>
      </c>
      <c r="AA956" s="2">
        <v>13</v>
      </c>
      <c r="AB956" s="2">
        <v>30</v>
      </c>
      <c r="AC956" s="2">
        <v>19</v>
      </c>
      <c r="AD956" s="2">
        <v>30</v>
      </c>
      <c r="AE956" s="2">
        <f>AC956*AD956</f>
        <v>570</v>
      </c>
      <c r="AF956" s="2">
        <f>Z956/Y956</f>
        <v>2.5</v>
      </c>
      <c r="AG956" s="2">
        <f>AA956/Z956</f>
        <v>2.6</v>
      </c>
      <c r="AH956" s="2">
        <f>AB956/AA956</f>
        <v>2.3076923076923075</v>
      </c>
    </row>
    <row r="957" spans="1:34">
      <c r="A957" s="103" t="s">
        <v>539</v>
      </c>
      <c r="B957" s="103" t="s">
        <v>540</v>
      </c>
      <c r="C957" s="48">
        <v>46193</v>
      </c>
      <c r="D957" s="42">
        <v>0.46875</v>
      </c>
      <c r="E957" s="46">
        <v>61</v>
      </c>
      <c r="F957" s="63" t="s">
        <v>571</v>
      </c>
      <c r="G957" s="2">
        <v>1</v>
      </c>
      <c r="H957" s="2">
        <v>9</v>
      </c>
      <c r="I957" s="125">
        <v>420</v>
      </c>
      <c r="J957" s="179" t="s">
        <v>766</v>
      </c>
      <c r="K957" s="179" t="s">
        <v>815</v>
      </c>
      <c r="L957" s="89">
        <v>30000</v>
      </c>
      <c r="M957" s="202">
        <v>30</v>
      </c>
      <c r="N957" s="39" t="s">
        <v>48</v>
      </c>
      <c r="O957" s="39" t="s">
        <v>49</v>
      </c>
      <c r="P957" s="131"/>
      <c r="Q957" s="19">
        <v>75</v>
      </c>
      <c r="R957" s="15">
        <f>Q957/I957</f>
        <v>0.17857142857142858</v>
      </c>
      <c r="S957" s="5">
        <f>($AC957*$AD957)/(($Z957/$Y957)+($AA957/$Z957)+($AB957/$AA957))</f>
        <v>53.333333333333336</v>
      </c>
      <c r="U957" s="109" t="s">
        <v>767</v>
      </c>
      <c r="V957" s="71" t="s">
        <v>1395</v>
      </c>
      <c r="W957" s="205"/>
      <c r="Y957" s="2">
        <v>2</v>
      </c>
      <c r="Z957" s="2">
        <v>5</v>
      </c>
      <c r="AA957" s="2">
        <v>20</v>
      </c>
      <c r="AB957" s="2">
        <v>50</v>
      </c>
      <c r="AC957" s="2">
        <v>16</v>
      </c>
      <c r="AD957" s="2">
        <v>30</v>
      </c>
      <c r="AE957" s="2">
        <f>AC957*AD957</f>
        <v>480</v>
      </c>
      <c r="AF957" s="2">
        <f>Z957/Y957</f>
        <v>2.5</v>
      </c>
      <c r="AG957" s="2">
        <f>AA957/Z957</f>
        <v>4</v>
      </c>
      <c r="AH957" s="2">
        <f>AC957/AA957</f>
        <v>0.8</v>
      </c>
    </row>
    <row r="958" spans="1:34">
      <c r="A958" s="52" t="s">
        <v>229</v>
      </c>
      <c r="B958" s="52" t="s">
        <v>230</v>
      </c>
      <c r="C958" s="190">
        <v>46193</v>
      </c>
      <c r="D958" s="42">
        <v>0.5</v>
      </c>
      <c r="F958" s="8" t="s">
        <v>123</v>
      </c>
      <c r="G958" s="2">
        <v>1</v>
      </c>
      <c r="I958" s="126">
        <v>400</v>
      </c>
      <c r="J958" s="2" t="s">
        <v>766</v>
      </c>
      <c r="K958" s="185" t="s">
        <v>601</v>
      </c>
      <c r="L958" s="91">
        <v>35000</v>
      </c>
      <c r="M958" s="194">
        <v>30</v>
      </c>
      <c r="N958" s="39" t="s">
        <v>48</v>
      </c>
      <c r="O958" s="39" t="s">
        <v>123</v>
      </c>
      <c r="P958" s="19">
        <v>30000</v>
      </c>
      <c r="Q958" s="2">
        <v>60</v>
      </c>
      <c r="R958" s="15">
        <f>IF(Q958&gt;0,Q958/I958,"")</f>
        <v>0.15</v>
      </c>
      <c r="S958" s="149" t="s">
        <v>110</v>
      </c>
      <c r="T958" s="149"/>
      <c r="U958" s="109" t="s">
        <v>767</v>
      </c>
      <c r="V958" s="205" t="s">
        <v>719</v>
      </c>
      <c r="W958" s="205"/>
      <c r="AE958" s="2">
        <f>AC958*AD958</f>
        <v>0</v>
      </c>
      <c r="AF958" s="2" t="e">
        <f>Z958/Y958</f>
        <v>#DIV/0!</v>
      </c>
      <c r="AG958" s="2" t="e">
        <f>AA958/Z958</f>
        <v>#DIV/0!</v>
      </c>
      <c r="AH958" s="2" t="e">
        <f>AB958/AA958</f>
        <v>#DIV/0!</v>
      </c>
    </row>
    <row r="959" spans="1:34">
      <c r="A959" s="52" t="s">
        <v>220</v>
      </c>
      <c r="B959" s="52" t="s">
        <v>221</v>
      </c>
      <c r="C959" s="48">
        <v>46193</v>
      </c>
      <c r="D959" s="42">
        <v>0.5</v>
      </c>
      <c r="E959" s="193"/>
      <c r="F959" s="8" t="s">
        <v>1053</v>
      </c>
      <c r="G959" s="2">
        <v>1</v>
      </c>
      <c r="H959" s="2">
        <v>9</v>
      </c>
      <c r="I959" s="125">
        <v>1100</v>
      </c>
      <c r="J959" s="2" t="s">
        <v>766</v>
      </c>
      <c r="K959" s="88" t="s">
        <v>780</v>
      </c>
      <c r="L959" s="90">
        <v>30000</v>
      </c>
      <c r="M959" s="64">
        <v>30</v>
      </c>
      <c r="N959" s="39" t="s">
        <v>48</v>
      </c>
      <c r="O959" s="39" t="s">
        <v>49</v>
      </c>
      <c r="P959" s="135" t="s">
        <v>841</v>
      </c>
      <c r="Q959" s="19">
        <v>125</v>
      </c>
      <c r="R959" s="15">
        <f>Q959/I959</f>
        <v>0.11363636363636363</v>
      </c>
      <c r="S959" s="5">
        <f>($AC959*$AD959)/(($Z959/$Y959)+($AA959/$Z959)+($AB959/$AA959))</f>
        <v>62.448979591836739</v>
      </c>
      <c r="U959" s="109" t="s">
        <v>767</v>
      </c>
      <c r="V959" s="2" t="s">
        <v>738</v>
      </c>
      <c r="W959" s="205"/>
      <c r="Y959" s="2">
        <v>2</v>
      </c>
      <c r="Z959" s="2">
        <v>5</v>
      </c>
      <c r="AA959" s="2">
        <v>15</v>
      </c>
      <c r="AB959" s="2">
        <v>40</v>
      </c>
      <c r="AC959" s="2">
        <v>17</v>
      </c>
      <c r="AD959" s="2">
        <v>30</v>
      </c>
      <c r="AE959" s="2">
        <f>AC959*AD959</f>
        <v>510</v>
      </c>
      <c r="AF959" s="2">
        <f>Z959/Y959</f>
        <v>2.5</v>
      </c>
      <c r="AG959" s="2">
        <f>AA959/Z959</f>
        <v>3</v>
      </c>
      <c r="AH959" s="2">
        <f>AB959/AA959</f>
        <v>2.6666666666666665</v>
      </c>
    </row>
    <row r="960" spans="1:34">
      <c r="A960" s="52" t="s">
        <v>220</v>
      </c>
      <c r="B960" s="52" t="s">
        <v>221</v>
      </c>
      <c r="C960" s="191">
        <v>46193</v>
      </c>
      <c r="D960" s="42">
        <v>0.5</v>
      </c>
      <c r="E960" s="193"/>
      <c r="F960" s="8" t="s">
        <v>474</v>
      </c>
      <c r="G960" s="2">
        <v>1</v>
      </c>
      <c r="H960" s="2">
        <v>8</v>
      </c>
      <c r="I960" s="126">
        <v>1100</v>
      </c>
      <c r="J960" s="2" t="s">
        <v>766</v>
      </c>
      <c r="K960" s="88" t="s">
        <v>780</v>
      </c>
      <c r="L960" s="91">
        <v>30000</v>
      </c>
      <c r="M960" s="203">
        <v>30</v>
      </c>
      <c r="N960" s="39" t="s">
        <v>48</v>
      </c>
      <c r="O960" s="39" t="s">
        <v>373</v>
      </c>
      <c r="P960" s="63">
        <v>50000</v>
      </c>
      <c r="Q960" s="2">
        <v>125</v>
      </c>
      <c r="R960" s="15">
        <f>Q960/I960</f>
        <v>0.11363636363636363</v>
      </c>
      <c r="S960" s="149" t="s">
        <v>110</v>
      </c>
      <c r="T960" s="149"/>
      <c r="U960" s="109" t="s">
        <v>767</v>
      </c>
      <c r="V960" s="205" t="s">
        <v>738</v>
      </c>
      <c r="W960" s="205"/>
      <c r="AE960" s="2">
        <f>AC960*AD960</f>
        <v>0</v>
      </c>
      <c r="AF960" s="2" t="e">
        <f>Z960/Y960</f>
        <v>#DIV/0!</v>
      </c>
      <c r="AG960" s="2" t="e">
        <f>AA960/Z960</f>
        <v>#DIV/0!</v>
      </c>
      <c r="AH960" s="2" t="e">
        <f>AB960/AA960</f>
        <v>#DIV/0!</v>
      </c>
    </row>
    <row r="961" spans="1:34">
      <c r="A961" s="103" t="s">
        <v>539</v>
      </c>
      <c r="B961" s="103" t="s">
        <v>540</v>
      </c>
      <c r="C961" s="191">
        <v>46193</v>
      </c>
      <c r="D961" s="42">
        <v>0.51041666666666663</v>
      </c>
      <c r="E961" s="46">
        <v>54</v>
      </c>
      <c r="F961" s="63" t="s">
        <v>1339</v>
      </c>
      <c r="G961" s="2">
        <v>2</v>
      </c>
      <c r="H961" s="2">
        <v>9</v>
      </c>
      <c r="I961" s="126">
        <v>720</v>
      </c>
      <c r="J961" s="179" t="s">
        <v>766</v>
      </c>
      <c r="K961" s="179" t="s">
        <v>598</v>
      </c>
      <c r="L961" s="89">
        <v>30000</v>
      </c>
      <c r="M961" s="69">
        <v>40</v>
      </c>
      <c r="N961" s="39" t="s">
        <v>48</v>
      </c>
      <c r="O961" s="39" t="s">
        <v>49</v>
      </c>
      <c r="P961" s="131"/>
      <c r="Q961" s="19">
        <v>101</v>
      </c>
      <c r="R961" s="15">
        <f>Q961/I961</f>
        <v>0.14027777777777778</v>
      </c>
      <c r="S961" s="5">
        <f>($AC961*$AD961)/(($Z961/$Y961)+($AA961/$Z961)+($AB961/$AA961))</f>
        <v>88.163265306122454</v>
      </c>
      <c r="U961" s="109" t="s">
        <v>767</v>
      </c>
      <c r="V961" s="21" t="s">
        <v>1395</v>
      </c>
      <c r="W961" s="8" t="s">
        <v>1393</v>
      </c>
      <c r="Y961" s="2">
        <v>1.5</v>
      </c>
      <c r="Z961" s="2">
        <v>4</v>
      </c>
      <c r="AA961" s="2">
        <v>10</v>
      </c>
      <c r="AB961" s="2">
        <v>30</v>
      </c>
      <c r="AC961" s="2">
        <v>18</v>
      </c>
      <c r="AD961" s="2">
        <v>40</v>
      </c>
      <c r="AE961" s="2">
        <f>AC961*AD961</f>
        <v>720</v>
      </c>
      <c r="AF961" s="2">
        <f>Z961/Y961</f>
        <v>2.6666666666666665</v>
      </c>
      <c r="AG961" s="2">
        <f>AA961/Z961</f>
        <v>2.5</v>
      </c>
      <c r="AH961" s="2">
        <f>AC961/AA961</f>
        <v>1.8</v>
      </c>
    </row>
    <row r="962" spans="1:34" s="70" customFormat="1">
      <c r="A962" s="103" t="s">
        <v>539</v>
      </c>
      <c r="B962" s="103" t="s">
        <v>540</v>
      </c>
      <c r="C962" s="191">
        <v>46193</v>
      </c>
      <c r="D962" s="42">
        <v>0.54166666666666663</v>
      </c>
      <c r="E962" s="46">
        <v>62</v>
      </c>
      <c r="F962" s="63" t="s">
        <v>542</v>
      </c>
      <c r="G962" s="2">
        <v>1</v>
      </c>
      <c r="H962" s="2">
        <v>9</v>
      </c>
      <c r="I962" s="151">
        <v>200</v>
      </c>
      <c r="J962" s="179" t="s">
        <v>766</v>
      </c>
      <c r="K962" s="179" t="s">
        <v>815</v>
      </c>
      <c r="L962" s="160">
        <v>30000</v>
      </c>
      <c r="M962" s="69">
        <v>30</v>
      </c>
      <c r="N962" s="39" t="s">
        <v>48</v>
      </c>
      <c r="O962" s="39" t="s">
        <v>49</v>
      </c>
      <c r="P962" s="212" t="s">
        <v>833</v>
      </c>
      <c r="Q962" s="19">
        <v>44</v>
      </c>
      <c r="R962" s="59">
        <f>Q962/I962</f>
        <v>0.22</v>
      </c>
      <c r="S962" s="5">
        <f>($AC962*$AD962)/(($Z962/$Y962)+($AA962/$Z962)+($AB962/$AA962))</f>
        <v>53.333333333333336</v>
      </c>
      <c r="T962" s="5"/>
      <c r="U962" s="109" t="s">
        <v>767</v>
      </c>
      <c r="V962" s="71" t="s">
        <v>1395</v>
      </c>
      <c r="W962" s="205"/>
      <c r="X962" s="2"/>
      <c r="Y962" s="2">
        <v>2</v>
      </c>
      <c r="Z962" s="2">
        <v>5</v>
      </c>
      <c r="AA962" s="2">
        <v>20</v>
      </c>
      <c r="AB962" s="2">
        <v>50</v>
      </c>
      <c r="AC962" s="2">
        <v>16</v>
      </c>
      <c r="AD962" s="2">
        <v>30</v>
      </c>
      <c r="AE962" s="2">
        <f>AC962*AD962</f>
        <v>480</v>
      </c>
      <c r="AF962" s="2">
        <f>Z962/Y962</f>
        <v>2.5</v>
      </c>
      <c r="AG962" s="2">
        <f>AA962/Z962</f>
        <v>4</v>
      </c>
      <c r="AH962" s="2">
        <f>AB962/AA962</f>
        <v>2.5</v>
      </c>
    </row>
    <row r="963" spans="1:34">
      <c r="A963" s="165" t="s">
        <v>1383</v>
      </c>
      <c r="B963" s="36" t="s">
        <v>63</v>
      </c>
      <c r="C963" s="41">
        <v>46193</v>
      </c>
      <c r="D963" s="144">
        <v>0.54166666666666663</v>
      </c>
      <c r="E963" s="8">
        <v>55</v>
      </c>
      <c r="F963" s="8" t="s">
        <v>1192</v>
      </c>
      <c r="G963" s="2">
        <v>3</v>
      </c>
      <c r="H963" s="2">
        <v>8</v>
      </c>
      <c r="I963" s="45">
        <v>50000</v>
      </c>
      <c r="J963" s="2" t="s">
        <v>762</v>
      </c>
      <c r="K963" s="109" t="s">
        <v>601</v>
      </c>
      <c r="L963" s="92">
        <v>300000</v>
      </c>
      <c r="M963" s="69" t="s">
        <v>97</v>
      </c>
      <c r="N963" s="39" t="s">
        <v>48</v>
      </c>
      <c r="O963" s="39" t="s">
        <v>57</v>
      </c>
      <c r="P963" s="19"/>
      <c r="Q963" s="38">
        <f>R963*I963</f>
        <v>2500</v>
      </c>
      <c r="R963" s="15">
        <v>0.05</v>
      </c>
      <c r="S963" s="149" t="s">
        <v>110</v>
      </c>
      <c r="T963" s="149"/>
      <c r="U963" s="109" t="s">
        <v>767</v>
      </c>
      <c r="V963" s="2" t="s">
        <v>121</v>
      </c>
      <c r="W963" s="205"/>
      <c r="Y963" s="70"/>
      <c r="Z963" s="70"/>
      <c r="AA963" s="70"/>
      <c r="AC963" s="70"/>
      <c r="AD963" s="70"/>
      <c r="AE963" s="2" t="e">
        <f>AD963*#REF!</f>
        <v>#REF!</v>
      </c>
      <c r="AF963" s="2" t="e">
        <f>Z963/Y963</f>
        <v>#DIV/0!</v>
      </c>
      <c r="AG963" s="2" t="e">
        <f>AA963/Z963</f>
        <v>#DIV/0!</v>
      </c>
      <c r="AH963" s="2" t="e">
        <f>AC963/AA963</f>
        <v>#DIV/0!</v>
      </c>
    </row>
    <row r="964" spans="1:34">
      <c r="A964" s="165" t="s">
        <v>1383</v>
      </c>
      <c r="B964" s="36" t="s">
        <v>63</v>
      </c>
      <c r="C964" s="41">
        <v>46193</v>
      </c>
      <c r="D964" s="144">
        <v>0.54166666666666663</v>
      </c>
      <c r="E964" s="8">
        <v>56</v>
      </c>
      <c r="F964" s="8" t="s">
        <v>1178</v>
      </c>
      <c r="G964" s="2">
        <v>2</v>
      </c>
      <c r="H964" s="2">
        <v>6</v>
      </c>
      <c r="I964" s="45">
        <v>3000</v>
      </c>
      <c r="J964" s="2" t="s">
        <v>760</v>
      </c>
      <c r="K964" s="109" t="s">
        <v>816</v>
      </c>
      <c r="L964" s="92">
        <v>40000</v>
      </c>
      <c r="M964" s="69" t="s">
        <v>22</v>
      </c>
      <c r="N964" s="39" t="s">
        <v>48</v>
      </c>
      <c r="O964" s="39" t="s">
        <v>49</v>
      </c>
      <c r="P964" s="210"/>
      <c r="Q964" s="19">
        <f>R964*I964</f>
        <v>330</v>
      </c>
      <c r="R964" s="15">
        <v>0.11</v>
      </c>
      <c r="S964" s="5">
        <f>($AC964*$AD964)/(($Z964/$Y964)+($AA964/$Z964)+($AB964/$AA964))</f>
        <v>77.027027027027017</v>
      </c>
      <c r="U964" s="109" t="s">
        <v>375</v>
      </c>
      <c r="V964" s="205" t="s">
        <v>121</v>
      </c>
      <c r="W964" s="205"/>
      <c r="Y964" s="2">
        <v>2</v>
      </c>
      <c r="Z964" s="2">
        <v>5</v>
      </c>
      <c r="AA964" s="2">
        <v>12.5</v>
      </c>
      <c r="AB964" s="2">
        <v>30</v>
      </c>
      <c r="AC964" s="2">
        <v>19</v>
      </c>
      <c r="AD964" s="2">
        <v>30</v>
      </c>
      <c r="AE964" s="2">
        <f>AC964*AD964</f>
        <v>570</v>
      </c>
      <c r="AF964" s="2">
        <f>Z964/Y964</f>
        <v>2.5</v>
      </c>
      <c r="AG964" s="2">
        <f>AA964/Z964</f>
        <v>2.5</v>
      </c>
      <c r="AH964" s="2">
        <f>AB964/AA964</f>
        <v>2.4</v>
      </c>
    </row>
    <row r="965" spans="1:34">
      <c r="A965" s="165" t="s">
        <v>1383</v>
      </c>
      <c r="B965" s="39" t="s">
        <v>63</v>
      </c>
      <c r="C965" s="41">
        <v>46193</v>
      </c>
      <c r="D965" s="144">
        <v>0.54166666666666663</v>
      </c>
      <c r="E965" s="8"/>
      <c r="F965" s="8" t="s">
        <v>881</v>
      </c>
      <c r="G965" s="2">
        <v>1</v>
      </c>
      <c r="H965" s="2">
        <v>9</v>
      </c>
      <c r="I965" s="37">
        <v>250</v>
      </c>
      <c r="J965" s="2" t="s">
        <v>766</v>
      </c>
      <c r="K965" s="88" t="s">
        <v>787</v>
      </c>
      <c r="L965" s="89">
        <v>25000</v>
      </c>
      <c r="M965" s="205">
        <v>30</v>
      </c>
      <c r="N965" s="39" t="s">
        <v>817</v>
      </c>
      <c r="O965" s="39" t="s">
        <v>49</v>
      </c>
      <c r="P965" s="210"/>
      <c r="Q965" s="19">
        <v>50</v>
      </c>
      <c r="R965" s="15">
        <f>Q965/I965</f>
        <v>0.2</v>
      </c>
      <c r="S965" s="5">
        <v>44</v>
      </c>
      <c r="U965" s="109" t="s">
        <v>767</v>
      </c>
      <c r="V965" s="71" t="s">
        <v>360</v>
      </c>
      <c r="Y965" s="175"/>
      <c r="Z965" s="175"/>
      <c r="AA965" s="175"/>
      <c r="AB965" s="175"/>
      <c r="AC965" s="175"/>
      <c r="AD965" s="175"/>
      <c r="AE965" s="175"/>
      <c r="AF965" s="175"/>
      <c r="AG965" s="175"/>
      <c r="AH965" s="175"/>
    </row>
    <row r="966" spans="1:34">
      <c r="A966" s="96" t="s">
        <v>461</v>
      </c>
      <c r="B966" s="96" t="s">
        <v>462</v>
      </c>
      <c r="C966" s="41">
        <v>46193</v>
      </c>
      <c r="D966" s="42">
        <v>0.59027777777777779</v>
      </c>
      <c r="E966" s="193"/>
      <c r="F966" s="8" t="s">
        <v>276</v>
      </c>
      <c r="G966" s="2">
        <v>1</v>
      </c>
      <c r="I966" s="126">
        <v>200</v>
      </c>
      <c r="J966" s="2" t="s">
        <v>766</v>
      </c>
      <c r="K966" s="109" t="s">
        <v>602</v>
      </c>
      <c r="L966" s="194">
        <v>20000</v>
      </c>
      <c r="M966" s="69">
        <v>20</v>
      </c>
      <c r="N966" s="39" t="s">
        <v>48</v>
      </c>
      <c r="O966" s="39" t="s">
        <v>451</v>
      </c>
      <c r="P966" s="63">
        <v>15000</v>
      </c>
      <c r="Q966" s="2">
        <v>40</v>
      </c>
      <c r="R966" s="15">
        <f>Q966/I966</f>
        <v>0.2</v>
      </c>
      <c r="S966" s="149" t="s">
        <v>110</v>
      </c>
      <c r="T966" s="149"/>
      <c r="U966" s="109" t="s">
        <v>767</v>
      </c>
      <c r="V966" s="10" t="s">
        <v>735</v>
      </c>
      <c r="AE966" s="2">
        <f>AC966*AD966</f>
        <v>0</v>
      </c>
      <c r="AF966" s="2" t="e">
        <f>Z966/Y966</f>
        <v>#DIV/0!</v>
      </c>
      <c r="AG966" s="2" t="e">
        <f>AA966/Z966</f>
        <v>#DIV/0!</v>
      </c>
      <c r="AH966" s="2" t="e">
        <f>AB966/AA966</f>
        <v>#DIV/0!</v>
      </c>
    </row>
    <row r="967" spans="1:34">
      <c r="A967" s="165" t="s">
        <v>1383</v>
      </c>
      <c r="B967" s="39" t="s">
        <v>63</v>
      </c>
      <c r="C967" s="41">
        <v>46193</v>
      </c>
      <c r="D967" s="144">
        <v>0.625</v>
      </c>
      <c r="F967" s="8" t="s">
        <v>912</v>
      </c>
      <c r="G967" s="2">
        <v>1</v>
      </c>
      <c r="H967" s="2">
        <v>9</v>
      </c>
      <c r="I967" s="45">
        <v>240</v>
      </c>
      <c r="J967" s="2" t="s">
        <v>766</v>
      </c>
      <c r="K967" s="88" t="s">
        <v>784</v>
      </c>
      <c r="L967" s="92">
        <v>10000</v>
      </c>
      <c r="M967" s="202">
        <v>20</v>
      </c>
      <c r="N967" s="132" t="s">
        <v>821</v>
      </c>
      <c r="O967" s="39" t="s">
        <v>49</v>
      </c>
      <c r="P967" s="210"/>
      <c r="Q967" s="19">
        <v>40</v>
      </c>
      <c r="R967" s="15">
        <v>0.16666666666666666</v>
      </c>
      <c r="S967" s="5">
        <v>29</v>
      </c>
      <c r="U967" s="109" t="s">
        <v>767</v>
      </c>
      <c r="V967" s="71" t="s">
        <v>362</v>
      </c>
      <c r="W967" s="8" t="s">
        <v>367</v>
      </c>
      <c r="Y967" s="175"/>
      <c r="Z967" s="175"/>
      <c r="AA967" s="175"/>
      <c r="AB967" s="175"/>
      <c r="AC967" s="175"/>
      <c r="AD967" s="175"/>
      <c r="AE967" s="175"/>
      <c r="AF967" s="175"/>
      <c r="AG967" s="175"/>
      <c r="AH967" s="175"/>
    </row>
    <row r="968" spans="1:34">
      <c r="A968" s="165" t="s">
        <v>1383</v>
      </c>
      <c r="B968" s="39" t="s">
        <v>63</v>
      </c>
      <c r="C968" s="47">
        <v>46193</v>
      </c>
      <c r="D968" s="144">
        <v>0.625</v>
      </c>
      <c r="E968" s="193"/>
      <c r="F968" s="8" t="s">
        <v>922</v>
      </c>
      <c r="G968" s="2">
        <v>1</v>
      </c>
      <c r="H968" s="2">
        <v>7</v>
      </c>
      <c r="I968" s="126">
        <v>625</v>
      </c>
      <c r="J968" s="2" t="s">
        <v>766</v>
      </c>
      <c r="K968" s="88" t="s">
        <v>779</v>
      </c>
      <c r="L968" s="91">
        <v>10000</v>
      </c>
      <c r="M968" s="194">
        <v>15</v>
      </c>
      <c r="N968" s="132" t="s">
        <v>821</v>
      </c>
      <c r="O968" s="39" t="s">
        <v>863</v>
      </c>
      <c r="P968" s="19"/>
      <c r="Q968" s="2">
        <v>95</v>
      </c>
      <c r="R968" s="15">
        <f>Q968/I968</f>
        <v>0.152</v>
      </c>
      <c r="S968" s="149" t="s">
        <v>110</v>
      </c>
      <c r="T968" s="149"/>
      <c r="U968" s="109" t="s">
        <v>767</v>
      </c>
      <c r="V968" s="71" t="s">
        <v>362</v>
      </c>
      <c r="W968" s="8" t="s">
        <v>150</v>
      </c>
      <c r="AE968" s="2" t="e">
        <f>AD968*#REF!</f>
        <v>#REF!</v>
      </c>
      <c r="AF968" s="2" t="e">
        <f>Z968/Y968</f>
        <v>#DIV/0!</v>
      </c>
      <c r="AG968" s="2" t="e">
        <f>AA968/Z968</f>
        <v>#DIV/0!</v>
      </c>
      <c r="AH968" s="2" t="e">
        <f>AC968/AA968</f>
        <v>#DIV/0!</v>
      </c>
    </row>
    <row r="969" spans="1:34">
      <c r="A969" s="186" t="s">
        <v>1397</v>
      </c>
      <c r="B969" s="186" t="s">
        <v>1398</v>
      </c>
      <c r="C969" s="41">
        <v>46193</v>
      </c>
      <c r="D969" s="42">
        <v>0.625</v>
      </c>
      <c r="F969" s="230" t="s">
        <v>1401</v>
      </c>
      <c r="G969" s="2">
        <v>1</v>
      </c>
      <c r="H969" s="2">
        <v>8</v>
      </c>
      <c r="I969" s="45">
        <v>15000</v>
      </c>
      <c r="J969" s="2" t="s">
        <v>766</v>
      </c>
      <c r="K969" s="56">
        <v>0.8125</v>
      </c>
      <c r="L969" s="92">
        <v>125000</v>
      </c>
      <c r="M969" s="69">
        <v>30</v>
      </c>
      <c r="N969" s="39" t="s">
        <v>48</v>
      </c>
      <c r="O969" s="187" t="s">
        <v>49</v>
      </c>
      <c r="Q969" s="19">
        <v>100</v>
      </c>
      <c r="R969" s="15">
        <f>Q969/I969</f>
        <v>6.6666666666666671E-3</v>
      </c>
      <c r="S969" s="5">
        <f>($AC969*$AD969)/(($Z969/$Y969)+($AA969/$Z969)+($AB969/$AA969))</f>
        <v>77.142857142857139</v>
      </c>
      <c r="V969" s="205" t="s">
        <v>1409</v>
      </c>
      <c r="W969" s="230" t="s">
        <v>1410</v>
      </c>
      <c r="Y969" s="2">
        <v>10</v>
      </c>
      <c r="Z969" s="2">
        <v>20</v>
      </c>
      <c r="AA969" s="2">
        <v>50</v>
      </c>
      <c r="AB969" s="2">
        <v>125</v>
      </c>
      <c r="AC969" s="2">
        <v>18</v>
      </c>
      <c r="AD969" s="2">
        <v>30</v>
      </c>
      <c r="AE969" s="2">
        <f>AC969*AD969</f>
        <v>540</v>
      </c>
      <c r="AF969" s="2">
        <f>Z969/Y969</f>
        <v>2</v>
      </c>
      <c r="AG969" s="2">
        <f>AA969/Z969</f>
        <v>2.5</v>
      </c>
      <c r="AH969" s="2">
        <f>AB969/AA969</f>
        <v>2.5</v>
      </c>
    </row>
    <row r="970" spans="1:34">
      <c r="A970" s="165" t="s">
        <v>1383</v>
      </c>
      <c r="B970" s="39" t="s">
        <v>63</v>
      </c>
      <c r="C970" s="41">
        <v>46193</v>
      </c>
      <c r="D970" s="144">
        <v>0.66666666666666663</v>
      </c>
      <c r="E970" s="8"/>
      <c r="F970" s="8" t="s">
        <v>1024</v>
      </c>
      <c r="G970" s="2">
        <v>1</v>
      </c>
      <c r="H970" s="2">
        <v>9</v>
      </c>
      <c r="I970" s="45">
        <v>400</v>
      </c>
      <c r="J970" s="2" t="s">
        <v>766</v>
      </c>
      <c r="K970" s="88" t="s">
        <v>794</v>
      </c>
      <c r="L970" s="92">
        <v>30000</v>
      </c>
      <c r="M970" s="10">
        <v>20</v>
      </c>
      <c r="N970" s="39" t="s">
        <v>817</v>
      </c>
      <c r="O970" s="39" t="s">
        <v>49</v>
      </c>
      <c r="P970" s="210"/>
      <c r="Q970" s="19">
        <v>70</v>
      </c>
      <c r="R970" s="15">
        <f>Q970/I970</f>
        <v>0.17499999999999999</v>
      </c>
      <c r="S970" s="5">
        <v>37</v>
      </c>
      <c r="U970" s="109" t="s">
        <v>129</v>
      </c>
      <c r="V970" s="71" t="s">
        <v>360</v>
      </c>
      <c r="Y970" s="175"/>
      <c r="Z970" s="175"/>
      <c r="AA970" s="175"/>
      <c r="AB970" s="175"/>
      <c r="AC970" s="175"/>
      <c r="AD970" s="175"/>
      <c r="AE970" s="175"/>
      <c r="AF970" s="175"/>
      <c r="AG970" s="175"/>
      <c r="AH970" s="175"/>
    </row>
    <row r="971" spans="1:34">
      <c r="A971" s="52" t="s">
        <v>229</v>
      </c>
      <c r="B971" s="52" t="s">
        <v>230</v>
      </c>
      <c r="C971" s="190">
        <v>46193</v>
      </c>
      <c r="D971" s="42">
        <v>0.66666666666666663</v>
      </c>
      <c r="E971" s="193"/>
      <c r="F971" s="8" t="s">
        <v>239</v>
      </c>
      <c r="G971" s="2">
        <v>1</v>
      </c>
      <c r="I971" s="126">
        <v>240</v>
      </c>
      <c r="J971" s="2" t="s">
        <v>766</v>
      </c>
      <c r="K971" s="88" t="s">
        <v>795</v>
      </c>
      <c r="L971" s="91">
        <v>30000</v>
      </c>
      <c r="M971" s="194">
        <v>20</v>
      </c>
      <c r="N971" s="39" t="s">
        <v>48</v>
      </c>
      <c r="O971" s="39" t="s">
        <v>870</v>
      </c>
      <c r="P971" s="19">
        <v>10000</v>
      </c>
      <c r="Q971" s="2">
        <v>40</v>
      </c>
      <c r="R971" s="15">
        <f>IF(Q971&gt;0,Q971/I971,"")</f>
        <v>0.16666666666666666</v>
      </c>
      <c r="S971" s="149" t="s">
        <v>110</v>
      </c>
      <c r="T971" s="149"/>
      <c r="U971" s="109" t="s">
        <v>767</v>
      </c>
      <c r="V971" s="205" t="s">
        <v>719</v>
      </c>
      <c r="W971" s="205"/>
      <c r="AE971" s="2">
        <f>AC971*AD971</f>
        <v>0</v>
      </c>
      <c r="AF971" s="2" t="e">
        <f>Z971/Y971</f>
        <v>#DIV/0!</v>
      </c>
      <c r="AG971" s="2" t="e">
        <f>AA971/Z971</f>
        <v>#DIV/0!</v>
      </c>
      <c r="AH971" s="2" t="e">
        <f>AB971/AA971</f>
        <v>#DIV/0!</v>
      </c>
    </row>
    <row r="972" spans="1:34">
      <c r="A972" s="103" t="s">
        <v>539</v>
      </c>
      <c r="B972" s="103" t="s">
        <v>540</v>
      </c>
      <c r="C972" s="191">
        <v>46193</v>
      </c>
      <c r="D972" s="42">
        <v>0.67708333333333337</v>
      </c>
      <c r="E972" s="46">
        <v>63</v>
      </c>
      <c r="F972" s="63" t="s">
        <v>572</v>
      </c>
      <c r="G972" s="2">
        <v>1</v>
      </c>
      <c r="H972" s="2">
        <v>9</v>
      </c>
      <c r="I972" s="126">
        <v>620</v>
      </c>
      <c r="J972" s="179" t="s">
        <v>766</v>
      </c>
      <c r="K972" s="179" t="s">
        <v>602</v>
      </c>
      <c r="L972" s="92">
        <v>25000</v>
      </c>
      <c r="M972" s="69">
        <v>25</v>
      </c>
      <c r="N972" s="39" t="s">
        <v>48</v>
      </c>
      <c r="O972" s="39" t="s">
        <v>49</v>
      </c>
      <c r="P972" s="131"/>
      <c r="Q972" s="19">
        <v>99</v>
      </c>
      <c r="R972" s="15">
        <f>Q972/I972</f>
        <v>0.1596774193548387</v>
      </c>
      <c r="S972" s="5">
        <f>($AC972*$AD972)/(($Z972/$Y972)+($AA972/$Z972)+($AB972/$AA972))</f>
        <v>41.666666666666664</v>
      </c>
      <c r="U972" s="109" t="s">
        <v>767</v>
      </c>
      <c r="V972" s="71" t="s">
        <v>1395</v>
      </c>
      <c r="Y972" s="2">
        <v>2</v>
      </c>
      <c r="Z972" s="2">
        <v>5</v>
      </c>
      <c r="AA972" s="2">
        <v>20</v>
      </c>
      <c r="AB972" s="2">
        <v>50</v>
      </c>
      <c r="AC972" s="2">
        <v>15</v>
      </c>
      <c r="AD972" s="2">
        <v>25</v>
      </c>
      <c r="AE972" s="2">
        <f>AC972*AD972</f>
        <v>375</v>
      </c>
      <c r="AF972" s="2">
        <f>Z972/Y972</f>
        <v>2.5</v>
      </c>
      <c r="AG972" s="2">
        <f>AA972/Z972</f>
        <v>4</v>
      </c>
      <c r="AH972" s="2">
        <f>AC972/AA972</f>
        <v>0.75</v>
      </c>
    </row>
    <row r="973" spans="1:34">
      <c r="A973" s="165" t="s">
        <v>1383</v>
      </c>
      <c r="B973" s="39" t="s">
        <v>63</v>
      </c>
      <c r="C973" s="47">
        <v>46193</v>
      </c>
      <c r="D973" s="144">
        <v>0.75</v>
      </c>
      <c r="E973" s="193"/>
      <c r="F973" s="8" t="s">
        <v>914</v>
      </c>
      <c r="G973" s="2">
        <v>1</v>
      </c>
      <c r="H973" s="2">
        <v>7</v>
      </c>
      <c r="I973" s="126">
        <v>5300</v>
      </c>
      <c r="J973" s="2" t="s">
        <v>766</v>
      </c>
      <c r="K973" s="88" t="s">
        <v>809</v>
      </c>
      <c r="L973" s="91">
        <v>25000</v>
      </c>
      <c r="M973" s="194">
        <v>30</v>
      </c>
      <c r="N973" s="132" t="s">
        <v>821</v>
      </c>
      <c r="O973" s="39" t="s">
        <v>863</v>
      </c>
      <c r="P973" s="19"/>
      <c r="Q973" s="2">
        <v>300</v>
      </c>
      <c r="R973" s="15">
        <f>Q973/I973</f>
        <v>5.6603773584905662E-2</v>
      </c>
      <c r="S973" s="149" t="s">
        <v>110</v>
      </c>
      <c r="T973" s="149"/>
      <c r="U973" s="109" t="s">
        <v>767</v>
      </c>
      <c r="V973" s="71" t="s">
        <v>362</v>
      </c>
      <c r="W973" s="8" t="s">
        <v>382</v>
      </c>
      <c r="AE973" s="2" t="e">
        <f>AD973*#REF!</f>
        <v>#REF!</v>
      </c>
      <c r="AF973" s="2" t="e">
        <f>Z973/Y973</f>
        <v>#DIV/0!</v>
      </c>
      <c r="AG973" s="2" t="e">
        <f>AA973/Z973</f>
        <v>#DIV/0!</v>
      </c>
      <c r="AH973" s="2" t="e">
        <f>AC973/AA973</f>
        <v>#DIV/0!</v>
      </c>
    </row>
    <row r="974" spans="1:34">
      <c r="A974" s="102" t="s">
        <v>475</v>
      </c>
      <c r="B974" s="102" t="s">
        <v>476</v>
      </c>
      <c r="C974" s="47">
        <v>46193</v>
      </c>
      <c r="D974" s="42">
        <v>0.75</v>
      </c>
      <c r="E974" s="8" t="s">
        <v>511</v>
      </c>
      <c r="F974" s="8" t="s">
        <v>512</v>
      </c>
      <c r="G974" s="2">
        <v>2</v>
      </c>
      <c r="H974" s="2">
        <v>9</v>
      </c>
      <c r="I974" s="126">
        <v>500</v>
      </c>
      <c r="J974" s="2" t="s">
        <v>766</v>
      </c>
      <c r="K974" s="109" t="s">
        <v>601</v>
      </c>
      <c r="L974" s="105">
        <v>40000</v>
      </c>
      <c r="M974" s="203" t="s">
        <v>22</v>
      </c>
      <c r="N974" s="39" t="s">
        <v>48</v>
      </c>
      <c r="O974" s="39" t="s">
        <v>49</v>
      </c>
      <c r="P974" s="135" t="s">
        <v>841</v>
      </c>
      <c r="Q974" s="19">
        <v>75</v>
      </c>
      <c r="R974" s="15">
        <f>Q974/I974</f>
        <v>0.15</v>
      </c>
      <c r="S974" s="5">
        <f>($AC974*$AD974)/(($Z974/$Y974)+($AA974/$Z974)+($AB974/$AA974))</f>
        <v>71.293161814488826</v>
      </c>
      <c r="U974" s="109" t="s">
        <v>55</v>
      </c>
      <c r="V974" s="10" t="s">
        <v>634</v>
      </c>
      <c r="Y974" s="2">
        <v>2.5</v>
      </c>
      <c r="Z974" s="2">
        <v>6.5</v>
      </c>
      <c r="AA974" s="2">
        <v>15</v>
      </c>
      <c r="AB974" s="2">
        <v>40</v>
      </c>
      <c r="AC974" s="2">
        <v>30</v>
      </c>
      <c r="AD974" s="2">
        <v>18</v>
      </c>
      <c r="AE974" s="2">
        <f>AC974*AD974</f>
        <v>540</v>
      </c>
      <c r="AF974" s="2">
        <f>Z974/Y974</f>
        <v>2.6</v>
      </c>
      <c r="AG974" s="2">
        <f>AA974/Z974</f>
        <v>2.3076923076923075</v>
      </c>
      <c r="AH974" s="2">
        <f>AB974/AA974</f>
        <v>2.6666666666666665</v>
      </c>
    </row>
    <row r="975" spans="1:34" s="70" customFormat="1">
      <c r="A975" s="52" t="s">
        <v>229</v>
      </c>
      <c r="B975" s="52" t="s">
        <v>230</v>
      </c>
      <c r="C975" s="190">
        <v>46193</v>
      </c>
      <c r="D975" s="42">
        <v>0.75</v>
      </c>
      <c r="E975" s="193"/>
      <c r="F975" s="8" t="s">
        <v>244</v>
      </c>
      <c r="G975" s="2">
        <v>1</v>
      </c>
      <c r="H975" s="2"/>
      <c r="I975" s="126">
        <v>200</v>
      </c>
      <c r="J975" s="2" t="s">
        <v>766</v>
      </c>
      <c r="K975" s="88" t="s">
        <v>804</v>
      </c>
      <c r="L975" s="90">
        <v>30000</v>
      </c>
      <c r="M975" s="194">
        <v>20</v>
      </c>
      <c r="N975" s="39" t="s">
        <v>48</v>
      </c>
      <c r="O975" s="39" t="s">
        <v>49</v>
      </c>
      <c r="P975" s="135" t="s">
        <v>832</v>
      </c>
      <c r="Q975" s="19">
        <v>40</v>
      </c>
      <c r="R975" s="15">
        <f>IF(Q975&gt;0,Q975/I975,"")</f>
        <v>0.2</v>
      </c>
      <c r="S975" s="5">
        <f>($AC975*$AD975)/(($Z975/$Y975)+($AA975/$Z975)+($AB975/$AA975))</f>
        <v>35.555555555555557</v>
      </c>
      <c r="T975" s="5"/>
      <c r="U975" s="109" t="s">
        <v>767</v>
      </c>
      <c r="V975" s="205" t="s">
        <v>719</v>
      </c>
      <c r="W975" s="205"/>
      <c r="X975" s="2"/>
      <c r="Y975" s="2">
        <v>2</v>
      </c>
      <c r="Z975" s="2">
        <v>5</v>
      </c>
      <c r="AA975" s="2">
        <v>20</v>
      </c>
      <c r="AB975" s="2">
        <v>50</v>
      </c>
      <c r="AC975" s="2">
        <v>20</v>
      </c>
      <c r="AD975" s="2">
        <v>16</v>
      </c>
      <c r="AE975" s="2">
        <f>AC975*AD975</f>
        <v>320</v>
      </c>
      <c r="AF975" s="2">
        <f>Z975/Y975</f>
        <v>2.5</v>
      </c>
      <c r="AG975" s="2">
        <f>AA975/Z975</f>
        <v>4</v>
      </c>
      <c r="AH975" s="2">
        <f>AB975/AA975</f>
        <v>2.5</v>
      </c>
    </row>
    <row r="976" spans="1:34">
      <c r="A976" s="52" t="s">
        <v>220</v>
      </c>
      <c r="B976" s="52" t="s">
        <v>221</v>
      </c>
      <c r="C976" s="191">
        <v>46193</v>
      </c>
      <c r="D976" s="42">
        <v>0.75</v>
      </c>
      <c r="E976" s="193"/>
      <c r="F976" s="8" t="s">
        <v>1057</v>
      </c>
      <c r="G976" s="2">
        <v>1</v>
      </c>
      <c r="H976" s="2">
        <v>9</v>
      </c>
      <c r="I976" s="126">
        <v>1100</v>
      </c>
      <c r="J976" s="2" t="s">
        <v>766</v>
      </c>
      <c r="K976" s="88" t="s">
        <v>802</v>
      </c>
      <c r="L976" s="91">
        <v>20000</v>
      </c>
      <c r="M976" s="194">
        <v>25</v>
      </c>
      <c r="N976" s="39" t="s">
        <v>61</v>
      </c>
      <c r="O976" s="39" t="s">
        <v>49</v>
      </c>
      <c r="P976" s="131" t="s">
        <v>225</v>
      </c>
      <c r="Q976" s="19">
        <v>125</v>
      </c>
      <c r="R976" s="15">
        <f>Q976/I976</f>
        <v>0.11363636363636363</v>
      </c>
      <c r="S976" s="5">
        <f>($AC976*$AD976)/(($Z976/$Y976)+($AA976/$Z976)+($AB976/$AA976))</f>
        <v>38.888888888888886</v>
      </c>
      <c r="U976" s="109" t="s">
        <v>767</v>
      </c>
      <c r="V976" s="205" t="s">
        <v>738</v>
      </c>
      <c r="W976" s="205"/>
      <c r="Y976" s="2">
        <v>2</v>
      </c>
      <c r="Z976" s="2">
        <v>5</v>
      </c>
      <c r="AA976" s="2">
        <v>20</v>
      </c>
      <c r="AB976" s="2">
        <v>50</v>
      </c>
      <c r="AC976" s="2">
        <v>14</v>
      </c>
      <c r="AD976" s="2">
        <v>25</v>
      </c>
      <c r="AE976" s="2">
        <f>AC976*AD976</f>
        <v>350</v>
      </c>
      <c r="AF976" s="2">
        <f>Z976/Y976</f>
        <v>2.5</v>
      </c>
      <c r="AG976" s="2">
        <f>AA976/Z976</f>
        <v>4</v>
      </c>
      <c r="AH976" s="2">
        <f>AB976/AA976</f>
        <v>2.5</v>
      </c>
    </row>
    <row r="977" spans="1:34">
      <c r="A977" s="96" t="s">
        <v>461</v>
      </c>
      <c r="B977" s="96" t="s">
        <v>462</v>
      </c>
      <c r="C977" s="41">
        <v>46193</v>
      </c>
      <c r="D977" s="42">
        <v>0.75694444444444442</v>
      </c>
      <c r="F977" s="8" t="s">
        <v>460</v>
      </c>
      <c r="G977" s="2">
        <v>1</v>
      </c>
      <c r="I977" s="126">
        <v>200</v>
      </c>
      <c r="J977" s="2" t="s">
        <v>766</v>
      </c>
      <c r="K977" s="109" t="s">
        <v>602</v>
      </c>
      <c r="L977" s="194">
        <v>30000</v>
      </c>
      <c r="M977" s="69">
        <v>20</v>
      </c>
      <c r="N977" s="39" t="s">
        <v>48</v>
      </c>
      <c r="O977" s="39" t="s">
        <v>49</v>
      </c>
      <c r="P977" s="212" t="s">
        <v>833</v>
      </c>
      <c r="Q977" s="19">
        <v>40</v>
      </c>
      <c r="R977" s="15">
        <f>Q977/I977</f>
        <v>0.2</v>
      </c>
      <c r="S977" s="5">
        <f>($AC977*$AD977)/(($Z977/$Y977)+($AA977/$Z977)+($AB977/$AA977))</f>
        <v>41.632653061224495</v>
      </c>
      <c r="U977" s="109" t="s">
        <v>219</v>
      </c>
      <c r="V977" s="10" t="s">
        <v>735</v>
      </c>
      <c r="W977" s="251" t="s">
        <v>466</v>
      </c>
      <c r="Y977" s="2">
        <v>2</v>
      </c>
      <c r="Z977" s="2">
        <v>5</v>
      </c>
      <c r="AA977" s="2">
        <v>15</v>
      </c>
      <c r="AB977" s="2">
        <v>40</v>
      </c>
      <c r="AC977" s="2">
        <v>17</v>
      </c>
      <c r="AD977" s="2">
        <v>20</v>
      </c>
      <c r="AE977" s="2">
        <f>AC977*AD977</f>
        <v>340</v>
      </c>
      <c r="AF977" s="2">
        <f>Z977/Y977</f>
        <v>2.5</v>
      </c>
      <c r="AG977" s="2">
        <f>AA977/Z977</f>
        <v>3</v>
      </c>
      <c r="AH977" s="2">
        <f>AB977/AA977</f>
        <v>2.6666666666666665</v>
      </c>
    </row>
    <row r="978" spans="1:34">
      <c r="A978" s="68" t="s">
        <v>357</v>
      </c>
      <c r="B978" s="68" t="s">
        <v>358</v>
      </c>
      <c r="C978" s="191">
        <v>46193</v>
      </c>
      <c r="D978" s="42">
        <v>0.75694444444444442</v>
      </c>
      <c r="E978" s="8">
        <v>60</v>
      </c>
      <c r="F978" s="63" t="s">
        <v>290</v>
      </c>
      <c r="G978" s="2">
        <v>1</v>
      </c>
      <c r="H978" s="2">
        <v>9</v>
      </c>
      <c r="I978" s="126">
        <v>600</v>
      </c>
      <c r="J978" s="2" t="s">
        <v>766</v>
      </c>
      <c r="K978" s="137" t="s">
        <v>602</v>
      </c>
      <c r="L978" s="92">
        <v>25000</v>
      </c>
      <c r="M978" s="69">
        <v>30</v>
      </c>
      <c r="N978" s="39" t="s">
        <v>48</v>
      </c>
      <c r="O978" s="39" t="s">
        <v>49</v>
      </c>
      <c r="P978" s="212" t="s">
        <v>836</v>
      </c>
      <c r="Q978" s="19">
        <v>80</v>
      </c>
      <c r="R978" s="15">
        <f>Q978/I978</f>
        <v>0.13333333333333333</v>
      </c>
      <c r="S978" s="5">
        <f>($AC978*$AD978)/(($Z978/$Y978)+($AA978/$Z978)+($AB978/$AA978))</f>
        <v>55.03292568203198</v>
      </c>
      <c r="U978" s="109" t="s">
        <v>219</v>
      </c>
      <c r="V978" s="2" t="s">
        <v>662</v>
      </c>
      <c r="W978" s="220" t="s">
        <v>389</v>
      </c>
      <c r="Y978" s="2">
        <v>2.5</v>
      </c>
      <c r="Z978" s="2">
        <v>6.5</v>
      </c>
      <c r="AA978" s="2">
        <v>20</v>
      </c>
      <c r="AB978" s="2">
        <v>50</v>
      </c>
      <c r="AC978" s="2">
        <v>30</v>
      </c>
      <c r="AD978" s="2">
        <v>15</v>
      </c>
      <c r="AE978" s="2">
        <f>AC978*AD978</f>
        <v>450</v>
      </c>
      <c r="AF978" s="2">
        <f>Z978/Y978</f>
        <v>2.6</v>
      </c>
      <c r="AG978" s="2">
        <f>AA978/Z978</f>
        <v>3.0769230769230771</v>
      </c>
      <c r="AH978" s="2">
        <f>AB978/AA978</f>
        <v>2.5</v>
      </c>
    </row>
    <row r="979" spans="1:34">
      <c r="A979" s="95" t="s">
        <v>447</v>
      </c>
      <c r="B979" s="95" t="s">
        <v>448</v>
      </c>
      <c r="C979" s="190">
        <v>46193</v>
      </c>
      <c r="D979" s="42">
        <v>0.79166666666666663</v>
      </c>
      <c r="E979" s="193"/>
      <c r="F979" s="8" t="s">
        <v>403</v>
      </c>
      <c r="G979" s="2">
        <v>1</v>
      </c>
      <c r="H979" s="2">
        <v>9</v>
      </c>
      <c r="I979" s="126">
        <v>300</v>
      </c>
      <c r="J979" s="2" t="s">
        <v>766</v>
      </c>
      <c r="K979" s="109" t="s">
        <v>602</v>
      </c>
      <c r="L979" s="194">
        <v>25000</v>
      </c>
      <c r="M979" s="194">
        <v>25</v>
      </c>
      <c r="N979" s="39" t="s">
        <v>48</v>
      </c>
      <c r="O979" s="39" t="s">
        <v>49</v>
      </c>
      <c r="P979" s="212" t="s">
        <v>834</v>
      </c>
      <c r="Q979" s="19">
        <v>50</v>
      </c>
      <c r="R979" s="15">
        <f>Q979/I979</f>
        <v>0.16666666666666666</v>
      </c>
      <c r="S979" s="5">
        <f>($AC979*$AD979)/(($Z979/$Y979)+($AA979/$Z979)+($AB979/$AA979))</f>
        <v>37.5</v>
      </c>
      <c r="U979" s="109" t="s">
        <v>767</v>
      </c>
      <c r="V979" s="10" t="s">
        <v>741</v>
      </c>
      <c r="Y979" s="2">
        <v>2.5</v>
      </c>
      <c r="Z979" s="2">
        <v>7.5</v>
      </c>
      <c r="AA979" s="2">
        <v>25</v>
      </c>
      <c r="AB979" s="2">
        <v>75</v>
      </c>
      <c r="AC979" s="2">
        <v>14</v>
      </c>
      <c r="AD979" s="2">
        <v>25</v>
      </c>
      <c r="AE979" s="2">
        <f>AC979*AD979</f>
        <v>350</v>
      </c>
      <c r="AF979" s="2">
        <f>Z979/Y979</f>
        <v>3</v>
      </c>
      <c r="AG979" s="2">
        <f>AA979/Z979</f>
        <v>3.3333333333333335</v>
      </c>
      <c r="AH979" s="2">
        <f>AB979/AA979</f>
        <v>3</v>
      </c>
    </row>
    <row r="980" spans="1:34">
      <c r="A980" s="165" t="s">
        <v>1383</v>
      </c>
      <c r="B980" s="39" t="s">
        <v>63</v>
      </c>
      <c r="C980" s="41">
        <v>46193</v>
      </c>
      <c r="D980" s="144">
        <v>0.79166666666666663</v>
      </c>
      <c r="F980" s="8" t="s">
        <v>917</v>
      </c>
      <c r="G980" s="2">
        <v>1</v>
      </c>
      <c r="H980" s="2">
        <v>9</v>
      </c>
      <c r="I980" s="81">
        <v>585</v>
      </c>
      <c r="J980" s="2" t="s">
        <v>766</v>
      </c>
      <c r="K980" s="88" t="s">
        <v>800</v>
      </c>
      <c r="L980" s="92">
        <v>10000</v>
      </c>
      <c r="M980" s="69">
        <v>20</v>
      </c>
      <c r="N980" s="132" t="s">
        <v>821</v>
      </c>
      <c r="O980" s="39" t="s">
        <v>49</v>
      </c>
      <c r="P980" s="210"/>
      <c r="Q980" s="19">
        <v>89</v>
      </c>
      <c r="R980" s="59">
        <f>Q980/I980</f>
        <v>0.15213675213675212</v>
      </c>
      <c r="S980" s="5">
        <v>29</v>
      </c>
      <c r="U980" s="109" t="s">
        <v>767</v>
      </c>
      <c r="V980" s="84" t="s">
        <v>362</v>
      </c>
      <c r="W980" s="8" t="s">
        <v>368</v>
      </c>
      <c r="Y980" s="175"/>
      <c r="Z980" s="175"/>
      <c r="AA980" s="175"/>
      <c r="AB980" s="175"/>
      <c r="AC980" s="175"/>
      <c r="AD980" s="175"/>
      <c r="AE980" s="175"/>
      <c r="AF980" s="175"/>
      <c r="AG980" s="175"/>
      <c r="AH980" s="175"/>
    </row>
    <row r="981" spans="1:34">
      <c r="A981" s="103" t="s">
        <v>539</v>
      </c>
      <c r="B981" s="103" t="s">
        <v>540</v>
      </c>
      <c r="C981" s="191">
        <v>46193</v>
      </c>
      <c r="D981" s="42">
        <v>0.80208333333333337</v>
      </c>
      <c r="E981" s="46">
        <v>64</v>
      </c>
      <c r="F981" s="63" t="s">
        <v>544</v>
      </c>
      <c r="G981" s="2">
        <v>1</v>
      </c>
      <c r="H981" s="2">
        <v>9</v>
      </c>
      <c r="I981" s="151">
        <v>150</v>
      </c>
      <c r="J981" s="179" t="s">
        <v>766</v>
      </c>
      <c r="K981" s="179" t="s">
        <v>602</v>
      </c>
      <c r="L981" s="160">
        <v>30000</v>
      </c>
      <c r="M981" s="69">
        <v>15</v>
      </c>
      <c r="N981" s="39" t="s">
        <v>48</v>
      </c>
      <c r="O981" s="39" t="s">
        <v>49</v>
      </c>
      <c r="P981" s="135" t="s">
        <v>828</v>
      </c>
      <c r="Q981" s="19">
        <v>46</v>
      </c>
      <c r="R981" s="59">
        <f>Q981/I981</f>
        <v>0.30666666666666664</v>
      </c>
      <c r="S981" s="5">
        <f>($AC981*$AD981)/(($Z981/$Y981)+($AA981/$Z981)+($AB981/$AA981))</f>
        <v>19.534883720930232</v>
      </c>
      <c r="U981" s="109" t="s">
        <v>129</v>
      </c>
      <c r="V981" s="71" t="s">
        <v>1395</v>
      </c>
      <c r="W981" s="179" t="s">
        <v>1389</v>
      </c>
      <c r="Y981" s="2">
        <v>4</v>
      </c>
      <c r="Z981" s="2">
        <v>8</v>
      </c>
      <c r="AA981" s="2">
        <v>30</v>
      </c>
      <c r="AB981" s="2">
        <v>150</v>
      </c>
      <c r="AC981" s="2">
        <v>14</v>
      </c>
      <c r="AD981" s="2">
        <v>15</v>
      </c>
      <c r="AE981" s="2">
        <f>AC981*AD981</f>
        <v>210</v>
      </c>
      <c r="AF981" s="2">
        <f>Z981/Y981</f>
        <v>2</v>
      </c>
      <c r="AG981" s="2">
        <f>AA981/Z981</f>
        <v>3.75</v>
      </c>
      <c r="AH981" s="2">
        <f>AB981/AA981</f>
        <v>5</v>
      </c>
    </row>
    <row r="982" spans="1:34">
      <c r="A982" s="165" t="s">
        <v>1383</v>
      </c>
      <c r="B982" s="39" t="s">
        <v>63</v>
      </c>
      <c r="C982" s="41">
        <v>46193</v>
      </c>
      <c r="D982" s="144">
        <v>0.83333333333333337</v>
      </c>
      <c r="E982" s="8"/>
      <c r="F982" s="8" t="s">
        <v>1023</v>
      </c>
      <c r="G982" s="2">
        <v>1</v>
      </c>
      <c r="H982" s="2">
        <v>9</v>
      </c>
      <c r="I982" s="45">
        <v>200</v>
      </c>
      <c r="J982" s="2" t="s">
        <v>766</v>
      </c>
      <c r="K982" s="88" t="s">
        <v>806</v>
      </c>
      <c r="L982" s="92">
        <v>20000</v>
      </c>
      <c r="M982" s="10">
        <v>20</v>
      </c>
      <c r="N982" s="39" t="s">
        <v>817</v>
      </c>
      <c r="O982" s="39" t="s">
        <v>49</v>
      </c>
      <c r="P982" s="210"/>
      <c r="Q982" s="19">
        <v>45</v>
      </c>
      <c r="R982" s="15">
        <f>Q982/I982</f>
        <v>0.22500000000000001</v>
      </c>
      <c r="S982" s="5">
        <v>23</v>
      </c>
      <c r="U982" s="109" t="s">
        <v>129</v>
      </c>
      <c r="V982" s="71" t="s">
        <v>360</v>
      </c>
      <c r="Y982" s="175"/>
      <c r="Z982" s="175"/>
      <c r="AA982" s="175"/>
      <c r="AB982" s="175"/>
      <c r="AC982" s="175"/>
      <c r="AD982" s="175"/>
      <c r="AE982" s="175"/>
      <c r="AF982" s="175"/>
      <c r="AG982" s="175"/>
      <c r="AH982" s="175"/>
    </row>
    <row r="983" spans="1:34">
      <c r="A983" s="102" t="s">
        <v>475</v>
      </c>
      <c r="B983" s="102" t="s">
        <v>476</v>
      </c>
      <c r="C983" s="41">
        <v>46193</v>
      </c>
      <c r="D983" s="42">
        <v>0.88194444444444442</v>
      </c>
      <c r="E983" s="193"/>
      <c r="F983" s="8" t="s">
        <v>483</v>
      </c>
      <c r="G983" s="2">
        <v>1</v>
      </c>
      <c r="H983" s="2">
        <v>9</v>
      </c>
      <c r="I983" s="126">
        <v>160</v>
      </c>
      <c r="J983" s="2" t="s">
        <v>766</v>
      </c>
      <c r="K983" s="109" t="s">
        <v>603</v>
      </c>
      <c r="L983" s="201">
        <v>20000</v>
      </c>
      <c r="M983" s="203">
        <v>20</v>
      </c>
      <c r="N983" s="39" t="s">
        <v>48</v>
      </c>
      <c r="O983" s="39" t="s">
        <v>49</v>
      </c>
      <c r="P983" s="135" t="s">
        <v>828</v>
      </c>
      <c r="Q983" s="19">
        <v>30</v>
      </c>
      <c r="R983" s="15">
        <f>Q983/I983</f>
        <v>0.1875</v>
      </c>
      <c r="S983" s="5">
        <f>($AC983*$AD983)/(($Z983/$Y983)+($AA983/$Z983)+($AB983/$AA983))</f>
        <v>20</v>
      </c>
      <c r="U983" s="109" t="s">
        <v>767</v>
      </c>
      <c r="V983" s="71" t="s">
        <v>595</v>
      </c>
      <c r="W983" s="107" t="s">
        <v>604</v>
      </c>
      <c r="Y983" s="2">
        <v>2</v>
      </c>
      <c r="Z983" s="2">
        <v>5</v>
      </c>
      <c r="AA983" s="2">
        <v>40</v>
      </c>
      <c r="AB983" s="2">
        <v>100</v>
      </c>
      <c r="AC983" s="2">
        <v>20</v>
      </c>
      <c r="AD983" s="2">
        <v>13</v>
      </c>
      <c r="AE983" s="2">
        <f>AC983*AD983</f>
        <v>260</v>
      </c>
      <c r="AF983" s="2">
        <f>Z983/Y983</f>
        <v>2.5</v>
      </c>
      <c r="AG983" s="2">
        <f>AA983/Z983</f>
        <v>8</v>
      </c>
      <c r="AH983" s="2">
        <f>AB983/AA983</f>
        <v>2.5</v>
      </c>
    </row>
    <row r="984" spans="1:34">
      <c r="A984" s="165" t="s">
        <v>1383</v>
      </c>
      <c r="B984" s="39" t="s">
        <v>63</v>
      </c>
      <c r="C984" s="41">
        <v>46193</v>
      </c>
      <c r="D984" s="144">
        <v>0.91666666666666663</v>
      </c>
      <c r="F984" s="8" t="s">
        <v>909</v>
      </c>
      <c r="G984" s="2">
        <v>1</v>
      </c>
      <c r="H984" s="2">
        <v>9</v>
      </c>
      <c r="I984" s="45">
        <v>135</v>
      </c>
      <c r="J984" s="2" t="s">
        <v>766</v>
      </c>
      <c r="K984" s="88" t="s">
        <v>813</v>
      </c>
      <c r="L984" s="92">
        <v>10000</v>
      </c>
      <c r="M984" s="69">
        <v>15</v>
      </c>
      <c r="N984" s="132" t="s">
        <v>821</v>
      </c>
      <c r="O984" s="39" t="s">
        <v>49</v>
      </c>
      <c r="P984" s="210"/>
      <c r="Q984" s="19">
        <v>35</v>
      </c>
      <c r="R984" s="15">
        <f>Q984/I984</f>
        <v>0.25925925925925924</v>
      </c>
      <c r="S984" s="5">
        <v>22</v>
      </c>
      <c r="U984" s="109" t="s">
        <v>767</v>
      </c>
      <c r="V984" s="71" t="s">
        <v>362</v>
      </c>
      <c r="W984" s="8" t="s">
        <v>369</v>
      </c>
      <c r="Y984" s="175"/>
      <c r="Z984" s="175"/>
      <c r="AA984" s="175"/>
      <c r="AB984" s="175"/>
      <c r="AC984" s="175"/>
      <c r="AD984" s="175"/>
      <c r="AE984" s="175"/>
      <c r="AF984" s="175"/>
      <c r="AG984" s="175"/>
      <c r="AH984" s="175"/>
    </row>
    <row r="985" spans="1:34">
      <c r="A985" s="96" t="s">
        <v>461</v>
      </c>
      <c r="B985" s="96" t="s">
        <v>462</v>
      </c>
      <c r="C985" s="41">
        <v>46193</v>
      </c>
      <c r="D985" s="42">
        <v>0.92361111111111116</v>
      </c>
      <c r="E985" s="193"/>
      <c r="F985" s="8" t="s">
        <v>459</v>
      </c>
      <c r="G985" s="2">
        <v>1</v>
      </c>
      <c r="I985" s="126">
        <v>120</v>
      </c>
      <c r="J985" s="2" t="s">
        <v>766</v>
      </c>
      <c r="K985" s="109" t="s">
        <v>602</v>
      </c>
      <c r="L985" s="194">
        <v>20000</v>
      </c>
      <c r="M985" s="69">
        <v>20</v>
      </c>
      <c r="N985" s="39" t="s">
        <v>48</v>
      </c>
      <c r="O985" s="39" t="s">
        <v>465</v>
      </c>
      <c r="P985" s="63">
        <v>4000</v>
      </c>
      <c r="Q985" s="2">
        <v>24</v>
      </c>
      <c r="R985" s="15">
        <f>Q985/I985</f>
        <v>0.2</v>
      </c>
      <c r="S985" s="149" t="s">
        <v>110</v>
      </c>
      <c r="T985" s="149"/>
      <c r="U985" s="109" t="s">
        <v>767</v>
      </c>
      <c r="V985" s="2" t="s">
        <v>735</v>
      </c>
      <c r="W985" s="205"/>
      <c r="AE985" s="2">
        <f>AC985*AD985</f>
        <v>0</v>
      </c>
      <c r="AF985" s="2" t="e">
        <f>Z985/Y985</f>
        <v>#DIV/0!</v>
      </c>
      <c r="AG985" s="2" t="e">
        <f>AA985/Z985</f>
        <v>#DIV/0!</v>
      </c>
      <c r="AH985" s="2" t="e">
        <f>AB985/AA985</f>
        <v>#DIV/0!</v>
      </c>
    </row>
    <row r="986" spans="1:34">
      <c r="A986" s="165" t="s">
        <v>1383</v>
      </c>
      <c r="B986" s="36" t="s">
        <v>63</v>
      </c>
      <c r="C986" s="41">
        <v>46193</v>
      </c>
      <c r="D986" s="144" t="s">
        <v>117</v>
      </c>
      <c r="E986" s="14">
        <v>50</v>
      </c>
      <c r="F986" s="8" t="s">
        <v>975</v>
      </c>
      <c r="G986" s="2">
        <v>5</v>
      </c>
      <c r="H986" s="2">
        <v>9</v>
      </c>
      <c r="I986" s="45">
        <v>1500</v>
      </c>
      <c r="J986" s="2" t="s">
        <v>761</v>
      </c>
      <c r="K986" s="109" t="s">
        <v>602</v>
      </c>
      <c r="L986" s="89">
        <v>25000</v>
      </c>
      <c r="M986" s="202">
        <v>60</v>
      </c>
      <c r="N986" s="39" t="s">
        <v>48</v>
      </c>
      <c r="O986" s="39" t="s">
        <v>49</v>
      </c>
      <c r="Q986" s="19">
        <f>R986*I986</f>
        <v>172.5</v>
      </c>
      <c r="R986" s="15">
        <v>0.115</v>
      </c>
      <c r="S986" s="5">
        <f>($AC986*$AD986)/(($Z986/$Y986)+($AA986/$Z986)+($AB986/$AA986))</f>
        <v>140.86956521739131</v>
      </c>
      <c r="U986" s="109" t="s">
        <v>767</v>
      </c>
      <c r="V986" s="2" t="s">
        <v>121</v>
      </c>
      <c r="W986" s="205"/>
      <c r="Y986" s="2">
        <v>1.5</v>
      </c>
      <c r="Z986" s="2">
        <v>4</v>
      </c>
      <c r="AA986" s="2">
        <v>10</v>
      </c>
      <c r="AB986" s="2">
        <v>25</v>
      </c>
      <c r="AC986" s="2">
        <v>18</v>
      </c>
      <c r="AD986" s="2">
        <v>60</v>
      </c>
      <c r="AE986" s="2">
        <f>AC986*AD986</f>
        <v>1080</v>
      </c>
      <c r="AF986" s="2">
        <f>Z986/Y986</f>
        <v>2.6666666666666665</v>
      </c>
      <c r="AG986" s="2">
        <f>AA986/Z986</f>
        <v>2.5</v>
      </c>
      <c r="AH986" s="2">
        <f>AB986/AA986</f>
        <v>2.5</v>
      </c>
    </row>
    <row r="987" spans="1:34">
      <c r="A987" s="165" t="s">
        <v>1383</v>
      </c>
      <c r="B987" s="36" t="s">
        <v>63</v>
      </c>
      <c r="C987" s="41">
        <v>46193</v>
      </c>
      <c r="D987" s="144" t="s">
        <v>115</v>
      </c>
      <c r="E987" s="228">
        <v>57</v>
      </c>
      <c r="F987" s="8" t="s">
        <v>184</v>
      </c>
      <c r="G987" s="2">
        <v>3</v>
      </c>
      <c r="H987" s="2">
        <v>8</v>
      </c>
      <c r="I987" s="45">
        <v>1000</v>
      </c>
      <c r="J987" s="2" t="s">
        <v>762</v>
      </c>
      <c r="K987" s="109" t="s">
        <v>598</v>
      </c>
      <c r="L987" s="89">
        <v>20000</v>
      </c>
      <c r="M987" s="202" t="s">
        <v>97</v>
      </c>
      <c r="N987" s="39" t="s">
        <v>48</v>
      </c>
      <c r="O987" s="39" t="s">
        <v>57</v>
      </c>
      <c r="P987" s="213"/>
      <c r="Q987" s="38">
        <f>R987*I987</f>
        <v>120</v>
      </c>
      <c r="R987" s="15">
        <v>0.12</v>
      </c>
      <c r="S987" s="149" t="s">
        <v>110</v>
      </c>
      <c r="T987" s="149"/>
      <c r="U987" s="109" t="s">
        <v>767</v>
      </c>
      <c r="V987" s="2" t="s">
        <v>121</v>
      </c>
      <c r="W987" s="205"/>
      <c r="AE987" s="2" t="e">
        <f>AD987*#REF!</f>
        <v>#REF!</v>
      </c>
      <c r="AF987" s="2" t="e">
        <f>Z987/Y987</f>
        <v>#DIV/0!</v>
      </c>
      <c r="AG987" s="2" t="e">
        <f>AA987/Z987</f>
        <v>#DIV/0!</v>
      </c>
      <c r="AH987" s="2" t="e">
        <f>AC987/AA987</f>
        <v>#DIV/0!</v>
      </c>
    </row>
    <row r="988" spans="1:34">
      <c r="A988" s="165" t="s">
        <v>1383</v>
      </c>
      <c r="B988" s="36" t="s">
        <v>63</v>
      </c>
      <c r="C988" s="41">
        <v>46193</v>
      </c>
      <c r="D988" s="144" t="s">
        <v>116</v>
      </c>
      <c r="E988" s="194">
        <v>58</v>
      </c>
      <c r="F988" s="8" t="s">
        <v>170</v>
      </c>
      <c r="G988" s="2">
        <v>3</v>
      </c>
      <c r="H988" s="2">
        <v>9</v>
      </c>
      <c r="I988" s="45">
        <v>1500</v>
      </c>
      <c r="J988" s="2" t="s">
        <v>760</v>
      </c>
      <c r="K988" s="109" t="s">
        <v>598</v>
      </c>
      <c r="L988" s="89">
        <v>25000</v>
      </c>
      <c r="M988" s="202" t="s">
        <v>97</v>
      </c>
      <c r="N988" s="39" t="s">
        <v>48</v>
      </c>
      <c r="O988" s="39" t="s">
        <v>871</v>
      </c>
      <c r="P988" s="213"/>
      <c r="Q988" s="38">
        <f>R988*I988</f>
        <v>172.5</v>
      </c>
      <c r="R988" s="15">
        <v>0.115</v>
      </c>
      <c r="S988" s="149" t="s">
        <v>110</v>
      </c>
      <c r="T988" s="149"/>
      <c r="U988" s="109" t="s">
        <v>767</v>
      </c>
      <c r="V988" s="10" t="s">
        <v>121</v>
      </c>
      <c r="W988" s="205"/>
      <c r="AE988" s="2" t="e">
        <f>AD988*#REF!</f>
        <v>#REF!</v>
      </c>
      <c r="AF988" s="2" t="e">
        <f>Z988/Y988</f>
        <v>#DIV/0!</v>
      </c>
      <c r="AG988" s="2" t="e">
        <f>AA988/Z988</f>
        <v>#DIV/0!</v>
      </c>
      <c r="AH988" s="2" t="e">
        <f>AC988/AA988</f>
        <v>#DIV/0!</v>
      </c>
    </row>
    <row r="989" spans="1:34">
      <c r="A989" s="165" t="s">
        <v>1383</v>
      </c>
      <c r="B989" s="36" t="s">
        <v>63</v>
      </c>
      <c r="C989" s="41">
        <v>46193</v>
      </c>
      <c r="D989" s="144" t="s">
        <v>876</v>
      </c>
      <c r="E989" s="194">
        <v>53</v>
      </c>
      <c r="F989" s="8" t="s">
        <v>1219</v>
      </c>
      <c r="G989" s="2">
        <v>3</v>
      </c>
      <c r="H989" s="2">
        <v>8</v>
      </c>
      <c r="I989" s="45">
        <v>1500</v>
      </c>
      <c r="J989" s="2" t="s">
        <v>762</v>
      </c>
      <c r="K989" s="109" t="s">
        <v>598</v>
      </c>
      <c r="L989" s="92">
        <v>25000</v>
      </c>
      <c r="M989" s="202" t="s">
        <v>97</v>
      </c>
      <c r="N989" s="39" t="s">
        <v>48</v>
      </c>
      <c r="O989" s="39" t="s">
        <v>223</v>
      </c>
      <c r="P989" s="213"/>
      <c r="Q989" s="38">
        <f>R989*I989</f>
        <v>172.5</v>
      </c>
      <c r="R989" s="15">
        <v>0.115</v>
      </c>
      <c r="S989" s="149" t="s">
        <v>110</v>
      </c>
      <c r="T989" s="149"/>
      <c r="U989" s="109" t="s">
        <v>767</v>
      </c>
      <c r="V989" s="10" t="s">
        <v>121</v>
      </c>
      <c r="W989" s="205"/>
      <c r="AE989" s="2" t="e">
        <f>AD989*#REF!</f>
        <v>#REF!</v>
      </c>
      <c r="AF989" s="2" t="e">
        <f>Z989/Y989</f>
        <v>#DIV/0!</v>
      </c>
      <c r="AG989" s="2" t="e">
        <f>AA989/Z989</f>
        <v>#DIV/0!</v>
      </c>
      <c r="AH989" s="2" t="e">
        <f>AC989/AA989</f>
        <v>#DIV/0!</v>
      </c>
    </row>
    <row r="990" spans="1:34">
      <c r="A990" s="165" t="s">
        <v>1383</v>
      </c>
      <c r="B990" s="36" t="s">
        <v>63</v>
      </c>
      <c r="C990" s="41">
        <v>46193</v>
      </c>
      <c r="D990" s="144" t="s">
        <v>876</v>
      </c>
      <c r="E990" s="194">
        <v>54</v>
      </c>
      <c r="F990" s="8" t="s">
        <v>1243</v>
      </c>
      <c r="G990" s="2">
        <v>4</v>
      </c>
      <c r="H990" s="2">
        <v>9</v>
      </c>
      <c r="I990" s="45">
        <v>10000</v>
      </c>
      <c r="J990" s="2" t="s">
        <v>110</v>
      </c>
      <c r="K990" s="109" t="s">
        <v>816</v>
      </c>
      <c r="L990" s="92">
        <v>60000</v>
      </c>
      <c r="M990" s="202" t="s">
        <v>111</v>
      </c>
      <c r="N990" s="39" t="s">
        <v>48</v>
      </c>
      <c r="O990" s="39" t="s">
        <v>122</v>
      </c>
      <c r="P990" s="19"/>
      <c r="Q990" s="38">
        <f>R990*I990</f>
        <v>700.00000000000011</v>
      </c>
      <c r="R990" s="15">
        <v>7.0000000000000007E-2</v>
      </c>
      <c r="S990" s="149" t="s">
        <v>110</v>
      </c>
      <c r="T990" s="149"/>
      <c r="U990" s="109" t="s">
        <v>767</v>
      </c>
      <c r="V990" s="10" t="s">
        <v>121</v>
      </c>
      <c r="W990" s="205"/>
      <c r="AE990" s="2" t="e">
        <f>AD990*#REF!</f>
        <v>#REF!</v>
      </c>
      <c r="AF990" s="2" t="e">
        <f>Z990/Y990</f>
        <v>#DIV/0!</v>
      </c>
      <c r="AG990" s="2" t="e">
        <f>AA990/Z990</f>
        <v>#DIV/0!</v>
      </c>
      <c r="AH990" s="2" t="e">
        <f>AC990/AA990</f>
        <v>#DIV/0!</v>
      </c>
    </row>
    <row r="991" spans="1:34">
      <c r="A991" s="165" t="s">
        <v>1383</v>
      </c>
      <c r="B991" s="36" t="s">
        <v>63</v>
      </c>
      <c r="C991" s="41">
        <v>46193</v>
      </c>
      <c r="D991" s="144" t="s">
        <v>876</v>
      </c>
      <c r="E991" s="228">
        <v>46</v>
      </c>
      <c r="F991" s="8" t="s">
        <v>1371</v>
      </c>
      <c r="G991" s="2">
        <v>5</v>
      </c>
      <c r="H991" s="2">
        <v>9</v>
      </c>
      <c r="I991" s="45">
        <v>1000</v>
      </c>
      <c r="J991" s="2" t="s">
        <v>761</v>
      </c>
      <c r="K991" s="109" t="s">
        <v>602</v>
      </c>
      <c r="L991" s="89">
        <v>20000</v>
      </c>
      <c r="M991" s="202">
        <v>60</v>
      </c>
      <c r="N991" s="39" t="s">
        <v>48</v>
      </c>
      <c r="O991" s="39" t="s">
        <v>49</v>
      </c>
      <c r="Q991" s="19">
        <f>R991*I991</f>
        <v>120</v>
      </c>
      <c r="R991" s="15">
        <v>0.12</v>
      </c>
      <c r="S991" s="5">
        <f>($AC991*$AD991)/(($Z991/$Y991)+($AA991/$Z991)+($AB991/$AA991))</f>
        <v>133.04347826086956</v>
      </c>
      <c r="U991" s="109" t="s">
        <v>54</v>
      </c>
      <c r="V991" s="10" t="s">
        <v>121</v>
      </c>
      <c r="Y991" s="2">
        <v>1.5</v>
      </c>
      <c r="Z991" s="2">
        <v>4</v>
      </c>
      <c r="AA991" s="2">
        <v>10</v>
      </c>
      <c r="AB991" s="2">
        <v>25</v>
      </c>
      <c r="AC991" s="2">
        <v>17</v>
      </c>
      <c r="AD991" s="2">
        <v>60</v>
      </c>
      <c r="AE991" s="2">
        <f>AC991*AD991</f>
        <v>1020</v>
      </c>
      <c r="AF991" s="2">
        <f>Z991/Y991</f>
        <v>2.6666666666666665</v>
      </c>
      <c r="AG991" s="2">
        <f>AA991/Z991</f>
        <v>2.5</v>
      </c>
      <c r="AH991" s="2">
        <f>AB991/AA991</f>
        <v>2.5</v>
      </c>
    </row>
    <row r="992" spans="1:34">
      <c r="A992" s="95" t="s">
        <v>447</v>
      </c>
      <c r="B992" s="95" t="s">
        <v>448</v>
      </c>
      <c r="C992" s="190">
        <v>46194</v>
      </c>
      <c r="D992" s="42">
        <v>0.375</v>
      </c>
      <c r="E992" s="43"/>
      <c r="F992" s="8" t="s">
        <v>415</v>
      </c>
      <c r="G992" s="2">
        <v>1</v>
      </c>
      <c r="H992" s="2">
        <v>9</v>
      </c>
      <c r="I992" s="126">
        <v>240</v>
      </c>
      <c r="J992" s="2" t="s">
        <v>766</v>
      </c>
      <c r="K992" s="109" t="s">
        <v>602</v>
      </c>
      <c r="L992" s="194">
        <v>20000</v>
      </c>
      <c r="M992" s="8">
        <v>15</v>
      </c>
      <c r="N992" s="39" t="s">
        <v>61</v>
      </c>
      <c r="O992" s="39" t="s">
        <v>49</v>
      </c>
      <c r="P992" s="131" t="s">
        <v>228</v>
      </c>
      <c r="Q992" s="19">
        <v>40</v>
      </c>
      <c r="R992" s="15">
        <f>Q992/I992</f>
        <v>0.16666666666666666</v>
      </c>
      <c r="S992" s="5">
        <f>($AC992*$AD992)/(($Z992/$Y992)+($AA992/$Z992)+($AB992/$AA992))</f>
        <v>23.333333333333332</v>
      </c>
      <c r="U992" s="109" t="s">
        <v>129</v>
      </c>
      <c r="V992" s="10" t="s">
        <v>741</v>
      </c>
      <c r="W992" s="116" t="s">
        <v>745</v>
      </c>
      <c r="Y992" s="2">
        <v>2</v>
      </c>
      <c r="Z992" s="2">
        <v>5</v>
      </c>
      <c r="AA992" s="2">
        <v>20</v>
      </c>
      <c r="AB992" s="2">
        <v>50</v>
      </c>
      <c r="AC992" s="2">
        <v>14</v>
      </c>
      <c r="AD992" s="2">
        <v>15</v>
      </c>
      <c r="AE992" s="2">
        <f>AC992*AD992</f>
        <v>210</v>
      </c>
      <c r="AF992" s="2">
        <f>Z992/Y992</f>
        <v>2.5</v>
      </c>
      <c r="AG992" s="2">
        <f>AA992/Z992</f>
        <v>4</v>
      </c>
      <c r="AH992" s="2">
        <f>AB992/AA992</f>
        <v>2.5</v>
      </c>
    </row>
    <row r="993" spans="1:34">
      <c r="A993" s="96" t="s">
        <v>461</v>
      </c>
      <c r="B993" s="96" t="s">
        <v>462</v>
      </c>
      <c r="C993" s="41">
        <v>46194</v>
      </c>
      <c r="D993" s="42">
        <v>0.4236111111111111</v>
      </c>
      <c r="E993" s="43"/>
      <c r="F993" s="8" t="s">
        <v>457</v>
      </c>
      <c r="G993" s="2">
        <v>1</v>
      </c>
      <c r="I993" s="126">
        <v>120</v>
      </c>
      <c r="J993" s="2" t="s">
        <v>766</v>
      </c>
      <c r="K993" s="109" t="s">
        <v>602</v>
      </c>
      <c r="L993" s="194">
        <v>20000</v>
      </c>
      <c r="M993" s="202">
        <v>20</v>
      </c>
      <c r="N993" s="39" t="s">
        <v>48</v>
      </c>
      <c r="O993" s="39" t="s">
        <v>49</v>
      </c>
      <c r="P993" s="135" t="s">
        <v>832</v>
      </c>
      <c r="Q993" s="19">
        <v>24</v>
      </c>
      <c r="R993" s="15">
        <f>Q993/I993</f>
        <v>0.2</v>
      </c>
      <c r="S993" s="5">
        <f>($AC993*$AD993)/(($Z993/$Y993)+($AA993/$Z993)+($AB993/$AA993))</f>
        <v>25.161290322580644</v>
      </c>
      <c r="U993" s="109" t="s">
        <v>767</v>
      </c>
      <c r="V993" s="10" t="s">
        <v>735</v>
      </c>
      <c r="Y993" s="2">
        <v>2.5</v>
      </c>
      <c r="Z993" s="2">
        <v>7.5</v>
      </c>
      <c r="AA993" s="2">
        <v>30</v>
      </c>
      <c r="AB993" s="2">
        <v>100</v>
      </c>
      <c r="AC993" s="2">
        <v>13</v>
      </c>
      <c r="AD993" s="2">
        <v>20</v>
      </c>
      <c r="AE993" s="2">
        <f>AC993*AD993</f>
        <v>260</v>
      </c>
      <c r="AF993" s="2">
        <f>Z993/Y993</f>
        <v>3</v>
      </c>
      <c r="AG993" s="2">
        <f>AA993/Z993</f>
        <v>4</v>
      </c>
      <c r="AH993" s="2">
        <f>AB993/AA993</f>
        <v>3.3333333333333335</v>
      </c>
    </row>
    <row r="994" spans="1:34">
      <c r="A994" s="68" t="s">
        <v>357</v>
      </c>
      <c r="B994" s="68" t="s">
        <v>358</v>
      </c>
      <c r="C994" s="191">
        <v>46194</v>
      </c>
      <c r="D994" s="42">
        <v>0.4236111111111111</v>
      </c>
      <c r="E994" s="194">
        <v>58</v>
      </c>
      <c r="F994" s="63" t="s">
        <v>316</v>
      </c>
      <c r="G994" s="2">
        <v>2</v>
      </c>
      <c r="H994" s="2">
        <v>9</v>
      </c>
      <c r="I994" s="126">
        <v>1600</v>
      </c>
      <c r="J994" s="2" t="s">
        <v>766</v>
      </c>
      <c r="K994" s="137" t="s">
        <v>598</v>
      </c>
      <c r="L994" s="92">
        <v>40000</v>
      </c>
      <c r="M994" s="54">
        <v>40</v>
      </c>
      <c r="N994" s="39" t="s">
        <v>48</v>
      </c>
      <c r="O994" s="39" t="s">
        <v>49</v>
      </c>
      <c r="P994" s="135" t="s">
        <v>847</v>
      </c>
      <c r="Q994" s="19">
        <v>180</v>
      </c>
      <c r="R994" s="15">
        <f>Q994/I994</f>
        <v>0.1125</v>
      </c>
      <c r="S994" s="5">
        <f>($AC994*$AD994)/(($Z994/$Y994)+($AA994/$Z994)+($AB994/$AA994))</f>
        <v>102.59605399792316</v>
      </c>
      <c r="U994" s="109" t="s">
        <v>54</v>
      </c>
      <c r="V994" s="10" t="s">
        <v>679</v>
      </c>
      <c r="Y994" s="2">
        <v>2</v>
      </c>
      <c r="Z994" s="2">
        <v>5</v>
      </c>
      <c r="AA994" s="2">
        <v>13</v>
      </c>
      <c r="AB994" s="2">
        <v>30</v>
      </c>
      <c r="AC994" s="2">
        <v>40</v>
      </c>
      <c r="AD994" s="2">
        <v>19</v>
      </c>
      <c r="AE994" s="2">
        <f>AC994*AD994</f>
        <v>760</v>
      </c>
      <c r="AF994" s="2">
        <f>Z994/Y994</f>
        <v>2.5</v>
      </c>
      <c r="AG994" s="2">
        <f>AA994/Z994</f>
        <v>2.6</v>
      </c>
      <c r="AH994" s="2">
        <f>AB994/AA994</f>
        <v>2.3076923076923075</v>
      </c>
    </row>
    <row r="995" spans="1:34">
      <c r="A995" s="103" t="s">
        <v>539</v>
      </c>
      <c r="B995" s="103" t="s">
        <v>540</v>
      </c>
      <c r="C995" s="191">
        <v>46194</v>
      </c>
      <c r="D995" s="42">
        <v>0.45833333333333331</v>
      </c>
      <c r="E995" s="49">
        <v>65</v>
      </c>
      <c r="F995" s="63" t="s">
        <v>573</v>
      </c>
      <c r="G995" s="2">
        <v>1</v>
      </c>
      <c r="H995" s="2">
        <v>9</v>
      </c>
      <c r="I995" s="126">
        <v>300</v>
      </c>
      <c r="J995" s="179" t="s">
        <v>766</v>
      </c>
      <c r="K995" s="179" t="s">
        <v>602</v>
      </c>
      <c r="L995" s="89">
        <v>30000</v>
      </c>
      <c r="M995" s="54">
        <v>30</v>
      </c>
      <c r="N995" s="39" t="s">
        <v>48</v>
      </c>
      <c r="O995" s="39" t="s">
        <v>49</v>
      </c>
      <c r="P995" s="212" t="s">
        <v>834</v>
      </c>
      <c r="Q995" s="19">
        <v>54</v>
      </c>
      <c r="R995" s="15">
        <f>Q995/I995</f>
        <v>0.18</v>
      </c>
      <c r="S995" s="5">
        <f>($AC995*$AD995)/(($Z995/$Y995)+($AA995/$Z995)+($AB995/$AA995))</f>
        <v>53.333333333333336</v>
      </c>
      <c r="U995" s="109" t="s">
        <v>125</v>
      </c>
      <c r="V995" s="71" t="s">
        <v>1395</v>
      </c>
      <c r="Y995" s="2">
        <v>2</v>
      </c>
      <c r="Z995" s="2">
        <v>5</v>
      </c>
      <c r="AA995" s="2">
        <v>20</v>
      </c>
      <c r="AB995" s="2">
        <v>50</v>
      </c>
      <c r="AC995" s="2">
        <v>16</v>
      </c>
      <c r="AD995" s="2">
        <v>30</v>
      </c>
      <c r="AE995" s="2">
        <f>AC995*AD995</f>
        <v>480</v>
      </c>
      <c r="AF995" s="2">
        <f>Z995/Y995</f>
        <v>2.5</v>
      </c>
      <c r="AG995" s="2">
        <f>AA995/Z995</f>
        <v>4</v>
      </c>
      <c r="AH995" s="2">
        <f>AB995/AA995</f>
        <v>2.5</v>
      </c>
    </row>
    <row r="996" spans="1:34">
      <c r="A996" s="165" t="s">
        <v>1383</v>
      </c>
      <c r="B996" s="36" t="s">
        <v>63</v>
      </c>
      <c r="C996" s="41">
        <v>46194</v>
      </c>
      <c r="D996" s="144">
        <v>0.45833333333333331</v>
      </c>
      <c r="E996" s="228">
        <v>50</v>
      </c>
      <c r="F996" s="8" t="s">
        <v>1129</v>
      </c>
      <c r="G996" s="2">
        <v>5</v>
      </c>
      <c r="H996" s="2">
        <v>9</v>
      </c>
      <c r="I996" s="45">
        <v>1500</v>
      </c>
      <c r="J996" s="2" t="s">
        <v>761</v>
      </c>
      <c r="K996" s="109" t="s">
        <v>602</v>
      </c>
      <c r="L996" s="89">
        <v>25000</v>
      </c>
      <c r="M996" s="202">
        <v>60</v>
      </c>
      <c r="N996" s="39" t="s">
        <v>48</v>
      </c>
      <c r="O996" s="39" t="s">
        <v>49</v>
      </c>
      <c r="Q996" s="19">
        <f>R996*I996</f>
        <v>172.5</v>
      </c>
      <c r="R996" s="15">
        <v>0.115</v>
      </c>
      <c r="S996" s="5">
        <f>($AC996*$AD996)/(($Z996/$Y996)+($AA996/$Z996)+($AB996/$AA996))</f>
        <v>140.86956521739131</v>
      </c>
      <c r="U996" s="109" t="s">
        <v>767</v>
      </c>
      <c r="V996" s="205" t="s">
        <v>121</v>
      </c>
      <c r="W996" s="205"/>
      <c r="Y996" s="2">
        <v>1.5</v>
      </c>
      <c r="Z996" s="2">
        <v>4</v>
      </c>
      <c r="AA996" s="2">
        <v>10</v>
      </c>
      <c r="AB996" s="2">
        <v>25</v>
      </c>
      <c r="AC996" s="2">
        <v>18</v>
      </c>
      <c r="AD996" s="2">
        <v>60</v>
      </c>
      <c r="AE996" s="2">
        <f>AC996*AD996</f>
        <v>1080</v>
      </c>
      <c r="AF996" s="2">
        <f>Z996/Y996</f>
        <v>2.6666666666666665</v>
      </c>
      <c r="AG996" s="2">
        <f>AA996/Z996</f>
        <v>2.5</v>
      </c>
      <c r="AH996" s="2">
        <f>AB996/AA996</f>
        <v>2.5</v>
      </c>
    </row>
    <row r="997" spans="1:34">
      <c r="A997" s="102" t="s">
        <v>475</v>
      </c>
      <c r="B997" s="102" t="s">
        <v>476</v>
      </c>
      <c r="C997" s="190">
        <v>46194</v>
      </c>
      <c r="D997" s="42">
        <v>0.45833333333333331</v>
      </c>
      <c r="E997" s="194" t="s">
        <v>513</v>
      </c>
      <c r="F997" s="8" t="s">
        <v>512</v>
      </c>
      <c r="G997" s="2">
        <v>2</v>
      </c>
      <c r="H997" s="2">
        <v>9</v>
      </c>
      <c r="I997" s="126">
        <v>500</v>
      </c>
      <c r="J997" s="2" t="s">
        <v>766</v>
      </c>
      <c r="K997" s="109" t="s">
        <v>601</v>
      </c>
      <c r="L997" s="105">
        <v>40000</v>
      </c>
      <c r="M997" s="64" t="s">
        <v>22</v>
      </c>
      <c r="N997" s="39" t="s">
        <v>48</v>
      </c>
      <c r="O997" s="39" t="s">
        <v>49</v>
      </c>
      <c r="P997" s="135" t="s">
        <v>841</v>
      </c>
      <c r="Q997" s="19">
        <v>75</v>
      </c>
      <c r="R997" s="15">
        <f>Q997/I997</f>
        <v>0.15</v>
      </c>
      <c r="S997" s="5">
        <f>($AC997*$AD997)/(($Z997/$Y997)+($AA997/$Z997)+($AB997/$AA997))</f>
        <v>71.293161814488826</v>
      </c>
      <c r="U997" s="109" t="s">
        <v>55</v>
      </c>
      <c r="V997" s="10" t="s">
        <v>634</v>
      </c>
      <c r="Y997" s="2">
        <v>2.5</v>
      </c>
      <c r="Z997" s="2">
        <v>6.5</v>
      </c>
      <c r="AA997" s="2">
        <v>15</v>
      </c>
      <c r="AB997" s="2">
        <v>40</v>
      </c>
      <c r="AC997" s="2">
        <v>30</v>
      </c>
      <c r="AD997" s="2">
        <v>18</v>
      </c>
      <c r="AE997" s="2">
        <f>AC997*AD997</f>
        <v>540</v>
      </c>
      <c r="AF997" s="2">
        <f>Z997/Y997</f>
        <v>2.6</v>
      </c>
      <c r="AG997" s="2">
        <f>AA997/Z997</f>
        <v>2.3076923076923075</v>
      </c>
      <c r="AH997" s="2">
        <f>AB997/AA997</f>
        <v>2.6666666666666665</v>
      </c>
    </row>
    <row r="998" spans="1:34" s="70" customFormat="1">
      <c r="A998" s="52" t="s">
        <v>229</v>
      </c>
      <c r="B998" s="52" t="s">
        <v>230</v>
      </c>
      <c r="C998" s="190">
        <v>46194</v>
      </c>
      <c r="D998" s="42">
        <v>0.45833333333333331</v>
      </c>
      <c r="E998" s="43"/>
      <c r="F998" s="8" t="s">
        <v>245</v>
      </c>
      <c r="G998" s="2">
        <v>1</v>
      </c>
      <c r="H998" s="2"/>
      <c r="I998" s="126">
        <v>300</v>
      </c>
      <c r="J998" s="2" t="s">
        <v>766</v>
      </c>
      <c r="K998" s="88" t="s">
        <v>788</v>
      </c>
      <c r="L998" s="90">
        <v>25000</v>
      </c>
      <c r="M998" s="8">
        <v>30</v>
      </c>
      <c r="N998" s="39" t="s">
        <v>48</v>
      </c>
      <c r="O998" s="39" t="s">
        <v>49</v>
      </c>
      <c r="P998" s="134" t="s">
        <v>838</v>
      </c>
      <c r="Q998" s="19">
        <v>60</v>
      </c>
      <c r="R998" s="15">
        <f>IF(Q998&gt;0,Q998/I998,"")</f>
        <v>0.2</v>
      </c>
      <c r="S998" s="5">
        <f>($AC998*$AD998)/(($Z998/$Y998)+($AA998/$Z998)+($AB998/$AA998))</f>
        <v>80.996884735202499</v>
      </c>
      <c r="T998" s="5"/>
      <c r="U998" s="109" t="s">
        <v>767</v>
      </c>
      <c r="V998" s="205" t="s">
        <v>719</v>
      </c>
      <c r="W998" s="205"/>
      <c r="X998" s="2"/>
      <c r="Y998" s="2">
        <v>2</v>
      </c>
      <c r="Z998" s="2">
        <v>5</v>
      </c>
      <c r="AA998" s="2">
        <v>13</v>
      </c>
      <c r="AB998" s="2">
        <v>30</v>
      </c>
      <c r="AC998" s="2">
        <v>30</v>
      </c>
      <c r="AD998" s="2">
        <v>20</v>
      </c>
      <c r="AE998" s="2">
        <f>AC998*AD998</f>
        <v>600</v>
      </c>
      <c r="AF998" s="2">
        <f>Z998/Y998</f>
        <v>2.5</v>
      </c>
      <c r="AG998" s="2">
        <f>AA998/Z998</f>
        <v>2.6</v>
      </c>
      <c r="AH998" s="2">
        <f>AB998/AA998</f>
        <v>2.3076923076923075</v>
      </c>
    </row>
    <row r="999" spans="1:34">
      <c r="A999" s="95" t="s">
        <v>447</v>
      </c>
      <c r="B999" s="95" t="s">
        <v>448</v>
      </c>
      <c r="C999" s="190">
        <v>46194</v>
      </c>
      <c r="D999" s="42">
        <v>0.5</v>
      </c>
      <c r="E999" s="43"/>
      <c r="F999" s="8" t="s">
        <v>435</v>
      </c>
      <c r="G999" s="2">
        <v>1</v>
      </c>
      <c r="H999" s="2">
        <v>8</v>
      </c>
      <c r="I999" s="126">
        <v>1600</v>
      </c>
      <c r="J999" s="2" t="s">
        <v>766</v>
      </c>
      <c r="K999" s="109" t="s">
        <v>598</v>
      </c>
      <c r="L999" s="194">
        <v>40000</v>
      </c>
      <c r="M999" s="8">
        <v>30</v>
      </c>
      <c r="N999" s="39" t="s">
        <v>48</v>
      </c>
      <c r="O999" s="39" t="s">
        <v>49</v>
      </c>
      <c r="P999" s="135" t="s">
        <v>843</v>
      </c>
      <c r="Q999" s="19">
        <v>180</v>
      </c>
      <c r="R999" s="15">
        <f>Q999/I999</f>
        <v>0.1125</v>
      </c>
      <c r="S999" s="5">
        <f>($AC999*$AD999)/(($Z999/$Y999)+($AA999/$Z999)+($AB999/$AA999))</f>
        <v>76.947040498442377</v>
      </c>
      <c r="U999" s="109" t="s">
        <v>767</v>
      </c>
      <c r="V999" s="10" t="s">
        <v>741</v>
      </c>
      <c r="W999" s="205"/>
      <c r="Y999" s="2">
        <v>2</v>
      </c>
      <c r="Z999" s="2">
        <v>5</v>
      </c>
      <c r="AA999" s="2">
        <v>13</v>
      </c>
      <c r="AB999" s="2">
        <v>30</v>
      </c>
      <c r="AC999" s="2">
        <v>19</v>
      </c>
      <c r="AD999" s="2">
        <v>30</v>
      </c>
      <c r="AE999" s="2">
        <f>AC999*AD999</f>
        <v>570</v>
      </c>
      <c r="AF999" s="2">
        <f>Z999/Y999</f>
        <v>2.5</v>
      </c>
      <c r="AG999" s="2">
        <f>AA999/Z999</f>
        <v>2.6</v>
      </c>
      <c r="AH999" s="2">
        <f>AB999/AA999</f>
        <v>2.3076923076923075</v>
      </c>
    </row>
    <row r="1000" spans="1:34">
      <c r="A1000" s="103" t="s">
        <v>539</v>
      </c>
      <c r="B1000" s="103" t="s">
        <v>540</v>
      </c>
      <c r="C1000" s="191">
        <v>46194</v>
      </c>
      <c r="D1000" s="42">
        <v>0.5</v>
      </c>
      <c r="E1000" s="195">
        <v>66</v>
      </c>
      <c r="F1000" s="63" t="s">
        <v>574</v>
      </c>
      <c r="G1000" s="2">
        <v>1</v>
      </c>
      <c r="H1000" s="2">
        <v>6</v>
      </c>
      <c r="I1000" s="126">
        <v>400</v>
      </c>
      <c r="J1000" s="179" t="s">
        <v>766</v>
      </c>
      <c r="K1000" s="179" t="s">
        <v>602</v>
      </c>
      <c r="L1000" s="92">
        <v>30000</v>
      </c>
      <c r="M1000" s="207" t="s">
        <v>22</v>
      </c>
      <c r="N1000" s="39" t="s">
        <v>48</v>
      </c>
      <c r="O1000" s="39" t="s">
        <v>583</v>
      </c>
      <c r="P1000" s="63">
        <v>15000</v>
      </c>
      <c r="Q1000" s="2">
        <v>70</v>
      </c>
      <c r="R1000" s="15">
        <f>Q1000/I1000</f>
        <v>0.17499999999999999</v>
      </c>
      <c r="S1000" s="142"/>
      <c r="U1000" s="109" t="s">
        <v>767</v>
      </c>
      <c r="V1000" s="21" t="s">
        <v>1395</v>
      </c>
      <c r="W1000" s="205"/>
      <c r="AF1000" s="2">
        <f>Z1001/Y1001</f>
        <v>2.5</v>
      </c>
      <c r="AG1000" s="2">
        <f>AA1001/Z1001</f>
        <v>2.6</v>
      </c>
      <c r="AH1000" s="2">
        <f>AB1001/AA1001</f>
        <v>2.3076923076923075</v>
      </c>
    </row>
    <row r="1001" spans="1:34">
      <c r="A1001" s="52" t="s">
        <v>220</v>
      </c>
      <c r="B1001" s="52" t="s">
        <v>221</v>
      </c>
      <c r="C1001" s="191">
        <v>46194</v>
      </c>
      <c r="D1001" s="42">
        <v>0.5</v>
      </c>
      <c r="E1001" s="43"/>
      <c r="F1001" s="8" t="s">
        <v>1048</v>
      </c>
      <c r="G1001" s="2">
        <v>3</v>
      </c>
      <c r="H1001" s="2">
        <v>9</v>
      </c>
      <c r="I1001" s="126">
        <v>10400</v>
      </c>
      <c r="J1001" s="2" t="s">
        <v>766</v>
      </c>
      <c r="K1001" s="88" t="s">
        <v>803</v>
      </c>
      <c r="L1001" s="91">
        <v>50000</v>
      </c>
      <c r="M1001" s="64">
        <v>60</v>
      </c>
      <c r="N1001" s="39" t="s">
        <v>48</v>
      </c>
      <c r="O1001" s="39" t="s">
        <v>49</v>
      </c>
      <c r="P1001" s="135" t="s">
        <v>850</v>
      </c>
      <c r="Q1001" s="19">
        <v>600</v>
      </c>
      <c r="R1001" s="15">
        <f>Q1001/I1001</f>
        <v>5.7692307692307696E-2</v>
      </c>
      <c r="S1001" s="5">
        <f>($AC1001*$AD1001)/(($Z1001/$Y1001)+($AA1001/$Z1001)+($AB1001/$AA1001))</f>
        <v>161.993769470405</v>
      </c>
      <c r="U1001" s="109" t="s">
        <v>767</v>
      </c>
      <c r="V1001" s="10" t="s">
        <v>738</v>
      </c>
      <c r="W1001" s="205"/>
      <c r="Y1001" s="2">
        <v>2</v>
      </c>
      <c r="Z1001" s="2">
        <v>5</v>
      </c>
      <c r="AA1001" s="2">
        <v>13</v>
      </c>
      <c r="AB1001" s="2">
        <v>30</v>
      </c>
      <c r="AC1001" s="2">
        <v>20</v>
      </c>
      <c r="AD1001" s="2">
        <v>60</v>
      </c>
      <c r="AE1001" s="2">
        <f>AC1001*AD1001</f>
        <v>1200</v>
      </c>
      <c r="AF1001" s="2">
        <f>Z1001/Y1001</f>
        <v>2.5</v>
      </c>
      <c r="AG1001" s="2">
        <f>AA1001/Z1001</f>
        <v>2.6</v>
      </c>
      <c r="AH1001" s="2">
        <f>AB1001/AA1001</f>
        <v>2.3076923076923075</v>
      </c>
    </row>
    <row r="1002" spans="1:34">
      <c r="A1002" s="103" t="s">
        <v>539</v>
      </c>
      <c r="B1002" s="103" t="s">
        <v>540</v>
      </c>
      <c r="C1002" s="191">
        <v>46194</v>
      </c>
      <c r="D1002" s="42">
        <v>0.54166666666666663</v>
      </c>
      <c r="E1002" s="195">
        <v>67</v>
      </c>
      <c r="F1002" s="63" t="s">
        <v>542</v>
      </c>
      <c r="G1002" s="2">
        <v>1</v>
      </c>
      <c r="H1002" s="2">
        <v>9</v>
      </c>
      <c r="I1002" s="151">
        <v>200</v>
      </c>
      <c r="J1002" s="179" t="s">
        <v>766</v>
      </c>
      <c r="K1002" s="179" t="s">
        <v>815</v>
      </c>
      <c r="L1002" s="112">
        <v>30000</v>
      </c>
      <c r="M1002" s="202">
        <v>30</v>
      </c>
      <c r="N1002" s="39" t="s">
        <v>48</v>
      </c>
      <c r="O1002" s="39" t="s">
        <v>49</v>
      </c>
      <c r="P1002" s="212" t="s">
        <v>833</v>
      </c>
      <c r="Q1002" s="19">
        <v>44</v>
      </c>
      <c r="R1002" s="59">
        <f>Q1002/I1002</f>
        <v>0.22</v>
      </c>
      <c r="S1002" s="5">
        <f>($AC1002*$AD1002)/(($Z1002/$Y1002)+($AA1002/$Z1002)+($AB1002/$AA1002))</f>
        <v>53.333333333333336</v>
      </c>
      <c r="U1002" s="109" t="s">
        <v>767</v>
      </c>
      <c r="V1002" s="71" t="s">
        <v>1395</v>
      </c>
      <c r="W1002" s="205"/>
      <c r="Y1002" s="2">
        <v>2</v>
      </c>
      <c r="Z1002" s="2">
        <v>5</v>
      </c>
      <c r="AA1002" s="2">
        <v>20</v>
      </c>
      <c r="AB1002" s="2">
        <v>50</v>
      </c>
      <c r="AC1002" s="2">
        <v>16</v>
      </c>
      <c r="AD1002" s="2">
        <v>30</v>
      </c>
      <c r="AE1002" s="2">
        <f>AC1003*AD1003</f>
        <v>0</v>
      </c>
      <c r="AF1002" s="2" t="e">
        <f>#REF!/#REF!</f>
        <v>#REF!</v>
      </c>
      <c r="AG1002" s="2" t="e">
        <f>#REF!/#REF!</f>
        <v>#REF!</v>
      </c>
      <c r="AH1002" s="2" t="e">
        <f>#REF!/#REF!</f>
        <v>#REF!</v>
      </c>
    </row>
    <row r="1003" spans="1:34">
      <c r="A1003" s="165" t="s">
        <v>1383</v>
      </c>
      <c r="B1003" s="36" t="s">
        <v>63</v>
      </c>
      <c r="C1003" s="41">
        <v>46194</v>
      </c>
      <c r="D1003" s="144">
        <v>0.54166666666666663</v>
      </c>
      <c r="E1003" s="194">
        <v>58</v>
      </c>
      <c r="F1003" s="8" t="s">
        <v>1123</v>
      </c>
      <c r="G1003" s="2">
        <v>3</v>
      </c>
      <c r="H1003" s="2">
        <v>9</v>
      </c>
      <c r="I1003" s="45">
        <v>1500</v>
      </c>
      <c r="J1003" s="2" t="s">
        <v>760</v>
      </c>
      <c r="K1003" s="109" t="s">
        <v>598</v>
      </c>
      <c r="L1003" s="92">
        <v>25000</v>
      </c>
      <c r="M1003" s="202" t="s">
        <v>97</v>
      </c>
      <c r="N1003" s="39" t="s">
        <v>48</v>
      </c>
      <c r="O1003" s="39" t="s">
        <v>871</v>
      </c>
      <c r="P1003" s="19"/>
      <c r="Q1003" s="38">
        <f>R1003*I1003</f>
        <v>172.5</v>
      </c>
      <c r="R1003" s="15">
        <v>0.115</v>
      </c>
      <c r="S1003" s="149" t="s">
        <v>110</v>
      </c>
      <c r="T1003" s="149"/>
      <c r="U1003" s="109" t="s">
        <v>767</v>
      </c>
      <c r="V1003" s="10" t="s">
        <v>121</v>
      </c>
      <c r="W1003" s="205"/>
      <c r="AE1003" s="2" t="e">
        <f>AD1003*#REF!</f>
        <v>#REF!</v>
      </c>
      <c r="AF1003" s="2" t="e">
        <f>Z1003/Y1003</f>
        <v>#DIV/0!</v>
      </c>
      <c r="AG1003" s="2" t="e">
        <f>AA1003/Z1003</f>
        <v>#DIV/0!</v>
      </c>
      <c r="AH1003" s="2" t="e">
        <f>AC1003/AA1003</f>
        <v>#DIV/0!</v>
      </c>
    </row>
    <row r="1004" spans="1:34">
      <c r="A1004" s="165" t="s">
        <v>1383</v>
      </c>
      <c r="B1004" s="39" t="s">
        <v>63</v>
      </c>
      <c r="C1004" s="41">
        <v>46194</v>
      </c>
      <c r="D1004" s="144">
        <v>0.54166666666666663</v>
      </c>
      <c r="E1004" s="194"/>
      <c r="F1004" s="194" t="s">
        <v>881</v>
      </c>
      <c r="G1004" s="2">
        <v>1</v>
      </c>
      <c r="H1004" s="2">
        <v>9</v>
      </c>
      <c r="I1004" s="45">
        <v>250</v>
      </c>
      <c r="J1004" s="2" t="s">
        <v>766</v>
      </c>
      <c r="K1004" s="88" t="s">
        <v>787</v>
      </c>
      <c r="L1004" s="89">
        <v>25000</v>
      </c>
      <c r="M1004" s="205">
        <v>30</v>
      </c>
      <c r="N1004" s="39" t="s">
        <v>817</v>
      </c>
      <c r="O1004" s="39" t="s">
        <v>49</v>
      </c>
      <c r="P1004" s="210"/>
      <c r="Q1004" s="19">
        <v>50</v>
      </c>
      <c r="R1004" s="15">
        <f>Q1004/I1004</f>
        <v>0.2</v>
      </c>
      <c r="S1004" s="5">
        <v>44</v>
      </c>
      <c r="U1004" s="109" t="s">
        <v>767</v>
      </c>
      <c r="V1004" s="21" t="s">
        <v>360</v>
      </c>
      <c r="Y1004" s="175"/>
      <c r="Z1004" s="175"/>
      <c r="AA1004" s="175"/>
      <c r="AB1004" s="175"/>
      <c r="AC1004" s="175"/>
      <c r="AD1004" s="175"/>
      <c r="AE1004" s="175"/>
      <c r="AF1004" s="175"/>
      <c r="AG1004" s="175"/>
      <c r="AH1004" s="175"/>
    </row>
    <row r="1005" spans="1:34">
      <c r="A1005" s="52" t="s">
        <v>220</v>
      </c>
      <c r="B1005" s="52" t="s">
        <v>221</v>
      </c>
      <c r="C1005" s="51">
        <v>46194</v>
      </c>
      <c r="D1005" s="42">
        <v>0.54166666666666663</v>
      </c>
      <c r="E1005" s="43"/>
      <c r="F1005" s="194" t="s">
        <v>1056</v>
      </c>
      <c r="G1005" s="2">
        <v>1</v>
      </c>
      <c r="H1005" s="2">
        <v>9</v>
      </c>
      <c r="I1005" s="126">
        <v>1100</v>
      </c>
      <c r="J1005" s="2" t="s">
        <v>766</v>
      </c>
      <c r="K1005" s="88" t="s">
        <v>781</v>
      </c>
      <c r="L1005" s="90">
        <v>20000</v>
      </c>
      <c r="M1005" s="8">
        <v>25</v>
      </c>
      <c r="N1005" s="39" t="s">
        <v>61</v>
      </c>
      <c r="O1005" s="39" t="s">
        <v>49</v>
      </c>
      <c r="P1005" s="131" t="s">
        <v>225</v>
      </c>
      <c r="Q1005" s="19">
        <v>125</v>
      </c>
      <c r="R1005" s="15">
        <f>Q1005/I1005</f>
        <v>0.11363636363636363</v>
      </c>
      <c r="S1005" s="5">
        <f>($AC1005*$AD1005)/(($Z1005/$Y1005)+($AA1005/$Z1005)+($AB1005/$AA1005))</f>
        <v>38.888888888888886</v>
      </c>
      <c r="U1005" s="109" t="s">
        <v>767</v>
      </c>
      <c r="V1005" s="10" t="s">
        <v>738</v>
      </c>
      <c r="Y1005" s="2">
        <v>2</v>
      </c>
      <c r="Z1005" s="2">
        <v>5</v>
      </c>
      <c r="AA1005" s="2">
        <v>20</v>
      </c>
      <c r="AB1005" s="2">
        <v>50</v>
      </c>
      <c r="AC1005" s="2">
        <v>14</v>
      </c>
      <c r="AD1005" s="2">
        <v>25</v>
      </c>
      <c r="AE1005" s="2">
        <f>AC1005*AD1005</f>
        <v>350</v>
      </c>
      <c r="AF1005" s="2">
        <f>Z1005/Y1005</f>
        <v>2.5</v>
      </c>
      <c r="AG1005" s="2">
        <f>AA1005/Z1005</f>
        <v>4</v>
      </c>
      <c r="AH1005" s="2">
        <f>AB1005/AA1005</f>
        <v>2.5</v>
      </c>
    </row>
    <row r="1006" spans="1:34">
      <c r="A1006" s="96" t="s">
        <v>461</v>
      </c>
      <c r="B1006" s="96" t="s">
        <v>462</v>
      </c>
      <c r="C1006" s="41">
        <v>46194</v>
      </c>
      <c r="D1006" s="42">
        <v>0.59027777777777779</v>
      </c>
      <c r="E1006" s="43"/>
      <c r="F1006" s="8" t="s">
        <v>456</v>
      </c>
      <c r="G1006" s="2">
        <v>1</v>
      </c>
      <c r="I1006" s="126">
        <v>120</v>
      </c>
      <c r="J1006" s="2" t="s">
        <v>766</v>
      </c>
      <c r="K1006" s="109" t="s">
        <v>737</v>
      </c>
      <c r="L1006" s="8">
        <v>20000</v>
      </c>
      <c r="M1006" s="202">
        <v>15</v>
      </c>
      <c r="N1006" s="39" t="s">
        <v>48</v>
      </c>
      <c r="O1006" s="39" t="s">
        <v>49</v>
      </c>
      <c r="P1006" s="135" t="s">
        <v>829</v>
      </c>
      <c r="Q1006" s="19">
        <v>24</v>
      </c>
      <c r="R1006" s="15">
        <f>Q1006/I1006</f>
        <v>0.2</v>
      </c>
      <c r="S1006" s="5">
        <f>($AC1006*$AD1006)/(($Z1006/$Y1006)+($AA1006/$Z1006)+($AB1006/$AA1006))</f>
        <v>25.161290322580644</v>
      </c>
      <c r="U1006" s="109" t="s">
        <v>463</v>
      </c>
      <c r="V1006" s="2" t="s">
        <v>735</v>
      </c>
      <c r="W1006" s="2" t="s">
        <v>464</v>
      </c>
      <c r="Y1006" s="2">
        <v>2.5</v>
      </c>
      <c r="Z1006" s="2">
        <v>7.5</v>
      </c>
      <c r="AA1006" s="2">
        <v>30</v>
      </c>
      <c r="AB1006" s="2">
        <v>100</v>
      </c>
      <c r="AC1006" s="2">
        <v>13</v>
      </c>
      <c r="AD1006" s="2">
        <v>20</v>
      </c>
      <c r="AE1006" s="2">
        <f>AC1006*AD1006</f>
        <v>260</v>
      </c>
      <c r="AF1006" s="2">
        <f>Z1006/Y1006</f>
        <v>3</v>
      </c>
      <c r="AG1006" s="2">
        <f>AA1006/Z1006</f>
        <v>4</v>
      </c>
      <c r="AH1006" s="2">
        <f>AB1006/AA1006</f>
        <v>3.3333333333333335</v>
      </c>
    </row>
    <row r="1007" spans="1:34">
      <c r="A1007" s="165" t="s">
        <v>1383</v>
      </c>
      <c r="B1007" s="39" t="s">
        <v>63</v>
      </c>
      <c r="C1007" s="41">
        <v>46194</v>
      </c>
      <c r="D1007" s="144">
        <v>0.625</v>
      </c>
      <c r="E1007" s="43"/>
      <c r="F1007" s="8" t="s">
        <v>912</v>
      </c>
      <c r="G1007" s="2">
        <v>1</v>
      </c>
      <c r="H1007" s="2">
        <v>9</v>
      </c>
      <c r="I1007" s="45">
        <v>240</v>
      </c>
      <c r="J1007" s="2" t="s">
        <v>766</v>
      </c>
      <c r="K1007" s="88" t="s">
        <v>784</v>
      </c>
      <c r="L1007" s="89">
        <v>10000</v>
      </c>
      <c r="M1007" s="202">
        <v>20</v>
      </c>
      <c r="N1007" s="132" t="s">
        <v>821</v>
      </c>
      <c r="O1007" s="39" t="s">
        <v>49</v>
      </c>
      <c r="P1007" s="210"/>
      <c r="Q1007" s="19">
        <v>40</v>
      </c>
      <c r="R1007" s="15">
        <v>0.16666666666666666</v>
      </c>
      <c r="S1007" s="5">
        <v>29</v>
      </c>
      <c r="U1007" s="109" t="s">
        <v>767</v>
      </c>
      <c r="V1007" s="21" t="s">
        <v>362</v>
      </c>
      <c r="W1007" s="8" t="s">
        <v>367</v>
      </c>
      <c r="Y1007" s="175"/>
      <c r="Z1007" s="175"/>
      <c r="AA1007" s="175"/>
      <c r="AB1007" s="175"/>
      <c r="AC1007" s="175"/>
      <c r="AD1007" s="175"/>
      <c r="AE1007" s="175"/>
      <c r="AF1007" s="175"/>
      <c r="AG1007" s="175"/>
      <c r="AH1007" s="175"/>
    </row>
    <row r="1008" spans="1:34">
      <c r="A1008" s="165" t="s">
        <v>1383</v>
      </c>
      <c r="B1008" s="39" t="s">
        <v>63</v>
      </c>
      <c r="C1008" s="41">
        <v>46194</v>
      </c>
      <c r="D1008" s="144">
        <v>0.66666666666666663</v>
      </c>
      <c r="E1008" s="194"/>
      <c r="F1008" s="8" t="s">
        <v>1024</v>
      </c>
      <c r="G1008" s="2">
        <v>1</v>
      </c>
      <c r="H1008" s="2">
        <v>9</v>
      </c>
      <c r="I1008" s="45">
        <v>400</v>
      </c>
      <c r="J1008" s="2" t="s">
        <v>766</v>
      </c>
      <c r="K1008" s="88" t="s">
        <v>794</v>
      </c>
      <c r="L1008" s="89">
        <v>30000</v>
      </c>
      <c r="M1008" s="205">
        <v>20</v>
      </c>
      <c r="N1008" s="39" t="s">
        <v>817</v>
      </c>
      <c r="O1008" s="39" t="s">
        <v>49</v>
      </c>
      <c r="P1008" s="210"/>
      <c r="Q1008" s="19">
        <v>70</v>
      </c>
      <c r="R1008" s="15">
        <f>Q1008/I1008</f>
        <v>0.17499999999999999</v>
      </c>
      <c r="S1008" s="5">
        <v>37</v>
      </c>
      <c r="U1008" s="109" t="s">
        <v>129</v>
      </c>
      <c r="V1008" s="71" t="s">
        <v>360</v>
      </c>
      <c r="Y1008" s="175"/>
      <c r="Z1008" s="175"/>
      <c r="AA1008" s="175"/>
      <c r="AB1008" s="175"/>
      <c r="AC1008" s="175"/>
      <c r="AD1008" s="175"/>
      <c r="AE1008" s="175"/>
      <c r="AF1008" s="175"/>
      <c r="AG1008" s="175"/>
      <c r="AH1008" s="175"/>
    </row>
    <row r="1009" spans="1:34">
      <c r="A1009" s="103" t="s">
        <v>539</v>
      </c>
      <c r="B1009" s="103" t="s">
        <v>540</v>
      </c>
      <c r="C1009" s="191">
        <v>46194</v>
      </c>
      <c r="D1009" s="42">
        <v>0.70833333333333337</v>
      </c>
      <c r="E1009" s="49">
        <v>68</v>
      </c>
      <c r="F1009" s="63" t="s">
        <v>542</v>
      </c>
      <c r="G1009" s="2">
        <v>1</v>
      </c>
      <c r="H1009" s="2">
        <v>9</v>
      </c>
      <c r="I1009" s="151">
        <v>170</v>
      </c>
      <c r="J1009" s="179" t="s">
        <v>766</v>
      </c>
      <c r="K1009" s="179" t="s">
        <v>598</v>
      </c>
      <c r="L1009" s="112">
        <v>30000</v>
      </c>
      <c r="M1009" s="54">
        <v>20</v>
      </c>
      <c r="N1009" s="39" t="s">
        <v>48</v>
      </c>
      <c r="O1009" s="39" t="s">
        <v>49</v>
      </c>
      <c r="P1009" s="135" t="s">
        <v>830</v>
      </c>
      <c r="Q1009" s="19">
        <v>49</v>
      </c>
      <c r="R1009" s="59">
        <f>Q1009/I1009</f>
        <v>0.28823529411764703</v>
      </c>
      <c r="S1009" s="5">
        <f>($AC1009*$AD1009)/(($Z1009/$Y1009)+($AA1009/$Z1009)+($AB1009/$AA1009))</f>
        <v>26.046511627906977</v>
      </c>
      <c r="U1009" s="109" t="s">
        <v>767</v>
      </c>
      <c r="V1009" s="21" t="s">
        <v>1395</v>
      </c>
      <c r="W1009" s="179" t="s">
        <v>1389</v>
      </c>
      <c r="Y1009" s="2">
        <v>4</v>
      </c>
      <c r="Z1009" s="2">
        <v>8</v>
      </c>
      <c r="AA1009" s="2">
        <v>30</v>
      </c>
      <c r="AB1009" s="2">
        <v>150</v>
      </c>
      <c r="AC1009" s="2">
        <v>14</v>
      </c>
      <c r="AD1009" s="2">
        <v>20</v>
      </c>
      <c r="AE1009" s="2">
        <f>AC1009*AD1009</f>
        <v>280</v>
      </c>
      <c r="AF1009" s="2">
        <f>Z1009/Y1009</f>
        <v>2</v>
      </c>
      <c r="AG1009" s="2">
        <f>AA1009/Z1009</f>
        <v>3.75</v>
      </c>
      <c r="AH1009" s="2">
        <f>AB1009/AA1009</f>
        <v>5</v>
      </c>
    </row>
    <row r="1010" spans="1:34">
      <c r="A1010" s="102" t="s">
        <v>475</v>
      </c>
      <c r="B1010" s="102" t="s">
        <v>476</v>
      </c>
      <c r="C1010" s="47">
        <v>46194</v>
      </c>
      <c r="D1010" s="42">
        <v>0.75</v>
      </c>
      <c r="E1010" s="194" t="s">
        <v>514</v>
      </c>
      <c r="F1010" s="8" t="s">
        <v>512</v>
      </c>
      <c r="G1010" s="2">
        <v>2</v>
      </c>
      <c r="H1010" s="2">
        <v>9</v>
      </c>
      <c r="I1010" s="126">
        <v>500</v>
      </c>
      <c r="J1010" s="2" t="s">
        <v>766</v>
      </c>
      <c r="K1010" s="109" t="s">
        <v>601</v>
      </c>
      <c r="L1010" s="105">
        <v>40000</v>
      </c>
      <c r="M1010" s="64" t="s">
        <v>22</v>
      </c>
      <c r="N1010" s="39" t="s">
        <v>48</v>
      </c>
      <c r="O1010" s="39" t="s">
        <v>49</v>
      </c>
      <c r="P1010" s="135" t="s">
        <v>841</v>
      </c>
      <c r="Q1010" s="19">
        <v>75</v>
      </c>
      <c r="R1010" s="15">
        <f>Q1010/I1010</f>
        <v>0.15</v>
      </c>
      <c r="S1010" s="5">
        <f>($AC1010*$AD1010)/(($Z1010/$Y1010)+($AA1010/$Z1010)+($AB1010/$AA1010))</f>
        <v>71.293161814488826</v>
      </c>
      <c r="U1010" s="109" t="s">
        <v>55</v>
      </c>
      <c r="V1010" s="10" t="s">
        <v>634</v>
      </c>
      <c r="Y1010" s="2">
        <v>2.5</v>
      </c>
      <c r="Z1010" s="2">
        <v>6.5</v>
      </c>
      <c r="AA1010" s="2">
        <v>15</v>
      </c>
      <c r="AB1010" s="2">
        <v>40</v>
      </c>
      <c r="AC1010" s="2">
        <v>30</v>
      </c>
      <c r="AD1010" s="2">
        <v>18</v>
      </c>
      <c r="AE1010" s="2">
        <f>AC1010*AD1010</f>
        <v>540</v>
      </c>
      <c r="AF1010" s="2">
        <f>Z1010/Y1010</f>
        <v>2.6</v>
      </c>
      <c r="AG1010" s="2">
        <f>AA1010/Z1010</f>
        <v>2.3076923076923075</v>
      </c>
      <c r="AH1010" s="2">
        <f>AB1010/AA1010</f>
        <v>2.6666666666666665</v>
      </c>
    </row>
    <row r="1011" spans="1:34">
      <c r="A1011" s="52" t="s">
        <v>229</v>
      </c>
      <c r="B1011" s="52" t="s">
        <v>230</v>
      </c>
      <c r="C1011" s="190">
        <v>46194</v>
      </c>
      <c r="D1011" s="42">
        <v>0.75</v>
      </c>
      <c r="E1011" s="43"/>
      <c r="F1011" s="8" t="s">
        <v>264</v>
      </c>
      <c r="G1011" s="2">
        <v>1</v>
      </c>
      <c r="I1011" s="126">
        <v>240</v>
      </c>
      <c r="J1011" s="2" t="s">
        <v>766</v>
      </c>
      <c r="K1011" s="88" t="s">
        <v>804</v>
      </c>
      <c r="L1011" s="90">
        <v>30000</v>
      </c>
      <c r="M1011" s="8">
        <v>20</v>
      </c>
      <c r="N1011" s="39" t="s">
        <v>48</v>
      </c>
      <c r="O1011" s="39" t="s">
        <v>373</v>
      </c>
      <c r="P1011" s="19">
        <v>10000</v>
      </c>
      <c r="Q1011" s="2">
        <v>40</v>
      </c>
      <c r="R1011" s="15">
        <f>IF(Q1011&gt;0,Q1011/I1011,"")</f>
        <v>0.16666666666666666</v>
      </c>
      <c r="S1011" s="149" t="s">
        <v>110</v>
      </c>
      <c r="T1011" s="149"/>
      <c r="U1011" s="109" t="s">
        <v>767</v>
      </c>
      <c r="V1011" s="205" t="s">
        <v>719</v>
      </c>
      <c r="W1011" s="205"/>
      <c r="AE1011" s="2">
        <f>AC1011*AD1011</f>
        <v>0</v>
      </c>
      <c r="AF1011" s="2" t="e">
        <f>Z1011/Y1011</f>
        <v>#DIV/0!</v>
      </c>
      <c r="AG1011" s="2" t="e">
        <f>AA1011/Z1011</f>
        <v>#DIV/0!</v>
      </c>
      <c r="AH1011" s="2" t="e">
        <f>AB1011/AA1011</f>
        <v>#DIV/0!</v>
      </c>
    </row>
    <row r="1012" spans="1:34">
      <c r="A1012" s="52" t="s">
        <v>220</v>
      </c>
      <c r="B1012" s="52" t="s">
        <v>221</v>
      </c>
      <c r="C1012" s="191">
        <v>46194</v>
      </c>
      <c r="D1012" s="42">
        <v>0.75</v>
      </c>
      <c r="E1012" s="43"/>
      <c r="F1012" s="8" t="s">
        <v>1058</v>
      </c>
      <c r="G1012" s="2">
        <v>1</v>
      </c>
      <c r="H1012" s="2">
        <v>9</v>
      </c>
      <c r="I1012" s="126">
        <v>1100</v>
      </c>
      <c r="J1012" s="2" t="s">
        <v>766</v>
      </c>
      <c r="K1012" s="88" t="s">
        <v>802</v>
      </c>
      <c r="L1012" s="90">
        <v>20000</v>
      </c>
      <c r="M1012" s="8">
        <v>25</v>
      </c>
      <c r="N1012" s="39" t="s">
        <v>61</v>
      </c>
      <c r="O1012" s="39" t="s">
        <v>49</v>
      </c>
      <c r="P1012" s="131" t="s">
        <v>225</v>
      </c>
      <c r="Q1012" s="19">
        <v>125</v>
      </c>
      <c r="R1012" s="15">
        <f>Q1012/I1012</f>
        <v>0.11363636363636363</v>
      </c>
      <c r="S1012" s="5">
        <f>($AC1012*$AD1012)/(($Z1012/$Y1012)+($AA1012/$Z1012)+($AB1012/$AA1012))</f>
        <v>38.888888888888886</v>
      </c>
      <c r="U1012" s="109" t="s">
        <v>767</v>
      </c>
      <c r="V1012" s="205" t="s">
        <v>738</v>
      </c>
      <c r="W1012" s="205"/>
      <c r="Y1012" s="2">
        <v>2</v>
      </c>
      <c r="Z1012" s="2">
        <v>5</v>
      </c>
      <c r="AA1012" s="2">
        <v>20</v>
      </c>
      <c r="AB1012" s="2">
        <v>50</v>
      </c>
      <c r="AC1012" s="2">
        <v>14</v>
      </c>
      <c r="AD1012" s="2">
        <v>25</v>
      </c>
      <c r="AE1012" s="2">
        <f>AC1012*AD1012</f>
        <v>350</v>
      </c>
      <c r="AF1012" s="2">
        <f>Z1012/Y1012</f>
        <v>2.5</v>
      </c>
      <c r="AG1012" s="2">
        <f>AA1012/Z1012</f>
        <v>4</v>
      </c>
      <c r="AH1012" s="2">
        <f>AB1012/AA1012</f>
        <v>2.5</v>
      </c>
    </row>
    <row r="1013" spans="1:34">
      <c r="A1013" s="96" t="s">
        <v>461</v>
      </c>
      <c r="B1013" s="96" t="s">
        <v>462</v>
      </c>
      <c r="C1013" s="41">
        <v>46194</v>
      </c>
      <c r="D1013" s="42">
        <v>0.75694444444444442</v>
      </c>
      <c r="E1013" s="43"/>
      <c r="F1013" s="8" t="s">
        <v>459</v>
      </c>
      <c r="G1013" s="2">
        <v>1</v>
      </c>
      <c r="I1013" s="126">
        <v>120</v>
      </c>
      <c r="J1013" s="2" t="s">
        <v>766</v>
      </c>
      <c r="K1013" s="109" t="s">
        <v>602</v>
      </c>
      <c r="L1013" s="8">
        <v>20000</v>
      </c>
      <c r="M1013" s="202">
        <v>20</v>
      </c>
      <c r="N1013" s="39" t="s">
        <v>48</v>
      </c>
      <c r="O1013" s="39" t="s">
        <v>465</v>
      </c>
      <c r="P1013" s="63">
        <v>10000</v>
      </c>
      <c r="Q1013" s="2">
        <v>24</v>
      </c>
      <c r="R1013" s="15">
        <f>Q1013/I1013</f>
        <v>0.2</v>
      </c>
      <c r="S1013" s="149" t="s">
        <v>110</v>
      </c>
      <c r="T1013" s="149"/>
      <c r="U1013" s="109" t="s">
        <v>767</v>
      </c>
      <c r="V1013" s="205" t="s">
        <v>735</v>
      </c>
      <c r="W1013" s="205"/>
      <c r="AE1013" s="2">
        <f>AC1013*AD1013</f>
        <v>0</v>
      </c>
      <c r="AF1013" s="2" t="e">
        <f>Z1013/Y1013</f>
        <v>#DIV/0!</v>
      </c>
      <c r="AG1013" s="2" t="e">
        <f>AA1013/Z1013</f>
        <v>#DIV/0!</v>
      </c>
      <c r="AH1013" s="2" t="e">
        <f>AB1013/AA1013</f>
        <v>#DIV/0!</v>
      </c>
    </row>
    <row r="1014" spans="1:34">
      <c r="A1014" s="68" t="s">
        <v>357</v>
      </c>
      <c r="B1014" s="68" t="s">
        <v>358</v>
      </c>
      <c r="C1014" s="191">
        <v>46194</v>
      </c>
      <c r="D1014" s="42">
        <v>0.75694444444444442</v>
      </c>
      <c r="E1014" s="194">
        <v>61</v>
      </c>
      <c r="F1014" s="63" t="s">
        <v>290</v>
      </c>
      <c r="G1014" s="2">
        <v>1</v>
      </c>
      <c r="H1014" s="2">
        <v>9</v>
      </c>
      <c r="I1014" s="126">
        <v>600</v>
      </c>
      <c r="J1014" s="2" t="s">
        <v>766</v>
      </c>
      <c r="K1014" s="137" t="s">
        <v>602</v>
      </c>
      <c r="L1014" s="89">
        <v>25000</v>
      </c>
      <c r="M1014" s="202">
        <v>30</v>
      </c>
      <c r="N1014" s="39" t="s">
        <v>48</v>
      </c>
      <c r="O1014" s="39" t="s">
        <v>49</v>
      </c>
      <c r="P1014" s="212" t="s">
        <v>836</v>
      </c>
      <c r="Q1014" s="19">
        <v>80</v>
      </c>
      <c r="R1014" s="15">
        <f>Q1014/I1014</f>
        <v>0.13333333333333333</v>
      </c>
      <c r="S1014" s="5">
        <f>($AC1014*$AD1014)/(($Z1014/$Y1014)+($AA1014/$Z1014)+($AB1014/$AA1014))</f>
        <v>55.03292568203198</v>
      </c>
      <c r="U1014" s="109" t="s">
        <v>219</v>
      </c>
      <c r="V1014" s="2" t="s">
        <v>662</v>
      </c>
      <c r="W1014" s="220" t="s">
        <v>389</v>
      </c>
      <c r="Y1014" s="2">
        <v>2.5</v>
      </c>
      <c r="Z1014" s="2">
        <v>6.5</v>
      </c>
      <c r="AA1014" s="2">
        <v>20</v>
      </c>
      <c r="AB1014" s="2">
        <v>50</v>
      </c>
      <c r="AC1014" s="2">
        <v>30</v>
      </c>
      <c r="AD1014" s="2">
        <v>15</v>
      </c>
      <c r="AE1014" s="2">
        <f>AC1014*AD1014</f>
        <v>450</v>
      </c>
      <c r="AF1014" s="2">
        <f>Z1014/Y1014</f>
        <v>2.6</v>
      </c>
      <c r="AG1014" s="2">
        <f>AA1014/Z1014</f>
        <v>3.0769230769230771</v>
      </c>
      <c r="AH1014" s="2">
        <f>AB1014/AA1014</f>
        <v>2.5</v>
      </c>
    </row>
    <row r="1015" spans="1:34">
      <c r="A1015" s="95" t="s">
        <v>447</v>
      </c>
      <c r="B1015" s="95" t="s">
        <v>448</v>
      </c>
      <c r="C1015" s="190">
        <v>46194</v>
      </c>
      <c r="D1015" s="42">
        <v>0.79166666666666663</v>
      </c>
      <c r="E1015" s="43"/>
      <c r="F1015" s="194" t="s">
        <v>403</v>
      </c>
      <c r="G1015" s="2">
        <v>1</v>
      </c>
      <c r="H1015" s="2">
        <v>9</v>
      </c>
      <c r="I1015" s="126">
        <v>300</v>
      </c>
      <c r="J1015" s="2" t="s">
        <v>766</v>
      </c>
      <c r="K1015" s="109" t="s">
        <v>602</v>
      </c>
      <c r="L1015" s="8">
        <v>25000</v>
      </c>
      <c r="M1015" s="8">
        <v>25</v>
      </c>
      <c r="N1015" s="39" t="s">
        <v>48</v>
      </c>
      <c r="O1015" s="39" t="s">
        <v>49</v>
      </c>
      <c r="P1015" s="212" t="s">
        <v>834</v>
      </c>
      <c r="Q1015" s="19">
        <v>50</v>
      </c>
      <c r="R1015" s="15">
        <f>Q1015/I1015</f>
        <v>0.16666666666666666</v>
      </c>
      <c r="S1015" s="5">
        <f>($AC1015*$AD1015)/(($Z1015/$Y1015)+($AA1015/$Z1015)+($AB1015/$AA1015))</f>
        <v>37.5</v>
      </c>
      <c r="U1015" s="109" t="s">
        <v>767</v>
      </c>
      <c r="V1015" s="2" t="s">
        <v>741</v>
      </c>
      <c r="Y1015" s="2">
        <v>2.5</v>
      </c>
      <c r="Z1015" s="2">
        <v>7.5</v>
      </c>
      <c r="AA1015" s="2">
        <v>25</v>
      </c>
      <c r="AB1015" s="2">
        <v>75</v>
      </c>
      <c r="AC1015" s="2">
        <v>14</v>
      </c>
      <c r="AD1015" s="2">
        <v>25</v>
      </c>
      <c r="AE1015" s="2">
        <f>AC1015*AD1015</f>
        <v>350</v>
      </c>
      <c r="AF1015" s="2">
        <f>Z1015/Y1015</f>
        <v>3</v>
      </c>
      <c r="AG1015" s="2">
        <f>AA1015/Z1015</f>
        <v>3.3333333333333335</v>
      </c>
      <c r="AH1015" s="2">
        <f>AB1015/AA1015</f>
        <v>3</v>
      </c>
    </row>
    <row r="1016" spans="1:34">
      <c r="A1016" s="165" t="s">
        <v>1383</v>
      </c>
      <c r="B1016" s="39" t="s">
        <v>63</v>
      </c>
      <c r="C1016" s="41">
        <v>46194</v>
      </c>
      <c r="D1016" s="144">
        <v>0.79166666666666663</v>
      </c>
      <c r="E1016" s="43"/>
      <c r="F1016" s="8" t="s">
        <v>917</v>
      </c>
      <c r="G1016" s="2">
        <v>1</v>
      </c>
      <c r="H1016" s="2">
        <v>9</v>
      </c>
      <c r="I1016" s="81">
        <v>585</v>
      </c>
      <c r="J1016" s="2" t="s">
        <v>766</v>
      </c>
      <c r="K1016" s="88" t="s">
        <v>800</v>
      </c>
      <c r="L1016" s="89">
        <v>10000</v>
      </c>
      <c r="M1016" s="202">
        <v>20</v>
      </c>
      <c r="N1016" s="132" t="s">
        <v>821</v>
      </c>
      <c r="O1016" s="39" t="s">
        <v>49</v>
      </c>
      <c r="P1016" s="210"/>
      <c r="Q1016" s="19">
        <v>89</v>
      </c>
      <c r="R1016" s="59">
        <f>Q1016/I1016</f>
        <v>0.15213675213675212</v>
      </c>
      <c r="S1016" s="5">
        <v>29</v>
      </c>
      <c r="U1016" s="109" t="s">
        <v>767</v>
      </c>
      <c r="V1016" s="83" t="s">
        <v>362</v>
      </c>
      <c r="W1016" s="8" t="s">
        <v>368</v>
      </c>
      <c r="Y1016" s="175"/>
      <c r="Z1016" s="175"/>
      <c r="AA1016" s="175"/>
      <c r="AB1016" s="175"/>
      <c r="AC1016" s="175"/>
      <c r="AD1016" s="175"/>
      <c r="AE1016" s="175"/>
      <c r="AF1016" s="175"/>
      <c r="AG1016" s="175"/>
      <c r="AH1016" s="175"/>
    </row>
    <row r="1017" spans="1:34">
      <c r="A1017" s="165" t="s">
        <v>1383</v>
      </c>
      <c r="B1017" s="39" t="s">
        <v>63</v>
      </c>
      <c r="C1017" s="41">
        <v>46194</v>
      </c>
      <c r="D1017" s="144">
        <v>0.83333333333333337</v>
      </c>
      <c r="E1017" s="194"/>
      <c r="F1017" s="8" t="s">
        <v>1023</v>
      </c>
      <c r="G1017" s="2">
        <v>1</v>
      </c>
      <c r="H1017" s="2">
        <v>9</v>
      </c>
      <c r="I1017" s="45">
        <v>200</v>
      </c>
      <c r="J1017" s="2" t="s">
        <v>766</v>
      </c>
      <c r="K1017" s="88" t="s">
        <v>806</v>
      </c>
      <c r="L1017" s="89">
        <v>20000</v>
      </c>
      <c r="M1017" s="205">
        <v>20</v>
      </c>
      <c r="N1017" s="39" t="s">
        <v>817</v>
      </c>
      <c r="O1017" s="39" t="s">
        <v>49</v>
      </c>
      <c r="P1017" s="210"/>
      <c r="Q1017" s="19">
        <v>45</v>
      </c>
      <c r="R1017" s="15">
        <f>Q1017/I1017</f>
        <v>0.22500000000000001</v>
      </c>
      <c r="S1017" s="5">
        <v>23</v>
      </c>
      <c r="U1017" s="109" t="s">
        <v>129</v>
      </c>
      <c r="V1017" s="71" t="s">
        <v>360</v>
      </c>
      <c r="Y1017" s="175"/>
      <c r="Z1017" s="175"/>
      <c r="AA1017" s="175"/>
      <c r="AB1017" s="175"/>
      <c r="AC1017" s="175"/>
      <c r="AD1017" s="175"/>
      <c r="AE1017" s="175"/>
      <c r="AF1017" s="175"/>
      <c r="AG1017" s="175"/>
      <c r="AH1017" s="175"/>
    </row>
    <row r="1018" spans="1:34">
      <c r="A1018" s="103" t="s">
        <v>539</v>
      </c>
      <c r="B1018" s="103" t="s">
        <v>540</v>
      </c>
      <c r="C1018" s="191">
        <v>46194</v>
      </c>
      <c r="D1018" s="42">
        <v>0.875</v>
      </c>
      <c r="E1018" s="195">
        <v>69</v>
      </c>
      <c r="F1018" s="63" t="s">
        <v>544</v>
      </c>
      <c r="G1018" s="2">
        <v>1</v>
      </c>
      <c r="H1018" s="2">
        <v>9</v>
      </c>
      <c r="I1018" s="126">
        <v>150</v>
      </c>
      <c r="J1018" s="179" t="s">
        <v>766</v>
      </c>
      <c r="K1018" s="179" t="s">
        <v>602</v>
      </c>
      <c r="L1018" s="89">
        <v>30000</v>
      </c>
      <c r="M1018" s="54">
        <v>15</v>
      </c>
      <c r="N1018" s="39" t="s">
        <v>48</v>
      </c>
      <c r="O1018" s="39" t="s">
        <v>49</v>
      </c>
      <c r="P1018" s="135" t="s">
        <v>828</v>
      </c>
      <c r="Q1018" s="19">
        <v>46</v>
      </c>
      <c r="R1018" s="15">
        <f>Q1018/I1018</f>
        <v>0.30666666666666664</v>
      </c>
      <c r="S1018" s="5">
        <f>($AC1018*$AD1018)/(($Z1018/$Y1018)+($AA1018/$Z1018)+($AB1018/$AA1018))</f>
        <v>19.534883720930232</v>
      </c>
      <c r="U1018" s="109" t="s">
        <v>129</v>
      </c>
      <c r="V1018" s="71" t="s">
        <v>1395</v>
      </c>
      <c r="W1018" s="179" t="s">
        <v>1389</v>
      </c>
      <c r="Y1018" s="2">
        <v>4</v>
      </c>
      <c r="Z1018" s="2">
        <v>8</v>
      </c>
      <c r="AA1018" s="2">
        <v>30</v>
      </c>
      <c r="AB1018" s="2">
        <v>150</v>
      </c>
      <c r="AC1018" s="2">
        <v>14</v>
      </c>
      <c r="AD1018" s="2">
        <v>15</v>
      </c>
      <c r="AE1018" s="2">
        <f>AC1018*AD1018</f>
        <v>210</v>
      </c>
      <c r="AF1018" s="2">
        <f>Z1018/Y1018</f>
        <v>2</v>
      </c>
      <c r="AG1018" s="2">
        <f>AA1018/Z1018</f>
        <v>3.75</v>
      </c>
      <c r="AH1018" s="2">
        <f>AB1018/AA1018</f>
        <v>5</v>
      </c>
    </row>
    <row r="1019" spans="1:34">
      <c r="A1019" s="165" t="s">
        <v>1383</v>
      </c>
      <c r="B1019" s="39" t="s">
        <v>63</v>
      </c>
      <c r="C1019" s="41">
        <v>46194</v>
      </c>
      <c r="D1019" s="144">
        <v>0.91666666666666663</v>
      </c>
      <c r="E1019" s="43"/>
      <c r="F1019" s="8" t="s">
        <v>909</v>
      </c>
      <c r="G1019" s="2">
        <v>1</v>
      </c>
      <c r="H1019" s="2">
        <v>9</v>
      </c>
      <c r="I1019" s="45">
        <v>135</v>
      </c>
      <c r="J1019" s="2" t="s">
        <v>766</v>
      </c>
      <c r="K1019" s="88" t="s">
        <v>813</v>
      </c>
      <c r="L1019" s="89">
        <v>10000</v>
      </c>
      <c r="M1019" s="202">
        <v>15</v>
      </c>
      <c r="N1019" s="132" t="s">
        <v>821</v>
      </c>
      <c r="O1019" s="39" t="s">
        <v>49</v>
      </c>
      <c r="P1019" s="210"/>
      <c r="Q1019" s="19">
        <v>35</v>
      </c>
      <c r="R1019" s="15">
        <f>Q1019/I1019</f>
        <v>0.25925925925925924</v>
      </c>
      <c r="S1019" s="5">
        <v>22</v>
      </c>
      <c r="U1019" s="109" t="s">
        <v>767</v>
      </c>
      <c r="V1019" s="71" t="s">
        <v>362</v>
      </c>
      <c r="W1019" s="8" t="s">
        <v>369</v>
      </c>
      <c r="Y1019" s="175"/>
      <c r="Z1019" s="175"/>
      <c r="AA1019" s="175"/>
      <c r="AB1019" s="175"/>
      <c r="AC1019" s="175"/>
      <c r="AD1019" s="175"/>
      <c r="AE1019" s="175"/>
      <c r="AF1019" s="175"/>
      <c r="AG1019" s="175"/>
      <c r="AH1019" s="175"/>
    </row>
    <row r="1020" spans="1:34">
      <c r="A1020" s="96" t="s">
        <v>461</v>
      </c>
      <c r="B1020" s="96" t="s">
        <v>462</v>
      </c>
      <c r="C1020" s="41">
        <v>46194</v>
      </c>
      <c r="D1020" s="42">
        <v>0.92361111111111116</v>
      </c>
      <c r="E1020" s="43"/>
      <c r="F1020" s="8" t="s">
        <v>456</v>
      </c>
      <c r="G1020" s="2">
        <v>1</v>
      </c>
      <c r="I1020" s="126">
        <v>120</v>
      </c>
      <c r="J1020" s="2" t="s">
        <v>766</v>
      </c>
      <c r="K1020" s="109" t="s">
        <v>737</v>
      </c>
      <c r="L1020" s="8">
        <v>20000</v>
      </c>
      <c r="M1020" s="202">
        <v>15</v>
      </c>
      <c r="N1020" s="39" t="s">
        <v>48</v>
      </c>
      <c r="O1020" s="39" t="s">
        <v>49</v>
      </c>
      <c r="P1020" s="135" t="s">
        <v>827</v>
      </c>
      <c r="Q1020" s="19">
        <v>24</v>
      </c>
      <c r="R1020" s="15">
        <f>Q1020/I1020</f>
        <v>0.2</v>
      </c>
      <c r="S1020" s="5">
        <f>($AC1020*$AD1020)/(($Z1020/$Y1020)+($AA1020/$Z1020)+($AB1020/$AA1020))</f>
        <v>25.161290322580644</v>
      </c>
      <c r="U1020" s="109" t="s">
        <v>463</v>
      </c>
      <c r="V1020" s="2" t="s">
        <v>735</v>
      </c>
      <c r="W1020" s="205" t="s">
        <v>464</v>
      </c>
      <c r="Y1020" s="2">
        <v>2.5</v>
      </c>
      <c r="Z1020" s="2">
        <v>7.5</v>
      </c>
      <c r="AA1020" s="2">
        <v>30</v>
      </c>
      <c r="AB1020" s="2">
        <v>100</v>
      </c>
      <c r="AC1020" s="2">
        <v>13</v>
      </c>
      <c r="AD1020" s="2">
        <v>20</v>
      </c>
      <c r="AE1020" s="2">
        <f>AC1020*AD1020</f>
        <v>260</v>
      </c>
      <c r="AF1020" s="2">
        <f>Z1020/Y1020</f>
        <v>3</v>
      </c>
      <c r="AG1020" s="2">
        <f>AA1020/Z1020</f>
        <v>4</v>
      </c>
      <c r="AH1020" s="2">
        <f>AB1020/AA1020</f>
        <v>3.3333333333333335</v>
      </c>
    </row>
    <row r="1021" spans="1:34">
      <c r="A1021" s="165" t="s">
        <v>1383</v>
      </c>
      <c r="B1021" s="36" t="s">
        <v>63</v>
      </c>
      <c r="C1021" s="41">
        <v>46194</v>
      </c>
      <c r="D1021" s="144" t="s">
        <v>117</v>
      </c>
      <c r="E1021" s="194">
        <v>59</v>
      </c>
      <c r="F1021" s="8" t="s">
        <v>979</v>
      </c>
      <c r="G1021" s="2">
        <v>3</v>
      </c>
      <c r="H1021" s="2">
        <v>9</v>
      </c>
      <c r="I1021" s="45">
        <v>500</v>
      </c>
      <c r="J1021" s="2" t="s">
        <v>760</v>
      </c>
      <c r="K1021" s="109" t="s">
        <v>598</v>
      </c>
      <c r="L1021" s="89">
        <v>50000</v>
      </c>
      <c r="M1021" s="202">
        <v>40</v>
      </c>
      <c r="N1021" s="39" t="s">
        <v>48</v>
      </c>
      <c r="O1021" s="39" t="s">
        <v>49</v>
      </c>
      <c r="P1021" s="210"/>
      <c r="Q1021" s="19">
        <f>R1021*I1021</f>
        <v>50</v>
      </c>
      <c r="R1021" s="15">
        <v>0.1</v>
      </c>
      <c r="S1021" s="5">
        <f>($AC1021*$AD1021)/(($Z1021/$Y1021)+($AA1021/$Z1021)+($AB1021/$AA1021))</f>
        <v>107.99584631360334</v>
      </c>
      <c r="U1021" s="109" t="s">
        <v>767</v>
      </c>
      <c r="V1021" s="205" t="s">
        <v>121</v>
      </c>
      <c r="W1021" s="205"/>
      <c r="Y1021" s="2">
        <v>2</v>
      </c>
      <c r="Z1021" s="2">
        <v>5</v>
      </c>
      <c r="AA1021" s="2">
        <v>13</v>
      </c>
      <c r="AB1021" s="2">
        <v>30</v>
      </c>
      <c r="AC1021" s="2">
        <v>20</v>
      </c>
      <c r="AD1021" s="2">
        <v>40</v>
      </c>
      <c r="AE1021" s="2">
        <f>AC1021*AD1021</f>
        <v>800</v>
      </c>
      <c r="AF1021" s="2">
        <f>Z1021/Y1021</f>
        <v>2.5</v>
      </c>
      <c r="AG1021" s="2">
        <f>AA1021/Z1021</f>
        <v>2.6</v>
      </c>
      <c r="AH1021" s="2">
        <f>AB1021/AA1021</f>
        <v>2.3076923076923075</v>
      </c>
    </row>
    <row r="1022" spans="1:34">
      <c r="A1022" s="165" t="s">
        <v>1383</v>
      </c>
      <c r="B1022" s="36" t="s">
        <v>63</v>
      </c>
      <c r="C1022" s="41">
        <v>46194</v>
      </c>
      <c r="D1022" s="144" t="s">
        <v>115</v>
      </c>
      <c r="E1022" s="14">
        <v>57</v>
      </c>
      <c r="F1022" s="8" t="s">
        <v>183</v>
      </c>
      <c r="G1022" s="2">
        <v>3</v>
      </c>
      <c r="H1022" s="2">
        <v>8</v>
      </c>
      <c r="I1022" s="45">
        <v>1000</v>
      </c>
      <c r="J1022" s="2" t="s">
        <v>762</v>
      </c>
      <c r="K1022" s="109" t="s">
        <v>598</v>
      </c>
      <c r="L1022" s="89">
        <v>20000</v>
      </c>
      <c r="M1022" s="202" t="s">
        <v>97</v>
      </c>
      <c r="N1022" s="39" t="s">
        <v>48</v>
      </c>
      <c r="O1022" s="39" t="s">
        <v>57</v>
      </c>
      <c r="P1022" s="213"/>
      <c r="Q1022" s="38">
        <f>R1022*I1022</f>
        <v>120</v>
      </c>
      <c r="R1022" s="15">
        <v>0.12</v>
      </c>
      <c r="S1022" s="149" t="s">
        <v>110</v>
      </c>
      <c r="T1022" s="149"/>
      <c r="U1022" s="109" t="s">
        <v>767</v>
      </c>
      <c r="V1022" s="205" t="s">
        <v>121</v>
      </c>
      <c r="W1022" s="205"/>
      <c r="AE1022" s="2" t="e">
        <f>AD1022*#REF!</f>
        <v>#REF!</v>
      </c>
      <c r="AF1022" s="2" t="e">
        <f>Z1022/Y1022</f>
        <v>#DIV/0!</v>
      </c>
      <c r="AG1022" s="2" t="e">
        <f>AA1022/Z1022</f>
        <v>#DIV/0!</v>
      </c>
      <c r="AH1022" s="2" t="e">
        <f>AC1022/AA1022</f>
        <v>#DIV/0!</v>
      </c>
    </row>
    <row r="1023" spans="1:34">
      <c r="A1023" s="165" t="s">
        <v>1383</v>
      </c>
      <c r="B1023" s="36" t="s">
        <v>63</v>
      </c>
      <c r="C1023" s="41">
        <v>46194</v>
      </c>
      <c r="D1023" s="144" t="s">
        <v>116</v>
      </c>
      <c r="E1023" s="194">
        <v>60</v>
      </c>
      <c r="F1023" s="8" t="s">
        <v>171</v>
      </c>
      <c r="G1023" s="2">
        <v>5</v>
      </c>
      <c r="H1023" s="2">
        <v>7</v>
      </c>
      <c r="I1023" s="45">
        <v>50000</v>
      </c>
      <c r="J1023" s="2" t="s">
        <v>110</v>
      </c>
      <c r="K1023" s="109" t="s">
        <v>598</v>
      </c>
      <c r="L1023" s="89">
        <v>300000</v>
      </c>
      <c r="M1023" s="202">
        <v>100</v>
      </c>
      <c r="N1023" s="39" t="s">
        <v>48</v>
      </c>
      <c r="O1023" s="39" t="s">
        <v>863</v>
      </c>
      <c r="P1023" s="213"/>
      <c r="Q1023" s="38">
        <f>R1023*I1023</f>
        <v>2500</v>
      </c>
      <c r="R1023" s="15">
        <v>0.05</v>
      </c>
      <c r="S1023" s="149" t="s">
        <v>110</v>
      </c>
      <c r="T1023" s="149"/>
      <c r="U1023" s="109" t="s">
        <v>767</v>
      </c>
      <c r="V1023" s="2" t="s">
        <v>121</v>
      </c>
      <c r="W1023" s="205"/>
      <c r="AE1023" s="2" t="e">
        <f>AD1023*#REF!</f>
        <v>#REF!</v>
      </c>
      <c r="AF1023" s="2" t="e">
        <f>Z1023/Y1023</f>
        <v>#DIV/0!</v>
      </c>
      <c r="AG1023" s="2" t="e">
        <f>AA1023/Z1023</f>
        <v>#DIV/0!</v>
      </c>
      <c r="AH1023" s="2" t="e">
        <f>AC1023/AA1023</f>
        <v>#DIV/0!</v>
      </c>
    </row>
    <row r="1024" spans="1:34">
      <c r="A1024" s="165" t="s">
        <v>1383</v>
      </c>
      <c r="B1024" s="36" t="s">
        <v>63</v>
      </c>
      <c r="C1024" s="41">
        <v>46194</v>
      </c>
      <c r="D1024" s="144" t="s">
        <v>876</v>
      </c>
      <c r="E1024" s="194">
        <v>54</v>
      </c>
      <c r="F1024" s="8" t="s">
        <v>1144</v>
      </c>
      <c r="G1024" s="2">
        <v>4</v>
      </c>
      <c r="H1024" s="2">
        <v>9</v>
      </c>
      <c r="I1024" s="45">
        <v>10000</v>
      </c>
      <c r="J1024" s="2" t="s">
        <v>110</v>
      </c>
      <c r="K1024" s="109" t="s">
        <v>816</v>
      </c>
      <c r="L1024" s="89">
        <v>60000</v>
      </c>
      <c r="M1024" s="202" t="s">
        <v>111</v>
      </c>
      <c r="N1024" s="39" t="s">
        <v>48</v>
      </c>
      <c r="O1024" s="39" t="s">
        <v>122</v>
      </c>
      <c r="P1024" s="213"/>
      <c r="Q1024" s="38">
        <f>R1024*I1024</f>
        <v>700.00000000000011</v>
      </c>
      <c r="R1024" s="15">
        <v>7.0000000000000007E-2</v>
      </c>
      <c r="S1024" s="149" t="s">
        <v>110</v>
      </c>
      <c r="T1024" s="149"/>
      <c r="U1024" s="109" t="s">
        <v>767</v>
      </c>
      <c r="V1024" s="2" t="s">
        <v>121</v>
      </c>
      <c r="W1024" s="205"/>
      <c r="AE1024" s="2" t="e">
        <f>AD1024*#REF!</f>
        <v>#REF!</v>
      </c>
      <c r="AF1024" s="2" t="e">
        <f>Z1024/Y1024</f>
        <v>#DIV/0!</v>
      </c>
      <c r="AG1024" s="2" t="e">
        <f>AA1024/Z1024</f>
        <v>#DIV/0!</v>
      </c>
      <c r="AH1024" s="2" t="e">
        <f>AC1024/AA1024</f>
        <v>#DIV/0!</v>
      </c>
    </row>
    <row r="1025" spans="1:34">
      <c r="A1025" s="165" t="s">
        <v>1383</v>
      </c>
      <c r="B1025" s="36" t="s">
        <v>63</v>
      </c>
      <c r="C1025" s="41">
        <v>46194</v>
      </c>
      <c r="D1025" s="144" t="s">
        <v>876</v>
      </c>
      <c r="E1025" s="194">
        <v>55</v>
      </c>
      <c r="F1025" s="8" t="s">
        <v>1286</v>
      </c>
      <c r="G1025" s="2">
        <v>3</v>
      </c>
      <c r="H1025" s="2">
        <v>8</v>
      </c>
      <c r="I1025" s="45">
        <v>50000</v>
      </c>
      <c r="J1025" s="2" t="s">
        <v>762</v>
      </c>
      <c r="K1025" s="109" t="s">
        <v>601</v>
      </c>
      <c r="L1025" s="89">
        <v>300000</v>
      </c>
      <c r="M1025" s="202" t="s">
        <v>97</v>
      </c>
      <c r="N1025" s="39" t="s">
        <v>48</v>
      </c>
      <c r="O1025" s="39" t="s">
        <v>57</v>
      </c>
      <c r="P1025" s="213"/>
      <c r="Q1025" s="38">
        <f>R1025*I1025</f>
        <v>2500</v>
      </c>
      <c r="R1025" s="15">
        <v>0.05</v>
      </c>
      <c r="S1025" s="149" t="s">
        <v>110</v>
      </c>
      <c r="T1025" s="149"/>
      <c r="U1025" s="109" t="s">
        <v>767</v>
      </c>
      <c r="V1025" s="205" t="s">
        <v>121</v>
      </c>
      <c r="W1025" s="205"/>
      <c r="Y1025" s="70"/>
      <c r="Z1025" s="70"/>
      <c r="AA1025" s="70"/>
      <c r="AC1025" s="70"/>
      <c r="AD1025" s="70"/>
      <c r="AE1025" s="2" t="e">
        <f>AD1025*#REF!</f>
        <v>#REF!</v>
      </c>
      <c r="AF1025" s="2" t="e">
        <f>Z1025/Y1025</f>
        <v>#DIV/0!</v>
      </c>
      <c r="AG1025" s="2" t="e">
        <f>AA1025/Z1025</f>
        <v>#DIV/0!</v>
      </c>
      <c r="AH1025" s="2" t="e">
        <f>AC1025/AA1025</f>
        <v>#DIV/0!</v>
      </c>
    </row>
    <row r="1026" spans="1:34">
      <c r="A1026" s="68" t="s">
        <v>357</v>
      </c>
      <c r="B1026" s="68" t="s">
        <v>358</v>
      </c>
      <c r="C1026" s="191">
        <v>46195</v>
      </c>
      <c r="D1026" s="42">
        <v>0.41666666666666669</v>
      </c>
      <c r="E1026" s="194">
        <v>58</v>
      </c>
      <c r="F1026" s="63" t="s">
        <v>1372</v>
      </c>
      <c r="G1026" s="2">
        <v>2</v>
      </c>
      <c r="H1026" s="2">
        <v>9</v>
      </c>
      <c r="I1026" s="126">
        <v>1600</v>
      </c>
      <c r="J1026" s="2" t="s">
        <v>766</v>
      </c>
      <c r="K1026" s="137" t="s">
        <v>598</v>
      </c>
      <c r="L1026" s="89">
        <v>40000</v>
      </c>
      <c r="M1026" s="54">
        <v>40</v>
      </c>
      <c r="N1026" s="39" t="s">
        <v>48</v>
      </c>
      <c r="O1026" s="39" t="s">
        <v>49</v>
      </c>
      <c r="P1026" s="135" t="s">
        <v>847</v>
      </c>
      <c r="Q1026" s="19">
        <v>180</v>
      </c>
      <c r="R1026" s="15">
        <f>Q1026/I1026</f>
        <v>0.1125</v>
      </c>
      <c r="S1026" s="5">
        <f>($AC1026*$AD1026)/(($Z1026/$Y1026)+($AA1026/$Z1026)+($AB1026/$AA1026))</f>
        <v>102.59605399792316</v>
      </c>
      <c r="U1026" s="109" t="s">
        <v>54</v>
      </c>
      <c r="V1026" s="2" t="s">
        <v>679</v>
      </c>
      <c r="W1026" s="205"/>
      <c r="Y1026" s="2">
        <v>2</v>
      </c>
      <c r="Z1026" s="2">
        <v>5</v>
      </c>
      <c r="AA1026" s="2">
        <v>13</v>
      </c>
      <c r="AB1026" s="2">
        <v>30</v>
      </c>
      <c r="AC1026" s="2">
        <v>40</v>
      </c>
      <c r="AD1026" s="2">
        <v>19</v>
      </c>
      <c r="AE1026" s="2">
        <f>AC1026*AD1026</f>
        <v>760</v>
      </c>
      <c r="AF1026" s="2">
        <f>Z1026/Y1026</f>
        <v>2.5</v>
      </c>
      <c r="AG1026" s="2">
        <f>AA1026/Z1026</f>
        <v>2.6</v>
      </c>
      <c r="AH1026" s="2">
        <f>AB1026/AA1026</f>
        <v>2.3076923076923075</v>
      </c>
    </row>
    <row r="1027" spans="1:34">
      <c r="A1027" s="96" t="s">
        <v>461</v>
      </c>
      <c r="B1027" s="96" t="s">
        <v>462</v>
      </c>
      <c r="C1027" s="41">
        <v>46195</v>
      </c>
      <c r="D1027" s="42">
        <v>0.4236111111111111</v>
      </c>
      <c r="E1027" s="43"/>
      <c r="F1027" s="8" t="s">
        <v>467</v>
      </c>
      <c r="G1027" s="2">
        <v>2</v>
      </c>
      <c r="I1027" s="126">
        <v>300</v>
      </c>
      <c r="J1027" s="2" t="s">
        <v>766</v>
      </c>
      <c r="K1027" s="109" t="s">
        <v>598</v>
      </c>
      <c r="L1027" s="8">
        <v>30000</v>
      </c>
      <c r="M1027" s="202">
        <v>30</v>
      </c>
      <c r="N1027" s="39" t="s">
        <v>48</v>
      </c>
      <c r="O1027" s="39" t="s">
        <v>49</v>
      </c>
      <c r="P1027" s="135" t="s">
        <v>842</v>
      </c>
      <c r="Q1027" s="19">
        <v>65</v>
      </c>
      <c r="R1027" s="15">
        <f>Q1027/I1027</f>
        <v>0.21666666666666667</v>
      </c>
      <c r="S1027" s="5">
        <f>($AC1027*$AD1027)/(($Z1027/$Y1027)+($AA1027/$Z1027)+($AB1027/$AA1027))</f>
        <v>53.333333333333336</v>
      </c>
      <c r="U1027" s="109" t="s">
        <v>767</v>
      </c>
      <c r="V1027" s="205" t="s">
        <v>735</v>
      </c>
      <c r="W1027" s="205"/>
      <c r="Y1027" s="2">
        <v>2</v>
      </c>
      <c r="Z1027" s="2">
        <v>5</v>
      </c>
      <c r="AA1027" s="2">
        <v>20</v>
      </c>
      <c r="AB1027" s="2">
        <v>50</v>
      </c>
      <c r="AC1027" s="2">
        <v>16</v>
      </c>
      <c r="AD1027" s="2">
        <v>30</v>
      </c>
      <c r="AE1027" s="2">
        <f>AC1027*AD1027</f>
        <v>480</v>
      </c>
      <c r="AF1027" s="2">
        <f>Z1027/Y1027</f>
        <v>2.5</v>
      </c>
      <c r="AG1027" s="2">
        <f>AA1027/Z1027</f>
        <v>4</v>
      </c>
      <c r="AH1027" s="2">
        <f>AB1027/AA1027</f>
        <v>2.5</v>
      </c>
    </row>
    <row r="1028" spans="1:34">
      <c r="A1028" s="95" t="s">
        <v>447</v>
      </c>
      <c r="B1028" s="95" t="s">
        <v>448</v>
      </c>
      <c r="C1028" s="190">
        <v>46195</v>
      </c>
      <c r="D1028" s="42">
        <v>0.45833333333333331</v>
      </c>
      <c r="E1028" s="43"/>
      <c r="F1028" s="8" t="s">
        <v>440</v>
      </c>
      <c r="G1028" s="2">
        <v>1</v>
      </c>
      <c r="H1028" s="2">
        <v>9</v>
      </c>
      <c r="I1028" s="126">
        <v>1100</v>
      </c>
      <c r="J1028" s="2" t="s">
        <v>766</v>
      </c>
      <c r="K1028" s="109" t="s">
        <v>602</v>
      </c>
      <c r="L1028" s="8">
        <v>30000</v>
      </c>
      <c r="M1028" s="8">
        <v>30</v>
      </c>
      <c r="N1028" s="39" t="s">
        <v>48</v>
      </c>
      <c r="O1028" s="39" t="s">
        <v>49</v>
      </c>
      <c r="P1028" s="135" t="s">
        <v>841</v>
      </c>
      <c r="Q1028" s="19">
        <v>135</v>
      </c>
      <c r="R1028" s="15">
        <f>Q1028/I1028</f>
        <v>0.12272727272727273</v>
      </c>
      <c r="S1028" s="5">
        <f>($AC1028*$AD1028)/(($Z1028/$Y1028)+($AA1028/$Z1028)+($AB1028/$AA1028))</f>
        <v>72.897196261682254</v>
      </c>
      <c r="U1028" s="109" t="s">
        <v>767</v>
      </c>
      <c r="V1028" s="205" t="s">
        <v>741</v>
      </c>
      <c r="W1028" s="205"/>
      <c r="Y1028" s="2">
        <v>2</v>
      </c>
      <c r="Z1028" s="2">
        <v>5</v>
      </c>
      <c r="AA1028" s="2">
        <v>13</v>
      </c>
      <c r="AB1028" s="2">
        <v>30</v>
      </c>
      <c r="AC1028" s="2">
        <v>18</v>
      </c>
      <c r="AD1028" s="2">
        <v>30</v>
      </c>
      <c r="AE1028" s="2">
        <f>AC1028*AD1028</f>
        <v>540</v>
      </c>
      <c r="AF1028" s="2">
        <f>Z1028/Y1028</f>
        <v>2.5</v>
      </c>
      <c r="AG1028" s="2">
        <f>AA1028/Z1028</f>
        <v>2.6</v>
      </c>
      <c r="AH1028" s="2">
        <f>AB1028/AA1028</f>
        <v>2.3076923076923075</v>
      </c>
    </row>
    <row r="1029" spans="1:34">
      <c r="A1029" s="165" t="s">
        <v>1383</v>
      </c>
      <c r="B1029" s="36" t="s">
        <v>63</v>
      </c>
      <c r="C1029" s="41">
        <v>46195</v>
      </c>
      <c r="D1029" s="144">
        <v>0.45833333333333331</v>
      </c>
      <c r="E1029" s="228">
        <v>50</v>
      </c>
      <c r="F1029" s="8" t="s">
        <v>1224</v>
      </c>
      <c r="G1029" s="2">
        <v>5</v>
      </c>
      <c r="H1029" s="2">
        <v>9</v>
      </c>
      <c r="I1029" s="45">
        <v>1500</v>
      </c>
      <c r="J1029" s="2" t="s">
        <v>761</v>
      </c>
      <c r="K1029" s="109" t="s">
        <v>602</v>
      </c>
      <c r="L1029" s="89">
        <v>25000</v>
      </c>
      <c r="M1029" s="202">
        <v>60</v>
      </c>
      <c r="N1029" s="39" t="s">
        <v>48</v>
      </c>
      <c r="O1029" s="39" t="s">
        <v>49</v>
      </c>
      <c r="Q1029" s="19">
        <f>R1029*I1029</f>
        <v>172.5</v>
      </c>
      <c r="R1029" s="15">
        <v>0.115</v>
      </c>
      <c r="S1029" s="5">
        <f>($AC1029*$AD1029)/(($Z1029/$Y1029)+($AA1029/$Z1029)+($AB1029/$AA1029))</f>
        <v>140.86956521739131</v>
      </c>
      <c r="U1029" s="109" t="s">
        <v>767</v>
      </c>
      <c r="V1029" s="10" t="s">
        <v>121</v>
      </c>
      <c r="W1029" s="205"/>
      <c r="Y1029" s="2">
        <v>1.5</v>
      </c>
      <c r="Z1029" s="2">
        <v>4</v>
      </c>
      <c r="AA1029" s="2">
        <v>10</v>
      </c>
      <c r="AB1029" s="2">
        <v>25</v>
      </c>
      <c r="AC1029" s="2">
        <v>18</v>
      </c>
      <c r="AD1029" s="2">
        <v>60</v>
      </c>
      <c r="AE1029" s="2">
        <f>AC1029*AD1029</f>
        <v>1080</v>
      </c>
      <c r="AF1029" s="2">
        <f>Z1029/Y1029</f>
        <v>2.6666666666666665</v>
      </c>
      <c r="AG1029" s="2">
        <f>AA1029/Z1029</f>
        <v>2.5</v>
      </c>
      <c r="AH1029" s="2">
        <f>AB1029/AA1029</f>
        <v>2.5</v>
      </c>
    </row>
    <row r="1030" spans="1:34">
      <c r="A1030" s="165" t="s">
        <v>1383</v>
      </c>
      <c r="B1030" s="36" t="s">
        <v>63</v>
      </c>
      <c r="C1030" s="41">
        <v>46195</v>
      </c>
      <c r="D1030" s="144">
        <v>0.45833333333333331</v>
      </c>
      <c r="E1030" s="194">
        <v>59</v>
      </c>
      <c r="F1030" s="8" t="s">
        <v>1198</v>
      </c>
      <c r="G1030" s="2">
        <v>3</v>
      </c>
      <c r="H1030" s="2">
        <v>9</v>
      </c>
      <c r="I1030" s="45">
        <v>500</v>
      </c>
      <c r="J1030" s="2" t="s">
        <v>760</v>
      </c>
      <c r="K1030" s="109" t="s">
        <v>598</v>
      </c>
      <c r="L1030" s="89">
        <v>50000</v>
      </c>
      <c r="M1030" s="202">
        <v>40</v>
      </c>
      <c r="N1030" s="39" t="s">
        <v>48</v>
      </c>
      <c r="O1030" s="39" t="s">
        <v>49</v>
      </c>
      <c r="Q1030" s="19">
        <f>R1030*I1030</f>
        <v>50</v>
      </c>
      <c r="R1030" s="15">
        <v>0.1</v>
      </c>
      <c r="S1030" s="5">
        <f>($AC1030*$AD1030)/(($Z1030/$Y1030)+($AA1030/$Z1030)+($AB1030/$AA1030))</f>
        <v>107.99584631360334</v>
      </c>
      <c r="U1030" s="109" t="s">
        <v>767</v>
      </c>
      <c r="V1030" s="2" t="s">
        <v>121</v>
      </c>
      <c r="Y1030" s="2">
        <v>2</v>
      </c>
      <c r="Z1030" s="2">
        <v>5</v>
      </c>
      <c r="AA1030" s="2">
        <v>13</v>
      </c>
      <c r="AB1030" s="2">
        <v>30</v>
      </c>
      <c r="AC1030" s="2">
        <v>20</v>
      </c>
      <c r="AD1030" s="2">
        <v>40</v>
      </c>
      <c r="AE1030" s="2">
        <f>AC1030*AD1030</f>
        <v>800</v>
      </c>
      <c r="AF1030" s="2">
        <f>Z1030/Y1030</f>
        <v>2.5</v>
      </c>
      <c r="AG1030" s="2">
        <f>AA1030/Z1030</f>
        <v>2.6</v>
      </c>
      <c r="AH1030" s="2">
        <f>AB1030/AA1030</f>
        <v>2.3076923076923075</v>
      </c>
    </row>
    <row r="1031" spans="1:34">
      <c r="A1031" s="102" t="s">
        <v>475</v>
      </c>
      <c r="B1031" s="102" t="s">
        <v>476</v>
      </c>
      <c r="C1031" s="190">
        <v>46195</v>
      </c>
      <c r="D1031" s="42">
        <v>0.45833333333333331</v>
      </c>
      <c r="E1031" s="194" t="s">
        <v>515</v>
      </c>
      <c r="F1031" s="8" t="s">
        <v>512</v>
      </c>
      <c r="G1031" s="2">
        <v>2</v>
      </c>
      <c r="H1031" s="2">
        <v>9</v>
      </c>
      <c r="I1031" s="126">
        <v>500</v>
      </c>
      <c r="J1031" s="2" t="s">
        <v>766</v>
      </c>
      <c r="K1031" s="109" t="s">
        <v>601</v>
      </c>
      <c r="L1031" s="105">
        <v>40000</v>
      </c>
      <c r="M1031" s="64" t="s">
        <v>22</v>
      </c>
      <c r="N1031" s="39" t="s">
        <v>48</v>
      </c>
      <c r="O1031" s="39" t="s">
        <v>49</v>
      </c>
      <c r="P1031" s="135" t="s">
        <v>841</v>
      </c>
      <c r="Q1031" s="19">
        <v>75</v>
      </c>
      <c r="R1031" s="15">
        <f>Q1031/I1031</f>
        <v>0.15</v>
      </c>
      <c r="S1031" s="5">
        <f>($AC1031*$AD1031)/(($Z1031/$Y1031)+($AA1031/$Z1031)+($AB1031/$AA1031))</f>
        <v>71.293161814488826</v>
      </c>
      <c r="U1031" s="109" t="s">
        <v>55</v>
      </c>
      <c r="V1031" s="2" t="s">
        <v>634</v>
      </c>
      <c r="Y1031" s="2">
        <v>2.5</v>
      </c>
      <c r="Z1031" s="2">
        <v>6.5</v>
      </c>
      <c r="AA1031" s="2">
        <v>15</v>
      </c>
      <c r="AB1031" s="2">
        <v>40</v>
      </c>
      <c r="AC1031" s="2">
        <v>30</v>
      </c>
      <c r="AD1031" s="2">
        <v>18</v>
      </c>
      <c r="AE1031" s="2">
        <f>AC1031*AD1031</f>
        <v>540</v>
      </c>
      <c r="AF1031" s="2">
        <f>Z1031/Y1031</f>
        <v>2.6</v>
      </c>
      <c r="AG1031" s="2">
        <f>AA1031/Z1031</f>
        <v>2.3076923076923075</v>
      </c>
      <c r="AH1031" s="2">
        <f>AB1031/AA1031</f>
        <v>2.6666666666666665</v>
      </c>
    </row>
    <row r="1032" spans="1:34">
      <c r="A1032" s="52" t="s">
        <v>229</v>
      </c>
      <c r="B1032" s="52" t="s">
        <v>230</v>
      </c>
      <c r="C1032" s="190">
        <v>46195</v>
      </c>
      <c r="D1032" s="42">
        <v>0.45833333333333331</v>
      </c>
      <c r="E1032" s="43"/>
      <c r="F1032" s="8" t="s">
        <v>240</v>
      </c>
      <c r="G1032" s="2">
        <v>1</v>
      </c>
      <c r="I1032" s="126">
        <v>400</v>
      </c>
      <c r="J1032" s="2" t="s">
        <v>766</v>
      </c>
      <c r="K1032" s="88" t="s">
        <v>788</v>
      </c>
      <c r="L1032" s="90">
        <v>40000</v>
      </c>
      <c r="M1032" s="46" t="s">
        <v>22</v>
      </c>
      <c r="N1032" s="39" t="s">
        <v>48</v>
      </c>
      <c r="O1032" s="39" t="s">
        <v>49</v>
      </c>
      <c r="P1032" s="134" t="s">
        <v>836</v>
      </c>
      <c r="Q1032" s="19">
        <v>60</v>
      </c>
      <c r="R1032" s="15">
        <f>IF(Q1032&gt;0,Q1032/I1032,"")</f>
        <v>0.15</v>
      </c>
      <c r="S1032" s="5">
        <f>($AC1032*$AD1032)/(($Z1032/$Y1032)+($AA1032/$Z1032)+($AB1032/$AA1032))</f>
        <v>76.947040498442377</v>
      </c>
      <c r="U1032" s="109" t="s">
        <v>767</v>
      </c>
      <c r="V1032" s="205" t="s">
        <v>719</v>
      </c>
      <c r="W1032" s="205"/>
      <c r="Y1032" s="2">
        <v>2</v>
      </c>
      <c r="Z1032" s="2">
        <v>5</v>
      </c>
      <c r="AA1032" s="2">
        <v>13</v>
      </c>
      <c r="AB1032" s="2">
        <v>30</v>
      </c>
      <c r="AC1032" s="2">
        <v>19</v>
      </c>
      <c r="AD1032" s="2">
        <v>30</v>
      </c>
      <c r="AE1032" s="2">
        <f>AC1032*AD1032</f>
        <v>570</v>
      </c>
      <c r="AF1032" s="2">
        <f>Z1032/Y1032</f>
        <v>2.5</v>
      </c>
      <c r="AG1032" s="2">
        <f>AA1032/Z1032</f>
        <v>2.6</v>
      </c>
      <c r="AH1032" s="2">
        <f>AB1032/AA1032</f>
        <v>2.3076923076923075</v>
      </c>
    </row>
    <row r="1033" spans="1:34">
      <c r="A1033" s="52" t="s">
        <v>220</v>
      </c>
      <c r="B1033" s="52" t="s">
        <v>221</v>
      </c>
      <c r="C1033" s="51">
        <v>46195</v>
      </c>
      <c r="D1033" s="42">
        <v>0.45833333333333331</v>
      </c>
      <c r="E1033" s="43"/>
      <c r="F1033" s="8" t="s">
        <v>1081</v>
      </c>
      <c r="G1033" s="2">
        <v>1</v>
      </c>
      <c r="H1033" s="2">
        <v>9</v>
      </c>
      <c r="I1033" s="126">
        <v>600</v>
      </c>
      <c r="J1033" s="2" t="s">
        <v>766</v>
      </c>
      <c r="K1033" s="88" t="s">
        <v>777</v>
      </c>
      <c r="L1033" s="90">
        <v>30000</v>
      </c>
      <c r="M1033" s="64">
        <v>30</v>
      </c>
      <c r="N1033" s="39" t="s">
        <v>48</v>
      </c>
      <c r="O1033" s="39" t="s">
        <v>49</v>
      </c>
      <c r="P1033" s="212" t="s">
        <v>837</v>
      </c>
      <c r="Q1033" s="19">
        <v>85</v>
      </c>
      <c r="R1033" s="15">
        <f>Q1033/I1033</f>
        <v>0.14166666666666666</v>
      </c>
      <c r="S1033" s="5">
        <f>($AC1033*$AD1033)/(($Z1033/$Y1033)+($AA1033/$Z1033)+($AB1033/$AA1033))</f>
        <v>62.448979591836739</v>
      </c>
      <c r="U1033" s="109" t="s">
        <v>125</v>
      </c>
      <c r="V1033" s="205" t="s">
        <v>738</v>
      </c>
      <c r="W1033" s="205"/>
      <c r="Y1033" s="2">
        <v>2</v>
      </c>
      <c r="Z1033" s="2">
        <v>5</v>
      </c>
      <c r="AA1033" s="2">
        <v>15</v>
      </c>
      <c r="AB1033" s="2">
        <v>40</v>
      </c>
      <c r="AC1033" s="2">
        <v>17</v>
      </c>
      <c r="AD1033" s="2">
        <v>30</v>
      </c>
      <c r="AE1033" s="2">
        <f>AC1033*AD1033</f>
        <v>510</v>
      </c>
      <c r="AF1033" s="2">
        <f>Z1033/Y1033</f>
        <v>2.5</v>
      </c>
      <c r="AG1033" s="2">
        <f>AA1033/Z1033</f>
        <v>3</v>
      </c>
      <c r="AH1033" s="2">
        <f>AB1033/AA1033</f>
        <v>2.6666666666666665</v>
      </c>
    </row>
    <row r="1034" spans="1:34">
      <c r="A1034" s="68" t="s">
        <v>357</v>
      </c>
      <c r="B1034" s="68" t="s">
        <v>358</v>
      </c>
      <c r="C1034" s="191">
        <v>46195</v>
      </c>
      <c r="D1034" s="42">
        <v>0.46527777777777779</v>
      </c>
      <c r="E1034" s="194">
        <v>62</v>
      </c>
      <c r="F1034" s="63" t="s">
        <v>317</v>
      </c>
      <c r="G1034" s="2">
        <v>1</v>
      </c>
      <c r="H1034" s="2">
        <v>9</v>
      </c>
      <c r="I1034" s="126">
        <v>1600</v>
      </c>
      <c r="J1034" s="2" t="s">
        <v>766</v>
      </c>
      <c r="K1034" s="137" t="s">
        <v>816</v>
      </c>
      <c r="L1034" s="89">
        <v>40000</v>
      </c>
      <c r="M1034" s="202">
        <v>30</v>
      </c>
      <c r="N1034" s="39" t="s">
        <v>48</v>
      </c>
      <c r="O1034" s="39" t="s">
        <v>49</v>
      </c>
      <c r="P1034" s="135" t="s">
        <v>842</v>
      </c>
      <c r="Q1034" s="19">
        <v>175</v>
      </c>
      <c r="R1034" s="15">
        <f>Q1034/I1034</f>
        <v>0.109375</v>
      </c>
      <c r="S1034" s="5">
        <f>($AC1034*$AD1034)/(($Z1034/$Y1034)+($AA1034/$Z1034)+($AB1034/$AA1034))</f>
        <v>71.293161814488826</v>
      </c>
      <c r="U1034" s="109" t="s">
        <v>767</v>
      </c>
      <c r="V1034" s="10" t="s">
        <v>681</v>
      </c>
      <c r="W1034" s="205"/>
      <c r="Y1034" s="2">
        <v>2.5</v>
      </c>
      <c r="Z1034" s="2">
        <v>6.5</v>
      </c>
      <c r="AA1034" s="2">
        <v>15</v>
      </c>
      <c r="AB1034" s="2">
        <v>40</v>
      </c>
      <c r="AC1034" s="2">
        <v>30</v>
      </c>
      <c r="AD1034" s="2">
        <v>18</v>
      </c>
      <c r="AE1034" s="2">
        <f>AC1034*AD1034</f>
        <v>540</v>
      </c>
      <c r="AF1034" s="2">
        <f>Z1034/Y1034</f>
        <v>2.6</v>
      </c>
      <c r="AG1034" s="2">
        <f>AA1034/Z1034</f>
        <v>2.3076923076923075</v>
      </c>
      <c r="AH1034" s="2">
        <f>AB1034/AA1034</f>
        <v>2.6666666666666665</v>
      </c>
    </row>
    <row r="1035" spans="1:34">
      <c r="A1035" s="165" t="s">
        <v>1383</v>
      </c>
      <c r="B1035" s="39" t="s">
        <v>63</v>
      </c>
      <c r="C1035" s="47">
        <v>46195</v>
      </c>
      <c r="D1035" s="144">
        <v>0.5</v>
      </c>
      <c r="E1035" s="43"/>
      <c r="F1035" s="8" t="s">
        <v>135</v>
      </c>
      <c r="G1035" s="2">
        <v>1</v>
      </c>
      <c r="H1035" s="2">
        <v>9</v>
      </c>
      <c r="I1035" s="126">
        <v>130</v>
      </c>
      <c r="J1035" s="2" t="s">
        <v>766</v>
      </c>
      <c r="K1035" s="88" t="s">
        <v>773</v>
      </c>
      <c r="L1035" s="90">
        <v>10000</v>
      </c>
      <c r="M1035" s="8">
        <v>15</v>
      </c>
      <c r="N1035" s="132" t="s">
        <v>821</v>
      </c>
      <c r="O1035" s="39" t="s">
        <v>49</v>
      </c>
      <c r="P1035" s="210"/>
      <c r="Q1035" s="19">
        <v>30</v>
      </c>
      <c r="R1035" s="15">
        <f>Q1035/I1035</f>
        <v>0.23076923076923078</v>
      </c>
      <c r="S1035" s="5">
        <v>22</v>
      </c>
      <c r="U1035" s="109" t="s">
        <v>767</v>
      </c>
      <c r="V1035" s="71" t="s">
        <v>362</v>
      </c>
      <c r="W1035" s="8" t="s">
        <v>364</v>
      </c>
      <c r="Y1035" s="175"/>
      <c r="Z1035" s="175"/>
      <c r="AA1035" s="175"/>
      <c r="AB1035" s="175"/>
      <c r="AC1035" s="175"/>
      <c r="AD1035" s="175"/>
      <c r="AE1035" s="175"/>
      <c r="AF1035" s="175"/>
      <c r="AG1035" s="175"/>
      <c r="AH1035" s="175"/>
    </row>
    <row r="1036" spans="1:34">
      <c r="A1036" s="52" t="s">
        <v>229</v>
      </c>
      <c r="B1036" s="52" t="s">
        <v>230</v>
      </c>
      <c r="C1036" s="190">
        <v>46195</v>
      </c>
      <c r="D1036" s="42">
        <v>0.5</v>
      </c>
      <c r="E1036" s="43"/>
      <c r="F1036" s="194" t="s">
        <v>257</v>
      </c>
      <c r="G1036" s="2">
        <v>2</v>
      </c>
      <c r="I1036" s="126">
        <v>1100</v>
      </c>
      <c r="J1036" s="2" t="s">
        <v>766</v>
      </c>
      <c r="K1036" s="88" t="s">
        <v>788</v>
      </c>
      <c r="L1036" s="90">
        <v>40000</v>
      </c>
      <c r="M1036" s="46" t="s">
        <v>22</v>
      </c>
      <c r="N1036" s="39" t="s">
        <v>48</v>
      </c>
      <c r="O1036" s="39" t="s">
        <v>857</v>
      </c>
      <c r="P1036" s="19">
        <v>60000</v>
      </c>
      <c r="Q1036" s="2">
        <v>125</v>
      </c>
      <c r="R1036" s="15">
        <f>IF(Q1036&gt;0,Q1036/I1036,"")</f>
        <v>0.11363636363636363</v>
      </c>
      <c r="S1036" s="149" t="s">
        <v>110</v>
      </c>
      <c r="T1036" s="149"/>
      <c r="U1036" s="109" t="s">
        <v>767</v>
      </c>
      <c r="V1036" s="205" t="s">
        <v>719</v>
      </c>
      <c r="W1036" s="205"/>
      <c r="AE1036" s="2">
        <f>AC1036*AD1036</f>
        <v>0</v>
      </c>
      <c r="AF1036" s="2" t="e">
        <f>Z1036/Y1036</f>
        <v>#DIV/0!</v>
      </c>
      <c r="AG1036" s="2" t="e">
        <f>AA1036/Z1036</f>
        <v>#DIV/0!</v>
      </c>
      <c r="AH1036" s="2" t="e">
        <f>AB1036/AA1036</f>
        <v>#DIV/0!</v>
      </c>
    </row>
    <row r="1037" spans="1:34">
      <c r="A1037" s="52" t="s">
        <v>220</v>
      </c>
      <c r="B1037" s="52" t="s">
        <v>221</v>
      </c>
      <c r="C1037" s="51">
        <v>46195</v>
      </c>
      <c r="D1037" s="42">
        <v>0.5</v>
      </c>
      <c r="E1037" s="43"/>
      <c r="F1037" s="8" t="s">
        <v>1054</v>
      </c>
      <c r="G1037" s="2">
        <v>1</v>
      </c>
      <c r="H1037" s="2">
        <v>9</v>
      </c>
      <c r="I1037" s="126">
        <v>1100</v>
      </c>
      <c r="J1037" s="2" t="s">
        <v>766</v>
      </c>
      <c r="K1037" s="88" t="s">
        <v>778</v>
      </c>
      <c r="L1037" s="90">
        <v>20000</v>
      </c>
      <c r="M1037" s="8">
        <v>25</v>
      </c>
      <c r="N1037" s="39" t="s">
        <v>61</v>
      </c>
      <c r="O1037" s="39" t="s">
        <v>49</v>
      </c>
      <c r="P1037" s="131" t="s">
        <v>225</v>
      </c>
      <c r="Q1037" s="19">
        <v>125</v>
      </c>
      <c r="R1037" s="15">
        <f>Q1037/I1037</f>
        <v>0.11363636363636363</v>
      </c>
      <c r="S1037" s="5">
        <f>($AC1037*$AD1037)/(($Z1037/$Y1037)+($AA1037/$Z1037)+($AB1037/$AA1037))</f>
        <v>38.888888888888886</v>
      </c>
      <c r="U1037" s="109" t="s">
        <v>767</v>
      </c>
      <c r="V1037" s="2" t="s">
        <v>738</v>
      </c>
      <c r="W1037" s="205"/>
      <c r="Y1037" s="2">
        <v>2</v>
      </c>
      <c r="Z1037" s="2">
        <v>5</v>
      </c>
      <c r="AA1037" s="2">
        <v>20</v>
      </c>
      <c r="AB1037" s="2">
        <v>50</v>
      </c>
      <c r="AC1037" s="2">
        <v>14</v>
      </c>
      <c r="AD1037" s="2">
        <v>25</v>
      </c>
      <c r="AE1037" s="2">
        <f>AC1037*AD1037</f>
        <v>350</v>
      </c>
      <c r="AF1037" s="2">
        <f>Z1037/Y1037</f>
        <v>2.5</v>
      </c>
      <c r="AG1037" s="2">
        <f>AA1037/Z1037</f>
        <v>4</v>
      </c>
      <c r="AH1037" s="2">
        <f>AB1037/AA1037</f>
        <v>2.5</v>
      </c>
    </row>
    <row r="1038" spans="1:34">
      <c r="A1038" s="52" t="s">
        <v>220</v>
      </c>
      <c r="B1038" s="52" t="s">
        <v>221</v>
      </c>
      <c r="C1038" s="191">
        <v>46195</v>
      </c>
      <c r="D1038" s="42">
        <v>0.5</v>
      </c>
      <c r="E1038" s="43"/>
      <c r="F1038" s="8" t="s">
        <v>1049</v>
      </c>
      <c r="G1038" s="2">
        <v>3</v>
      </c>
      <c r="H1038" s="2">
        <v>9</v>
      </c>
      <c r="I1038" s="126">
        <v>10400</v>
      </c>
      <c r="J1038" s="2" t="s">
        <v>766</v>
      </c>
      <c r="K1038" s="88" t="s">
        <v>803</v>
      </c>
      <c r="L1038" s="90">
        <v>50000</v>
      </c>
      <c r="M1038" s="64">
        <v>60</v>
      </c>
      <c r="N1038" s="39" t="s">
        <v>48</v>
      </c>
      <c r="O1038" s="39" t="s">
        <v>49</v>
      </c>
      <c r="P1038" s="135" t="s">
        <v>850</v>
      </c>
      <c r="Q1038" s="19">
        <v>600</v>
      </c>
      <c r="R1038" s="15">
        <f>Q1038/I1038</f>
        <v>5.7692307692307696E-2</v>
      </c>
      <c r="S1038" s="5">
        <f>($AC1038*$AD1038)/(($Z1038/$Y1038)+($AA1038/$Z1038)+($AB1038/$AA1038))</f>
        <v>161.993769470405</v>
      </c>
      <c r="U1038" s="109" t="s">
        <v>767</v>
      </c>
      <c r="V1038" s="10" t="s">
        <v>738</v>
      </c>
      <c r="W1038" s="205"/>
      <c r="Y1038" s="2">
        <v>2</v>
      </c>
      <c r="Z1038" s="2">
        <v>5</v>
      </c>
      <c r="AA1038" s="2">
        <v>13</v>
      </c>
      <c r="AB1038" s="2">
        <v>30</v>
      </c>
      <c r="AC1038" s="2">
        <v>20</v>
      </c>
      <c r="AD1038" s="2">
        <v>60</v>
      </c>
      <c r="AE1038" s="2">
        <f>AC1038*AD1038</f>
        <v>1200</v>
      </c>
      <c r="AF1038" s="2">
        <f>Z1038/Y1038</f>
        <v>2.5</v>
      </c>
      <c r="AG1038" s="2">
        <f>AA1038/Z1038</f>
        <v>2.6</v>
      </c>
      <c r="AH1038" s="2">
        <f>AB1038/AA1038</f>
        <v>2.3076923076923075</v>
      </c>
    </row>
    <row r="1039" spans="1:34">
      <c r="A1039" s="95" t="s">
        <v>447</v>
      </c>
      <c r="B1039" s="95" t="s">
        <v>448</v>
      </c>
      <c r="C1039" s="190">
        <v>46195</v>
      </c>
      <c r="D1039" s="42">
        <v>0.54166666666666663</v>
      </c>
      <c r="E1039" s="43"/>
      <c r="F1039" s="8" t="s">
        <v>424</v>
      </c>
      <c r="G1039" s="2">
        <v>1</v>
      </c>
      <c r="H1039" s="2">
        <v>8</v>
      </c>
      <c r="I1039" s="126">
        <v>800</v>
      </c>
      <c r="J1039" s="2" t="s">
        <v>766</v>
      </c>
      <c r="K1039" s="109" t="s">
        <v>602</v>
      </c>
      <c r="L1039" s="8">
        <v>30000</v>
      </c>
      <c r="M1039" s="8">
        <v>30</v>
      </c>
      <c r="N1039" s="39" t="s">
        <v>48</v>
      </c>
      <c r="O1039" s="39" t="s">
        <v>452</v>
      </c>
      <c r="P1039" s="63">
        <v>40000</v>
      </c>
      <c r="Q1039" s="2">
        <v>100</v>
      </c>
      <c r="R1039" s="15">
        <f>Q1039/I1039</f>
        <v>0.125</v>
      </c>
      <c r="S1039" s="176" t="s">
        <v>110</v>
      </c>
      <c r="T1039" s="176"/>
      <c r="U1039" s="109" t="s">
        <v>767</v>
      </c>
      <c r="V1039" s="2" t="s">
        <v>741</v>
      </c>
      <c r="W1039" s="205"/>
      <c r="AE1039" s="2">
        <f>AC1039*AD1039</f>
        <v>0</v>
      </c>
      <c r="AF1039" s="2" t="e">
        <f>Z1039/Y1039</f>
        <v>#DIV/0!</v>
      </c>
      <c r="AG1039" s="2" t="e">
        <f>AA1039/Z1039</f>
        <v>#DIV/0!</v>
      </c>
      <c r="AH1039" s="2" t="e">
        <f>AB1039/AA1039</f>
        <v>#DIV/0!</v>
      </c>
    </row>
    <row r="1040" spans="1:34">
      <c r="A1040" s="165" t="s">
        <v>1383</v>
      </c>
      <c r="B1040" s="36" t="s">
        <v>63</v>
      </c>
      <c r="C1040" s="41">
        <v>46195</v>
      </c>
      <c r="D1040" s="144">
        <v>0.54166666666666663</v>
      </c>
      <c r="E1040" s="194">
        <v>60</v>
      </c>
      <c r="F1040" s="8" t="s">
        <v>1189</v>
      </c>
      <c r="G1040" s="2">
        <v>5</v>
      </c>
      <c r="H1040" s="2">
        <v>7</v>
      </c>
      <c r="I1040" s="45">
        <v>50000</v>
      </c>
      <c r="J1040" s="2" t="s">
        <v>110</v>
      </c>
      <c r="K1040" s="109" t="s">
        <v>598</v>
      </c>
      <c r="L1040" s="89">
        <v>300000</v>
      </c>
      <c r="M1040" s="202">
        <v>100</v>
      </c>
      <c r="N1040" s="39" t="s">
        <v>48</v>
      </c>
      <c r="O1040" s="39" t="s">
        <v>863</v>
      </c>
      <c r="P1040" s="19"/>
      <c r="Q1040" s="38">
        <f>R1040*I1040</f>
        <v>2500</v>
      </c>
      <c r="R1040" s="15">
        <v>0.05</v>
      </c>
      <c r="S1040" s="149" t="s">
        <v>110</v>
      </c>
      <c r="T1040" s="149"/>
      <c r="U1040" s="109" t="s">
        <v>767</v>
      </c>
      <c r="V1040" s="2" t="s">
        <v>121</v>
      </c>
      <c r="W1040" s="205"/>
      <c r="AE1040" s="2" t="e">
        <f>AD1040*#REF!</f>
        <v>#REF!</v>
      </c>
      <c r="AF1040" s="2" t="e">
        <f>Z1040/Y1040</f>
        <v>#DIV/0!</v>
      </c>
      <c r="AG1040" s="2" t="e">
        <f>AA1040/Z1040</f>
        <v>#DIV/0!</v>
      </c>
      <c r="AH1040" s="2" t="e">
        <f>AC1040/AA1040</f>
        <v>#DIV/0!</v>
      </c>
    </row>
    <row r="1041" spans="1:34">
      <c r="A1041" s="165" t="s">
        <v>1383</v>
      </c>
      <c r="B1041" s="39" t="s">
        <v>63</v>
      </c>
      <c r="C1041" s="41">
        <v>46195</v>
      </c>
      <c r="D1041" s="144">
        <v>0.54166666666666663</v>
      </c>
      <c r="E1041" s="194"/>
      <c r="F1041" s="8" t="s">
        <v>881</v>
      </c>
      <c r="G1041" s="2">
        <v>1</v>
      </c>
      <c r="H1041" s="2">
        <v>9</v>
      </c>
      <c r="I1041" s="45">
        <v>250</v>
      </c>
      <c r="J1041" s="2" t="s">
        <v>766</v>
      </c>
      <c r="K1041" s="88" t="s">
        <v>787</v>
      </c>
      <c r="L1041" s="89">
        <v>25000</v>
      </c>
      <c r="M1041" s="205">
        <v>30</v>
      </c>
      <c r="N1041" s="39" t="s">
        <v>817</v>
      </c>
      <c r="O1041" s="39" t="s">
        <v>49</v>
      </c>
      <c r="P1041" s="210"/>
      <c r="Q1041" s="19">
        <v>50</v>
      </c>
      <c r="R1041" s="15">
        <f>Q1041/I1041</f>
        <v>0.2</v>
      </c>
      <c r="S1041" s="5">
        <v>44</v>
      </c>
      <c r="U1041" s="109" t="s">
        <v>767</v>
      </c>
      <c r="V1041" s="71" t="s">
        <v>360</v>
      </c>
      <c r="Y1041" s="175"/>
      <c r="Z1041" s="175"/>
      <c r="AA1041" s="175"/>
      <c r="AB1041" s="175"/>
      <c r="AC1041" s="175"/>
      <c r="AD1041" s="175"/>
      <c r="AE1041" s="175"/>
      <c r="AF1041" s="175"/>
      <c r="AG1041" s="175"/>
      <c r="AH1041" s="175"/>
    </row>
    <row r="1042" spans="1:34">
      <c r="A1042" s="96" t="s">
        <v>461</v>
      </c>
      <c r="B1042" s="96" t="s">
        <v>462</v>
      </c>
      <c r="C1042" s="41">
        <v>46195</v>
      </c>
      <c r="D1042" s="42">
        <v>0.59027777777777779</v>
      </c>
      <c r="E1042" s="43"/>
      <c r="F1042" s="8" t="s">
        <v>455</v>
      </c>
      <c r="G1042" s="2">
        <v>1</v>
      </c>
      <c r="I1042" s="126">
        <v>120</v>
      </c>
      <c r="J1042" s="2" t="s">
        <v>766</v>
      </c>
      <c r="K1042" s="109" t="s">
        <v>603</v>
      </c>
      <c r="L1042" s="8">
        <v>20000</v>
      </c>
      <c r="M1042" s="202">
        <v>20</v>
      </c>
      <c r="N1042" s="39" t="s">
        <v>736</v>
      </c>
      <c r="O1042" s="39" t="s">
        <v>49</v>
      </c>
      <c r="P1042" s="135" t="s">
        <v>829</v>
      </c>
      <c r="Q1042" s="19">
        <v>24</v>
      </c>
      <c r="R1042" s="15">
        <f>Q1042/I1042</f>
        <v>0.2</v>
      </c>
      <c r="S1042" s="178" t="s">
        <v>110</v>
      </c>
      <c r="T1042" s="120"/>
      <c r="U1042" s="109" t="s">
        <v>736</v>
      </c>
      <c r="V1042" s="2" t="s">
        <v>735</v>
      </c>
      <c r="AE1042" s="2">
        <f>AC1042*AD1042</f>
        <v>0</v>
      </c>
      <c r="AF1042" s="2" t="e">
        <f>Z1042/Y1042</f>
        <v>#DIV/0!</v>
      </c>
      <c r="AG1042" s="2" t="e">
        <f>AA1042/Z1042</f>
        <v>#DIV/0!</v>
      </c>
      <c r="AH1042" s="2" t="e">
        <f>AB1042/AA1042</f>
        <v>#DIV/0!</v>
      </c>
    </row>
    <row r="1043" spans="1:34">
      <c r="A1043" s="165" t="s">
        <v>1383</v>
      </c>
      <c r="B1043" s="39" t="s">
        <v>63</v>
      </c>
      <c r="C1043" s="41">
        <v>46195</v>
      </c>
      <c r="D1043" s="144">
        <v>0.625</v>
      </c>
      <c r="E1043" s="43"/>
      <c r="F1043" s="8" t="s">
        <v>912</v>
      </c>
      <c r="G1043" s="2">
        <v>1</v>
      </c>
      <c r="H1043" s="2">
        <v>9</v>
      </c>
      <c r="I1043" s="45">
        <v>240</v>
      </c>
      <c r="J1043" s="2" t="s">
        <v>766</v>
      </c>
      <c r="K1043" s="88" t="s">
        <v>784</v>
      </c>
      <c r="L1043" s="92">
        <v>10000</v>
      </c>
      <c r="M1043" s="69">
        <v>20</v>
      </c>
      <c r="N1043" s="132" t="s">
        <v>821</v>
      </c>
      <c r="O1043" s="39" t="s">
        <v>49</v>
      </c>
      <c r="P1043" s="130"/>
      <c r="Q1043" s="19">
        <v>40</v>
      </c>
      <c r="R1043" s="15">
        <v>0.16666666666666666</v>
      </c>
      <c r="S1043" s="5">
        <v>29</v>
      </c>
      <c r="U1043" s="109" t="s">
        <v>767</v>
      </c>
      <c r="V1043" s="71" t="s">
        <v>362</v>
      </c>
      <c r="W1043" s="8" t="s">
        <v>367</v>
      </c>
      <c r="Y1043" s="175"/>
      <c r="Z1043" s="175"/>
      <c r="AA1043" s="175"/>
      <c r="AB1043" s="175"/>
      <c r="AC1043" s="175"/>
      <c r="AD1043" s="175"/>
      <c r="AE1043" s="175"/>
      <c r="AF1043" s="175"/>
      <c r="AG1043" s="175"/>
      <c r="AH1043" s="175"/>
    </row>
    <row r="1044" spans="1:34">
      <c r="A1044" s="165" t="s">
        <v>1383</v>
      </c>
      <c r="B1044" s="39" t="s">
        <v>63</v>
      </c>
      <c r="C1044" s="190">
        <v>46195</v>
      </c>
      <c r="D1044" s="144">
        <v>0.66666666666666663</v>
      </c>
      <c r="E1044" s="43"/>
      <c r="F1044" s="8" t="s">
        <v>366</v>
      </c>
      <c r="G1044" s="2">
        <v>1</v>
      </c>
      <c r="H1044" s="2">
        <v>9</v>
      </c>
      <c r="I1044" s="126">
        <v>240</v>
      </c>
      <c r="J1044" s="2" t="s">
        <v>766</v>
      </c>
      <c r="K1044" s="88" t="s">
        <v>790</v>
      </c>
      <c r="L1044" s="90">
        <v>10000</v>
      </c>
      <c r="M1044" s="8">
        <v>20</v>
      </c>
      <c r="N1044" s="132" t="s">
        <v>821</v>
      </c>
      <c r="O1044" s="39" t="s">
        <v>49</v>
      </c>
      <c r="P1044" s="210"/>
      <c r="Q1044" s="19">
        <v>40</v>
      </c>
      <c r="R1044" s="15">
        <f>Q1044/I1044</f>
        <v>0.16666666666666666</v>
      </c>
      <c r="S1044" s="5">
        <v>29</v>
      </c>
      <c r="U1044" s="109" t="s">
        <v>767</v>
      </c>
      <c r="V1044" s="71" t="s">
        <v>362</v>
      </c>
      <c r="W1044" s="8" t="s">
        <v>365</v>
      </c>
      <c r="Y1044" s="175"/>
      <c r="Z1044" s="175"/>
      <c r="AA1044" s="175"/>
      <c r="AB1044" s="175"/>
      <c r="AC1044" s="175"/>
      <c r="AD1044" s="175"/>
      <c r="AE1044" s="175"/>
      <c r="AF1044" s="175"/>
      <c r="AG1044" s="175"/>
      <c r="AH1044" s="175"/>
    </row>
    <row r="1045" spans="1:34">
      <c r="A1045" s="165" t="s">
        <v>1383</v>
      </c>
      <c r="B1045" s="39" t="s">
        <v>63</v>
      </c>
      <c r="C1045" s="41">
        <v>46195</v>
      </c>
      <c r="D1045" s="144">
        <v>0.66666666666666663</v>
      </c>
      <c r="E1045" s="194"/>
      <c r="F1045" s="8" t="s">
        <v>1024</v>
      </c>
      <c r="G1045" s="2">
        <v>1</v>
      </c>
      <c r="H1045" s="2">
        <v>9</v>
      </c>
      <c r="I1045" s="45">
        <v>400</v>
      </c>
      <c r="J1045" s="2" t="s">
        <v>766</v>
      </c>
      <c r="K1045" s="88" t="s">
        <v>794</v>
      </c>
      <c r="L1045" s="89">
        <v>30000</v>
      </c>
      <c r="M1045" s="205">
        <v>20</v>
      </c>
      <c r="N1045" s="39" t="s">
        <v>817</v>
      </c>
      <c r="O1045" s="39" t="s">
        <v>49</v>
      </c>
      <c r="P1045" s="210"/>
      <c r="Q1045" s="19">
        <v>70</v>
      </c>
      <c r="R1045" s="15">
        <f>Q1045/I1045</f>
        <v>0.17499999999999999</v>
      </c>
      <c r="S1045" s="5">
        <v>37</v>
      </c>
      <c r="U1045" s="109" t="s">
        <v>129</v>
      </c>
      <c r="V1045" s="71" t="s">
        <v>360</v>
      </c>
      <c r="Y1045" s="175"/>
      <c r="Z1045" s="175"/>
      <c r="AA1045" s="175"/>
      <c r="AB1045" s="175"/>
      <c r="AC1045" s="175"/>
      <c r="AD1045" s="175"/>
      <c r="AE1045" s="175"/>
      <c r="AF1045" s="175"/>
      <c r="AG1045" s="175"/>
      <c r="AH1045" s="175"/>
    </row>
    <row r="1046" spans="1:34">
      <c r="A1046" s="52" t="s">
        <v>229</v>
      </c>
      <c r="B1046" s="52" t="s">
        <v>230</v>
      </c>
      <c r="C1046" s="190">
        <v>46195</v>
      </c>
      <c r="D1046" s="42">
        <v>0.66666666666666663</v>
      </c>
      <c r="E1046" s="43"/>
      <c r="F1046" s="8" t="s">
        <v>122</v>
      </c>
      <c r="G1046" s="2">
        <v>1</v>
      </c>
      <c r="I1046" s="126">
        <v>240</v>
      </c>
      <c r="J1046" s="2" t="s">
        <v>766</v>
      </c>
      <c r="K1046" s="88" t="s">
        <v>795</v>
      </c>
      <c r="L1046" s="90">
        <v>30000</v>
      </c>
      <c r="M1046" s="8">
        <v>20</v>
      </c>
      <c r="N1046" s="39" t="s">
        <v>48</v>
      </c>
      <c r="O1046" s="39" t="s">
        <v>122</v>
      </c>
      <c r="P1046" s="19">
        <v>10000</v>
      </c>
      <c r="Q1046" s="2">
        <v>40</v>
      </c>
      <c r="R1046" s="15">
        <f>IF(Q1046&gt;0,Q1046/I1046,"")</f>
        <v>0.16666666666666666</v>
      </c>
      <c r="S1046" s="149" t="s">
        <v>110</v>
      </c>
      <c r="T1046" s="149"/>
      <c r="U1046" s="109" t="s">
        <v>767</v>
      </c>
      <c r="V1046" s="205" t="s">
        <v>719</v>
      </c>
      <c r="W1046" s="205"/>
      <c r="AE1046" s="2">
        <f>AC1046*AD1046</f>
        <v>0</v>
      </c>
      <c r="AF1046" s="2" t="e">
        <f>Z1046/Y1046</f>
        <v>#DIV/0!</v>
      </c>
      <c r="AG1046" s="2" t="e">
        <f>AA1046/Z1046</f>
        <v>#DIV/0!</v>
      </c>
      <c r="AH1046" s="2" t="e">
        <f>AB1046/AA1046</f>
        <v>#DIV/0!</v>
      </c>
    </row>
    <row r="1047" spans="1:34">
      <c r="A1047" s="165" t="s">
        <v>1383</v>
      </c>
      <c r="B1047" s="39" t="s">
        <v>63</v>
      </c>
      <c r="C1047" s="190">
        <v>46195</v>
      </c>
      <c r="D1047" s="144">
        <v>0.75</v>
      </c>
      <c r="E1047" s="43"/>
      <c r="F1047" s="46" t="s">
        <v>383</v>
      </c>
      <c r="G1047" s="2">
        <v>1</v>
      </c>
      <c r="I1047" s="126">
        <v>2750</v>
      </c>
      <c r="J1047" s="2" t="s">
        <v>766</v>
      </c>
      <c r="K1047" s="88" t="s">
        <v>800</v>
      </c>
      <c r="L1047" s="90">
        <v>20000</v>
      </c>
      <c r="M1047" s="8">
        <v>30</v>
      </c>
      <c r="N1047" s="132" t="s">
        <v>821</v>
      </c>
      <c r="O1047" s="39" t="s">
        <v>124</v>
      </c>
      <c r="P1047" s="210"/>
      <c r="Q1047" s="19">
        <f>250</f>
        <v>250</v>
      </c>
      <c r="R1047" s="15">
        <f>Q1047/I1047</f>
        <v>9.0909090909090912E-2</v>
      </c>
      <c r="S1047" s="149" t="s">
        <v>110</v>
      </c>
      <c r="T1047" s="149"/>
      <c r="U1047" s="109" t="s">
        <v>767</v>
      </c>
      <c r="V1047" s="71" t="s">
        <v>362</v>
      </c>
      <c r="W1047" s="8" t="s">
        <v>144</v>
      </c>
      <c r="AE1047" s="2" t="e">
        <f>AD1047*#REF!</f>
        <v>#REF!</v>
      </c>
      <c r="AF1047" s="2" t="e">
        <f>Z1047/Y1047</f>
        <v>#DIV/0!</v>
      </c>
      <c r="AG1047" s="2" t="e">
        <f>AA1047/Z1047</f>
        <v>#DIV/0!</v>
      </c>
      <c r="AH1047" s="2" t="e">
        <f>AC1047/AA1047</f>
        <v>#DIV/0!</v>
      </c>
    </row>
    <row r="1048" spans="1:34">
      <c r="A1048" s="102" t="s">
        <v>475</v>
      </c>
      <c r="B1048" s="102" t="s">
        <v>476</v>
      </c>
      <c r="C1048" s="47">
        <v>46195</v>
      </c>
      <c r="D1048" s="42">
        <v>0.75</v>
      </c>
      <c r="E1048" s="194" t="s">
        <v>516</v>
      </c>
      <c r="F1048" s="8" t="s">
        <v>512</v>
      </c>
      <c r="G1048" s="2">
        <v>2</v>
      </c>
      <c r="H1048" s="2">
        <v>9</v>
      </c>
      <c r="I1048" s="126">
        <v>500</v>
      </c>
      <c r="J1048" s="2" t="s">
        <v>766</v>
      </c>
      <c r="K1048" s="109" t="s">
        <v>601</v>
      </c>
      <c r="L1048" s="105">
        <v>40000</v>
      </c>
      <c r="M1048" s="64" t="s">
        <v>22</v>
      </c>
      <c r="N1048" s="39" t="s">
        <v>48</v>
      </c>
      <c r="O1048" s="39" t="s">
        <v>49</v>
      </c>
      <c r="P1048" s="135" t="s">
        <v>841</v>
      </c>
      <c r="Q1048" s="19">
        <v>75</v>
      </c>
      <c r="R1048" s="15">
        <f>Q1048/I1048</f>
        <v>0.15</v>
      </c>
      <c r="S1048" s="5">
        <f>($AC1048*$AD1048)/(($Z1048/$Y1048)+($AA1048/$Z1048)+($AB1048/$AA1048))</f>
        <v>71.293161814488826</v>
      </c>
      <c r="U1048" s="109" t="s">
        <v>55</v>
      </c>
      <c r="V1048" s="2" t="s">
        <v>634</v>
      </c>
      <c r="Y1048" s="2">
        <v>2.5</v>
      </c>
      <c r="Z1048" s="2">
        <v>6.5</v>
      </c>
      <c r="AA1048" s="2">
        <v>15</v>
      </c>
      <c r="AB1048" s="2">
        <v>40</v>
      </c>
      <c r="AC1048" s="2">
        <v>30</v>
      </c>
      <c r="AD1048" s="2">
        <v>18</v>
      </c>
      <c r="AE1048" s="2">
        <f>AC1048*AD1048</f>
        <v>540</v>
      </c>
      <c r="AF1048" s="2">
        <f>Z1048/Y1048</f>
        <v>2.6</v>
      </c>
      <c r="AG1048" s="2">
        <f>AA1048/Z1048</f>
        <v>2.3076923076923075</v>
      </c>
      <c r="AH1048" s="2">
        <f>AB1048/AA1048</f>
        <v>2.6666666666666665</v>
      </c>
    </row>
    <row r="1049" spans="1:34">
      <c r="A1049" s="52" t="s">
        <v>229</v>
      </c>
      <c r="B1049" s="52" t="s">
        <v>230</v>
      </c>
      <c r="C1049" s="190">
        <v>46195</v>
      </c>
      <c r="D1049" s="42">
        <v>0.75</v>
      </c>
      <c r="E1049" s="43"/>
      <c r="F1049" s="8" t="s">
        <v>244</v>
      </c>
      <c r="G1049" s="2">
        <v>1</v>
      </c>
      <c r="I1049" s="126">
        <v>200</v>
      </c>
      <c r="J1049" s="2" t="s">
        <v>766</v>
      </c>
      <c r="K1049" s="88" t="s">
        <v>804</v>
      </c>
      <c r="L1049" s="90">
        <v>30000</v>
      </c>
      <c r="M1049" s="8">
        <v>20</v>
      </c>
      <c r="N1049" s="39" t="s">
        <v>48</v>
      </c>
      <c r="O1049" s="39" t="s">
        <v>49</v>
      </c>
      <c r="P1049" s="135" t="s">
        <v>832</v>
      </c>
      <c r="Q1049" s="19">
        <v>40</v>
      </c>
      <c r="R1049" s="15">
        <f>IF(Q1049&gt;0,Q1049/I1049,"")</f>
        <v>0.2</v>
      </c>
      <c r="S1049" s="5">
        <f>($AC1049*$AD1049)/(($Z1049/$Y1049)+($AA1049/$Z1049)+($AB1049/$AA1049))</f>
        <v>35.555555555555557</v>
      </c>
      <c r="U1049" s="109" t="s">
        <v>767</v>
      </c>
      <c r="V1049" s="205" t="s">
        <v>719</v>
      </c>
      <c r="W1049" s="205"/>
      <c r="Y1049" s="2">
        <v>2</v>
      </c>
      <c r="Z1049" s="2">
        <v>5</v>
      </c>
      <c r="AA1049" s="2">
        <v>20</v>
      </c>
      <c r="AB1049" s="2">
        <v>50</v>
      </c>
      <c r="AC1049" s="2">
        <v>20</v>
      </c>
      <c r="AD1049" s="2">
        <v>16</v>
      </c>
      <c r="AE1049" s="2">
        <f>AC1049*AD1049</f>
        <v>320</v>
      </c>
      <c r="AF1049" s="2">
        <f>Z1049/Y1049</f>
        <v>2.5</v>
      </c>
      <c r="AG1049" s="2">
        <f>AA1049/Z1049</f>
        <v>4</v>
      </c>
      <c r="AH1049" s="2">
        <f>AB1049/AA1049</f>
        <v>2.5</v>
      </c>
    </row>
    <row r="1050" spans="1:34">
      <c r="A1050" s="52" t="s">
        <v>220</v>
      </c>
      <c r="B1050" s="52" t="s">
        <v>221</v>
      </c>
      <c r="C1050" s="191">
        <v>46195</v>
      </c>
      <c r="D1050" s="42">
        <v>0.75</v>
      </c>
      <c r="E1050" s="43"/>
      <c r="F1050" s="8" t="s">
        <v>1059</v>
      </c>
      <c r="G1050" s="2">
        <v>1</v>
      </c>
      <c r="H1050" s="2">
        <v>9</v>
      </c>
      <c r="I1050" s="126">
        <v>1100</v>
      </c>
      <c r="J1050" s="2" t="s">
        <v>766</v>
      </c>
      <c r="K1050" s="88" t="s">
        <v>802</v>
      </c>
      <c r="L1050" s="90">
        <v>20000</v>
      </c>
      <c r="M1050" s="8">
        <v>25</v>
      </c>
      <c r="N1050" s="39" t="s">
        <v>61</v>
      </c>
      <c r="O1050" s="39" t="s">
        <v>49</v>
      </c>
      <c r="P1050" s="131" t="s">
        <v>225</v>
      </c>
      <c r="Q1050" s="19">
        <v>125</v>
      </c>
      <c r="R1050" s="15">
        <f>Q1050/I1050</f>
        <v>0.11363636363636363</v>
      </c>
      <c r="S1050" s="5">
        <f>($AC1050*$AD1050)/(($Z1050/$Y1050)+($AA1050/$Z1050)+($AB1050/$AA1050))</f>
        <v>38.888888888888886</v>
      </c>
      <c r="U1050" s="109" t="s">
        <v>767</v>
      </c>
      <c r="V1050" s="205" t="s">
        <v>738</v>
      </c>
      <c r="W1050" s="205"/>
      <c r="Y1050" s="2">
        <v>2</v>
      </c>
      <c r="Z1050" s="2">
        <v>5</v>
      </c>
      <c r="AA1050" s="2">
        <v>20</v>
      </c>
      <c r="AB1050" s="2">
        <v>50</v>
      </c>
      <c r="AC1050" s="2">
        <v>14</v>
      </c>
      <c r="AD1050" s="2">
        <v>25</v>
      </c>
      <c r="AE1050" s="2">
        <f>AC1050*AD1050</f>
        <v>350</v>
      </c>
      <c r="AF1050" s="2">
        <f>Z1050/Y1050</f>
        <v>2.5</v>
      </c>
      <c r="AG1050" s="2">
        <f>AA1050/Z1050</f>
        <v>4</v>
      </c>
      <c r="AH1050" s="2">
        <f>AB1050/AA1050</f>
        <v>2.5</v>
      </c>
    </row>
    <row r="1051" spans="1:34">
      <c r="A1051" s="96" t="s">
        <v>461</v>
      </c>
      <c r="B1051" s="96" t="s">
        <v>462</v>
      </c>
      <c r="C1051" s="41">
        <v>46195</v>
      </c>
      <c r="D1051" s="42">
        <v>0.75694444444444442</v>
      </c>
      <c r="E1051" s="43"/>
      <c r="F1051" s="8" t="s">
        <v>468</v>
      </c>
      <c r="G1051" s="2">
        <v>2</v>
      </c>
      <c r="I1051" s="126">
        <v>300</v>
      </c>
      <c r="J1051" s="2" t="s">
        <v>766</v>
      </c>
      <c r="K1051" s="109" t="s">
        <v>598</v>
      </c>
      <c r="L1051" s="8">
        <v>30000</v>
      </c>
      <c r="M1051" s="202">
        <v>30</v>
      </c>
      <c r="N1051" s="39" t="s">
        <v>48</v>
      </c>
      <c r="O1051" s="39" t="s">
        <v>49</v>
      </c>
      <c r="P1051" s="135" t="s">
        <v>842</v>
      </c>
      <c r="Q1051" s="19">
        <v>65</v>
      </c>
      <c r="R1051" s="15">
        <f>Q1051/I1051</f>
        <v>0.21666666666666667</v>
      </c>
      <c r="S1051" s="5">
        <f>($AC1051*$AD1051)/(($Z1051/$Y1051)+($AA1051/$Z1051)+($AB1051/$AA1051))</f>
        <v>53.333333333333336</v>
      </c>
      <c r="U1051" s="109" t="s">
        <v>767</v>
      </c>
      <c r="V1051" s="205" t="s">
        <v>735</v>
      </c>
      <c r="W1051" s="205"/>
      <c r="Y1051" s="2">
        <v>2</v>
      </c>
      <c r="Z1051" s="2">
        <v>5</v>
      </c>
      <c r="AA1051" s="2">
        <v>20</v>
      </c>
      <c r="AB1051" s="2">
        <v>50</v>
      </c>
      <c r="AC1051" s="2">
        <v>16</v>
      </c>
      <c r="AD1051" s="2">
        <v>30</v>
      </c>
      <c r="AE1051" s="2">
        <f>AC1051*AD1051</f>
        <v>480</v>
      </c>
      <c r="AF1051" s="2">
        <f>Z1051/Y1051</f>
        <v>2.5</v>
      </c>
      <c r="AG1051" s="2">
        <f>AA1051/Z1051</f>
        <v>4</v>
      </c>
      <c r="AH1051" s="2">
        <f>AB1051/AA1051</f>
        <v>2.5</v>
      </c>
    </row>
    <row r="1052" spans="1:34">
      <c r="A1052" s="68" t="s">
        <v>357</v>
      </c>
      <c r="B1052" s="68" t="s">
        <v>358</v>
      </c>
      <c r="C1052" s="191">
        <v>46195</v>
      </c>
      <c r="D1052" s="42">
        <v>0.75694444444444442</v>
      </c>
      <c r="E1052" s="194">
        <v>63</v>
      </c>
      <c r="F1052" s="63" t="s">
        <v>290</v>
      </c>
      <c r="G1052" s="2">
        <v>1</v>
      </c>
      <c r="H1052" s="2">
        <v>9</v>
      </c>
      <c r="I1052" s="126">
        <v>600</v>
      </c>
      <c r="J1052" s="2" t="s">
        <v>766</v>
      </c>
      <c r="K1052" s="137" t="s">
        <v>602</v>
      </c>
      <c r="L1052" s="89">
        <v>25000</v>
      </c>
      <c r="M1052" s="202">
        <v>30</v>
      </c>
      <c r="N1052" s="39" t="s">
        <v>48</v>
      </c>
      <c r="O1052" s="39" t="s">
        <v>49</v>
      </c>
      <c r="P1052" s="212" t="s">
        <v>836</v>
      </c>
      <c r="Q1052" s="19">
        <v>80</v>
      </c>
      <c r="R1052" s="15">
        <f>Q1052/I1052</f>
        <v>0.13333333333333333</v>
      </c>
      <c r="S1052" s="5">
        <f>($AC1052*$AD1052)/(($Z1052/$Y1052)+($AA1052/$Z1052)+($AB1052/$AA1052))</f>
        <v>55.03292568203198</v>
      </c>
      <c r="U1052" s="109" t="s">
        <v>219</v>
      </c>
      <c r="V1052" s="2" t="s">
        <v>662</v>
      </c>
      <c r="W1052" s="87" t="s">
        <v>389</v>
      </c>
      <c r="Y1052" s="2">
        <v>2.5</v>
      </c>
      <c r="Z1052" s="2">
        <v>6.5</v>
      </c>
      <c r="AA1052" s="2">
        <v>20</v>
      </c>
      <c r="AB1052" s="2">
        <v>50</v>
      </c>
      <c r="AC1052" s="2">
        <v>30</v>
      </c>
      <c r="AD1052" s="2">
        <v>15</v>
      </c>
      <c r="AE1052" s="2">
        <f>AC1052*AD1052</f>
        <v>450</v>
      </c>
      <c r="AF1052" s="2">
        <f>Z1052/Y1052</f>
        <v>2.6</v>
      </c>
      <c r="AG1052" s="2">
        <f>AA1052/Z1052</f>
        <v>3.0769230769230771</v>
      </c>
      <c r="AH1052" s="2">
        <f>AB1052/AA1052</f>
        <v>2.5</v>
      </c>
    </row>
    <row r="1053" spans="1:34">
      <c r="A1053" s="95" t="s">
        <v>447</v>
      </c>
      <c r="B1053" s="95" t="s">
        <v>448</v>
      </c>
      <c r="C1053" s="190">
        <v>46195</v>
      </c>
      <c r="D1053" s="42">
        <v>0.79166666666666663</v>
      </c>
      <c r="E1053" s="43"/>
      <c r="F1053" s="194" t="s">
        <v>403</v>
      </c>
      <c r="G1053" s="2">
        <v>1</v>
      </c>
      <c r="H1053" s="2">
        <v>9</v>
      </c>
      <c r="I1053" s="126">
        <v>300</v>
      </c>
      <c r="J1053" s="2" t="s">
        <v>766</v>
      </c>
      <c r="K1053" s="109" t="s">
        <v>602</v>
      </c>
      <c r="L1053" s="8">
        <v>25000</v>
      </c>
      <c r="M1053" s="8">
        <v>25</v>
      </c>
      <c r="N1053" s="39" t="s">
        <v>48</v>
      </c>
      <c r="O1053" s="39" t="s">
        <v>49</v>
      </c>
      <c r="P1053" s="212" t="s">
        <v>834</v>
      </c>
      <c r="Q1053" s="19">
        <v>50</v>
      </c>
      <c r="R1053" s="15">
        <f>Q1053/I1053</f>
        <v>0.16666666666666666</v>
      </c>
      <c r="S1053" s="5">
        <f>($AC1053*$AD1053)/(($Z1053/$Y1053)+($AA1053/$Z1053)+($AB1053/$AA1053))</f>
        <v>37.5</v>
      </c>
      <c r="U1053" s="109" t="s">
        <v>767</v>
      </c>
      <c r="V1053" s="10" t="s">
        <v>741</v>
      </c>
      <c r="Y1053" s="2">
        <v>2.5</v>
      </c>
      <c r="Z1053" s="2">
        <v>7.5</v>
      </c>
      <c r="AA1053" s="2">
        <v>25</v>
      </c>
      <c r="AB1053" s="2">
        <v>75</v>
      </c>
      <c r="AC1053" s="2">
        <v>14</v>
      </c>
      <c r="AD1053" s="2">
        <v>25</v>
      </c>
      <c r="AE1053" s="2">
        <f>AC1053*AD1053</f>
        <v>350</v>
      </c>
      <c r="AF1053" s="2">
        <f>Z1053/Y1053</f>
        <v>3</v>
      </c>
      <c r="AG1053" s="2">
        <f>AA1053/Z1053</f>
        <v>3.3333333333333335</v>
      </c>
      <c r="AH1053" s="2">
        <f>AB1053/AA1053</f>
        <v>3</v>
      </c>
    </row>
    <row r="1054" spans="1:34">
      <c r="A1054" s="165" t="s">
        <v>1383</v>
      </c>
      <c r="B1054" s="39" t="s">
        <v>63</v>
      </c>
      <c r="C1054" s="41">
        <v>46195</v>
      </c>
      <c r="D1054" s="144">
        <v>0.79166666666666663</v>
      </c>
      <c r="E1054" s="43"/>
      <c r="F1054" s="8" t="s">
        <v>917</v>
      </c>
      <c r="G1054" s="2">
        <v>1</v>
      </c>
      <c r="H1054" s="2">
        <v>9</v>
      </c>
      <c r="I1054" s="81">
        <v>585</v>
      </c>
      <c r="J1054" s="2" t="s">
        <v>766</v>
      </c>
      <c r="K1054" s="88" t="s">
        <v>800</v>
      </c>
      <c r="L1054" s="89">
        <v>10000</v>
      </c>
      <c r="M1054" s="202">
        <v>20</v>
      </c>
      <c r="N1054" s="132" t="s">
        <v>821</v>
      </c>
      <c r="O1054" s="39" t="s">
        <v>49</v>
      </c>
      <c r="P1054" s="210"/>
      <c r="Q1054" s="19">
        <v>89</v>
      </c>
      <c r="R1054" s="59">
        <f>Q1054/I1054</f>
        <v>0.15213675213675212</v>
      </c>
      <c r="S1054" s="5">
        <v>29</v>
      </c>
      <c r="U1054" s="109" t="s">
        <v>767</v>
      </c>
      <c r="V1054" s="84" t="s">
        <v>362</v>
      </c>
      <c r="W1054" s="8" t="s">
        <v>368</v>
      </c>
      <c r="Y1054" s="175"/>
      <c r="Z1054" s="175"/>
      <c r="AA1054" s="175"/>
      <c r="AB1054" s="175"/>
      <c r="AC1054" s="175"/>
      <c r="AD1054" s="175"/>
      <c r="AE1054" s="175"/>
      <c r="AF1054" s="175"/>
      <c r="AG1054" s="175"/>
      <c r="AH1054" s="175"/>
    </row>
    <row r="1055" spans="1:34">
      <c r="A1055" s="165" t="s">
        <v>1383</v>
      </c>
      <c r="B1055" s="39" t="s">
        <v>63</v>
      </c>
      <c r="C1055" s="41">
        <v>46195</v>
      </c>
      <c r="D1055" s="144">
        <v>0.83333333333333337</v>
      </c>
      <c r="E1055" s="194"/>
      <c r="F1055" s="8" t="s">
        <v>1023</v>
      </c>
      <c r="G1055" s="2">
        <v>1</v>
      </c>
      <c r="H1055" s="2">
        <v>9</v>
      </c>
      <c r="I1055" s="45">
        <v>200</v>
      </c>
      <c r="J1055" s="2" t="s">
        <v>766</v>
      </c>
      <c r="K1055" s="88" t="s">
        <v>806</v>
      </c>
      <c r="L1055" s="89">
        <v>20000</v>
      </c>
      <c r="M1055" s="205">
        <v>20</v>
      </c>
      <c r="N1055" s="39" t="s">
        <v>817</v>
      </c>
      <c r="O1055" s="39" t="s">
        <v>49</v>
      </c>
      <c r="P1055" s="210"/>
      <c r="Q1055" s="19">
        <v>45</v>
      </c>
      <c r="R1055" s="15">
        <f>Q1055/I1055</f>
        <v>0.22500000000000001</v>
      </c>
      <c r="S1055" s="5">
        <v>23</v>
      </c>
      <c r="U1055" s="109" t="s">
        <v>129</v>
      </c>
      <c r="V1055" s="21" t="s">
        <v>360</v>
      </c>
      <c r="Y1055" s="175"/>
      <c r="Z1055" s="175"/>
      <c r="AA1055" s="175"/>
      <c r="AB1055" s="175"/>
      <c r="AC1055" s="175"/>
      <c r="AD1055" s="175"/>
      <c r="AE1055" s="175"/>
      <c r="AF1055" s="175"/>
      <c r="AG1055" s="175"/>
      <c r="AH1055" s="175"/>
    </row>
    <row r="1056" spans="1:34">
      <c r="A1056" s="165" t="s">
        <v>1383</v>
      </c>
      <c r="B1056" s="39" t="s">
        <v>63</v>
      </c>
      <c r="C1056" s="41">
        <v>46195</v>
      </c>
      <c r="D1056" s="144">
        <v>0.91666666666666663</v>
      </c>
      <c r="E1056" s="43"/>
      <c r="F1056" s="8" t="s">
        <v>909</v>
      </c>
      <c r="G1056" s="2">
        <v>1</v>
      </c>
      <c r="H1056" s="2">
        <v>9</v>
      </c>
      <c r="I1056" s="45">
        <v>135</v>
      </c>
      <c r="J1056" s="2" t="s">
        <v>766</v>
      </c>
      <c r="K1056" s="88" t="s">
        <v>813</v>
      </c>
      <c r="L1056" s="89">
        <v>10000</v>
      </c>
      <c r="M1056" s="202">
        <v>15</v>
      </c>
      <c r="N1056" s="132" t="s">
        <v>821</v>
      </c>
      <c r="O1056" s="39" t="s">
        <v>49</v>
      </c>
      <c r="P1056" s="210"/>
      <c r="Q1056" s="19">
        <v>35</v>
      </c>
      <c r="R1056" s="15">
        <f>Q1056/I1056</f>
        <v>0.25925925925925924</v>
      </c>
      <c r="S1056" s="5">
        <v>22</v>
      </c>
      <c r="U1056" s="109" t="s">
        <v>767</v>
      </c>
      <c r="V1056" s="71" t="s">
        <v>362</v>
      </c>
      <c r="W1056" s="8" t="s">
        <v>369</v>
      </c>
      <c r="Y1056" s="175"/>
      <c r="Z1056" s="175"/>
      <c r="AA1056" s="175"/>
      <c r="AB1056" s="175"/>
      <c r="AC1056" s="175"/>
      <c r="AD1056" s="175"/>
      <c r="AE1056" s="175"/>
      <c r="AF1056" s="175"/>
      <c r="AG1056" s="175"/>
      <c r="AH1056" s="175"/>
    </row>
    <row r="1057" spans="1:34">
      <c r="A1057" s="96" t="s">
        <v>461</v>
      </c>
      <c r="B1057" s="96" t="s">
        <v>462</v>
      </c>
      <c r="C1057" s="41">
        <v>46195</v>
      </c>
      <c r="D1057" s="42">
        <v>0.92361111111111116</v>
      </c>
      <c r="E1057" s="43"/>
      <c r="F1057" s="8" t="s">
        <v>456</v>
      </c>
      <c r="G1057" s="2">
        <v>1</v>
      </c>
      <c r="I1057" s="126">
        <v>120</v>
      </c>
      <c r="J1057" s="2" t="s">
        <v>766</v>
      </c>
      <c r="K1057" s="109" t="s">
        <v>737</v>
      </c>
      <c r="L1057" s="8">
        <v>20000</v>
      </c>
      <c r="M1057" s="202">
        <v>15</v>
      </c>
      <c r="N1057" s="39" t="s">
        <v>48</v>
      </c>
      <c r="O1057" s="39" t="s">
        <v>49</v>
      </c>
      <c r="P1057" s="135" t="s">
        <v>827</v>
      </c>
      <c r="Q1057" s="19">
        <v>24</v>
      </c>
      <c r="R1057" s="15">
        <f>Q1057/I1057</f>
        <v>0.2</v>
      </c>
      <c r="S1057" s="5">
        <f>($AC1057*$AD1057)/(($Z1057/$Y1057)+($AA1057/$Z1057)+($AB1057/$AA1057))</f>
        <v>25.161290322580644</v>
      </c>
      <c r="U1057" s="109" t="s">
        <v>463</v>
      </c>
      <c r="V1057" s="10" t="s">
        <v>735</v>
      </c>
      <c r="W1057" s="205" t="s">
        <v>464</v>
      </c>
      <c r="Y1057" s="2">
        <v>2.5</v>
      </c>
      <c r="Z1057" s="2">
        <v>7.5</v>
      </c>
      <c r="AA1057" s="2">
        <v>30</v>
      </c>
      <c r="AB1057" s="2">
        <v>100</v>
      </c>
      <c r="AC1057" s="2">
        <v>13</v>
      </c>
      <c r="AD1057" s="2">
        <v>20</v>
      </c>
      <c r="AE1057" s="2">
        <f>AC1057*AD1057</f>
        <v>260</v>
      </c>
      <c r="AF1057" s="2">
        <f>Z1057/Y1057</f>
        <v>3</v>
      </c>
      <c r="AG1057" s="2">
        <f>AA1057/Z1057</f>
        <v>4</v>
      </c>
      <c r="AH1057" s="2">
        <f>AB1057/AA1057</f>
        <v>3.3333333333333335</v>
      </c>
    </row>
    <row r="1058" spans="1:34">
      <c r="A1058" s="165" t="s">
        <v>1383</v>
      </c>
      <c r="B1058" s="36" t="s">
        <v>63</v>
      </c>
      <c r="C1058" s="41">
        <v>46195</v>
      </c>
      <c r="D1058" s="144" t="s">
        <v>117</v>
      </c>
      <c r="E1058">
        <v>61</v>
      </c>
      <c r="F1058" s="8" t="s">
        <v>980</v>
      </c>
      <c r="G1058" s="2">
        <v>4</v>
      </c>
      <c r="H1058" s="2">
        <v>9</v>
      </c>
      <c r="I1058" s="45">
        <v>1000</v>
      </c>
      <c r="J1058" s="2" t="s">
        <v>760</v>
      </c>
      <c r="K1058" s="109" t="s">
        <v>602</v>
      </c>
      <c r="L1058" s="89">
        <v>20000</v>
      </c>
      <c r="M1058" s="202">
        <v>60</v>
      </c>
      <c r="N1058" s="39" t="s">
        <v>48</v>
      </c>
      <c r="O1058" s="39" t="s">
        <v>49</v>
      </c>
      <c r="P1058" s="210"/>
      <c r="Q1058" s="19">
        <f>R1058*I1058</f>
        <v>120</v>
      </c>
      <c r="R1058" s="15">
        <v>0.12</v>
      </c>
      <c r="S1058" s="5">
        <f>($AC1058*$AD1058)/(($Z1058/$Y1058)+($AA1058/$Z1058)+($AB1058/$AA1058))</f>
        <v>133.04347826086956</v>
      </c>
      <c r="U1058" s="109" t="s">
        <v>54</v>
      </c>
      <c r="V1058" s="205" t="s">
        <v>121</v>
      </c>
      <c r="Y1058" s="2">
        <v>1.5</v>
      </c>
      <c r="Z1058" s="2">
        <v>4</v>
      </c>
      <c r="AA1058" s="2">
        <v>10</v>
      </c>
      <c r="AB1058" s="2">
        <v>25</v>
      </c>
      <c r="AC1058" s="2">
        <v>17</v>
      </c>
      <c r="AD1058" s="2">
        <v>60</v>
      </c>
      <c r="AE1058" s="2">
        <f>AC1058*AD1058</f>
        <v>1020</v>
      </c>
      <c r="AF1058" s="2">
        <f>Z1058/Y1058</f>
        <v>2.6666666666666665</v>
      </c>
      <c r="AG1058" s="2">
        <f>AA1058/Z1058</f>
        <v>2.5</v>
      </c>
      <c r="AH1058" s="2">
        <f>AB1058/AA1058</f>
        <v>2.5</v>
      </c>
    </row>
    <row r="1059" spans="1:34">
      <c r="A1059" s="165" t="s">
        <v>1383</v>
      </c>
      <c r="B1059" s="36" t="s">
        <v>63</v>
      </c>
      <c r="C1059" s="41">
        <v>46195</v>
      </c>
      <c r="D1059" s="144" t="s">
        <v>115</v>
      </c>
      <c r="E1059" s="228">
        <v>57</v>
      </c>
      <c r="F1059" s="8" t="s">
        <v>185</v>
      </c>
      <c r="G1059" s="2">
        <v>3</v>
      </c>
      <c r="H1059" s="2">
        <v>8</v>
      </c>
      <c r="I1059" s="45">
        <v>1000</v>
      </c>
      <c r="J1059" s="2" t="s">
        <v>762</v>
      </c>
      <c r="K1059" s="109" t="s">
        <v>598</v>
      </c>
      <c r="L1059" s="89">
        <v>20000</v>
      </c>
      <c r="M1059" s="202" t="s">
        <v>97</v>
      </c>
      <c r="N1059" s="39" t="s">
        <v>48</v>
      </c>
      <c r="O1059" s="39" t="s">
        <v>57</v>
      </c>
      <c r="P1059" s="213"/>
      <c r="Q1059" s="38">
        <f>R1059*I1059</f>
        <v>120</v>
      </c>
      <c r="R1059" s="15">
        <v>0.12</v>
      </c>
      <c r="S1059" s="149" t="s">
        <v>110</v>
      </c>
      <c r="T1059" s="149"/>
      <c r="U1059" s="109" t="s">
        <v>767</v>
      </c>
      <c r="V1059" s="205" t="s">
        <v>121</v>
      </c>
      <c r="W1059" s="205"/>
      <c r="AE1059" s="2" t="e">
        <f>AD1059*#REF!</f>
        <v>#REF!</v>
      </c>
      <c r="AF1059" s="2" t="e">
        <f>Z1059/Y1059</f>
        <v>#DIV/0!</v>
      </c>
      <c r="AG1059" s="2" t="e">
        <f>AA1059/Z1059</f>
        <v>#DIV/0!</v>
      </c>
      <c r="AH1059" s="2" t="e">
        <f>AC1059/AA1059</f>
        <v>#DIV/0!</v>
      </c>
    </row>
    <row r="1060" spans="1:34">
      <c r="A1060" s="165" t="s">
        <v>1383</v>
      </c>
      <c r="B1060" s="36" t="s">
        <v>63</v>
      </c>
      <c r="C1060" s="41">
        <v>46195</v>
      </c>
      <c r="D1060" s="144" t="s">
        <v>116</v>
      </c>
      <c r="E1060" s="194">
        <v>62</v>
      </c>
      <c r="F1060" s="8" t="s">
        <v>981</v>
      </c>
      <c r="G1060" s="2">
        <v>3</v>
      </c>
      <c r="H1060" s="2">
        <v>9</v>
      </c>
      <c r="I1060" s="45">
        <v>2500</v>
      </c>
      <c r="J1060" s="2" t="s">
        <v>760</v>
      </c>
      <c r="K1060" s="109" t="s">
        <v>601</v>
      </c>
      <c r="L1060" s="89">
        <v>35000</v>
      </c>
      <c r="M1060" s="202" t="s">
        <v>97</v>
      </c>
      <c r="N1060" s="39" t="s">
        <v>48</v>
      </c>
      <c r="O1060" s="39" t="s">
        <v>49</v>
      </c>
      <c r="P1060" s="210"/>
      <c r="Q1060" s="19">
        <f>R1060*I1060</f>
        <v>275</v>
      </c>
      <c r="R1060" s="15">
        <v>0.11</v>
      </c>
      <c r="S1060" s="5">
        <f>($AC1060*$AD1060)/(($Z1060/$Y1060)+($AA1060/$Z1060)+($AB1060/$AA1060))</f>
        <v>99.130434782608702</v>
      </c>
      <c r="U1060" s="109" t="s">
        <v>767</v>
      </c>
      <c r="V1060" s="2" t="s">
        <v>121</v>
      </c>
      <c r="W1060" s="205"/>
      <c r="Y1060" s="2">
        <v>1.5</v>
      </c>
      <c r="Z1060" s="2">
        <v>4</v>
      </c>
      <c r="AA1060" s="2">
        <v>10</v>
      </c>
      <c r="AB1060" s="2">
        <v>25</v>
      </c>
      <c r="AC1060" s="2">
        <v>19</v>
      </c>
      <c r="AD1060" s="2">
        <v>40</v>
      </c>
      <c r="AE1060" s="2">
        <f>AC1060*AD1060</f>
        <v>760</v>
      </c>
      <c r="AF1060" s="2">
        <f>Z1060/Y1060</f>
        <v>2.6666666666666665</v>
      </c>
      <c r="AG1060" s="2">
        <f>AA1060/Z1060</f>
        <v>2.5</v>
      </c>
      <c r="AH1060" s="2">
        <f>AB1060/AA1060</f>
        <v>2.5</v>
      </c>
    </row>
    <row r="1061" spans="1:34">
      <c r="A1061" s="165" t="s">
        <v>1383</v>
      </c>
      <c r="B1061" s="36" t="s">
        <v>63</v>
      </c>
      <c r="C1061" s="41">
        <v>46195</v>
      </c>
      <c r="D1061" s="144" t="s">
        <v>876</v>
      </c>
      <c r="E1061" s="194">
        <v>58</v>
      </c>
      <c r="F1061" s="8" t="s">
        <v>1221</v>
      </c>
      <c r="G1061" s="2">
        <v>3</v>
      </c>
      <c r="H1061" s="2">
        <v>9</v>
      </c>
      <c r="I1061" s="45">
        <v>1500</v>
      </c>
      <c r="J1061" s="2" t="s">
        <v>760</v>
      </c>
      <c r="K1061" s="109" t="s">
        <v>598</v>
      </c>
      <c r="L1061" s="89">
        <v>25000</v>
      </c>
      <c r="M1061" s="202" t="s">
        <v>97</v>
      </c>
      <c r="N1061" s="39" t="s">
        <v>48</v>
      </c>
      <c r="O1061" s="39" t="s">
        <v>871</v>
      </c>
      <c r="P1061" s="213"/>
      <c r="Q1061" s="38">
        <f>R1061*I1061</f>
        <v>172.5</v>
      </c>
      <c r="R1061" s="15">
        <v>0.115</v>
      </c>
      <c r="S1061" s="149" t="s">
        <v>110</v>
      </c>
      <c r="T1061" s="149"/>
      <c r="U1061" s="109" t="s">
        <v>767</v>
      </c>
      <c r="V1061" s="205" t="s">
        <v>121</v>
      </c>
      <c r="W1061" s="205"/>
      <c r="AE1061" s="2" t="e">
        <f>AD1061*#REF!</f>
        <v>#REF!</v>
      </c>
      <c r="AF1061" s="2" t="e">
        <f>Z1061/Y1061</f>
        <v>#DIV/0!</v>
      </c>
      <c r="AG1061" s="2" t="e">
        <f>AA1061/Z1061</f>
        <v>#DIV/0!</v>
      </c>
      <c r="AH1061" s="2" t="e">
        <f>AC1061/AA1061</f>
        <v>#DIV/0!</v>
      </c>
    </row>
    <row r="1062" spans="1:34">
      <c r="A1062" s="96" t="s">
        <v>461</v>
      </c>
      <c r="B1062" s="96" t="s">
        <v>462</v>
      </c>
      <c r="C1062" s="41">
        <v>46196</v>
      </c>
      <c r="D1062" s="42">
        <v>0.4236111111111111</v>
      </c>
      <c r="E1062" s="43"/>
      <c r="F1062" s="8" t="s">
        <v>469</v>
      </c>
      <c r="G1062" s="2">
        <v>2</v>
      </c>
      <c r="I1062" s="126">
        <v>300</v>
      </c>
      <c r="J1062" s="2" t="s">
        <v>766</v>
      </c>
      <c r="K1062" s="109" t="s">
        <v>598</v>
      </c>
      <c r="L1062" s="8">
        <v>30000</v>
      </c>
      <c r="M1062" s="202">
        <v>30</v>
      </c>
      <c r="N1062" s="39" t="s">
        <v>48</v>
      </c>
      <c r="O1062" s="39" t="s">
        <v>49</v>
      </c>
      <c r="P1062" s="135" t="s">
        <v>842</v>
      </c>
      <c r="Q1062" s="19">
        <v>65</v>
      </c>
      <c r="R1062" s="15">
        <f>Q1062/I1062</f>
        <v>0.21666666666666667</v>
      </c>
      <c r="S1062" s="5">
        <f>($AC1062*$AD1062)/(($Z1062/$Y1062)+($AA1062/$Z1062)+($AB1062/$AA1062))</f>
        <v>53.333333333333336</v>
      </c>
      <c r="U1062" s="109" t="s">
        <v>767</v>
      </c>
      <c r="V1062" s="205" t="s">
        <v>735</v>
      </c>
      <c r="W1062" s="205"/>
      <c r="Y1062" s="2">
        <v>2</v>
      </c>
      <c r="Z1062" s="2">
        <v>5</v>
      </c>
      <c r="AA1062" s="2">
        <v>20</v>
      </c>
      <c r="AB1062" s="2">
        <v>50</v>
      </c>
      <c r="AC1062" s="2">
        <v>16</v>
      </c>
      <c r="AD1062" s="2">
        <v>30</v>
      </c>
      <c r="AE1062" s="2">
        <f>AC1062*AD1062</f>
        <v>480</v>
      </c>
      <c r="AF1062" s="2">
        <f>Z1062/Y1062</f>
        <v>2.5</v>
      </c>
      <c r="AG1062" s="2">
        <f>AA1062/Z1062</f>
        <v>4</v>
      </c>
      <c r="AH1062" s="2">
        <f>AB1062/AA1062</f>
        <v>2.5</v>
      </c>
    </row>
    <row r="1063" spans="1:34">
      <c r="A1063" s="95" t="s">
        <v>447</v>
      </c>
      <c r="B1063" s="95" t="s">
        <v>448</v>
      </c>
      <c r="C1063" s="190">
        <v>46196</v>
      </c>
      <c r="D1063" s="42">
        <v>0.45833333333333331</v>
      </c>
      <c r="E1063" s="43"/>
      <c r="F1063" s="8" t="s">
        <v>425</v>
      </c>
      <c r="G1063" s="2">
        <v>1</v>
      </c>
      <c r="H1063" s="2">
        <v>9</v>
      </c>
      <c r="I1063" s="126">
        <v>800</v>
      </c>
      <c r="J1063" s="2" t="s">
        <v>766</v>
      </c>
      <c r="K1063" s="109" t="s">
        <v>602</v>
      </c>
      <c r="L1063" s="8">
        <v>30000</v>
      </c>
      <c r="M1063" s="8">
        <v>30</v>
      </c>
      <c r="N1063" s="39" t="s">
        <v>48</v>
      </c>
      <c r="O1063" s="39" t="s">
        <v>49</v>
      </c>
      <c r="P1063" s="134" t="s">
        <v>839</v>
      </c>
      <c r="Q1063" s="19">
        <v>100</v>
      </c>
      <c r="R1063" s="15">
        <f>Q1063/I1063</f>
        <v>0.125</v>
      </c>
      <c r="S1063" s="5">
        <f>($AC1063*$AD1063)/(($Z1063/$Y1063)+($AA1063/$Z1063)+($AB1063/$AA1063))</f>
        <v>72.897196261682254</v>
      </c>
      <c r="U1063" s="109" t="s">
        <v>454</v>
      </c>
      <c r="V1063" s="205" t="s">
        <v>741</v>
      </c>
      <c r="W1063" s="205"/>
      <c r="Y1063" s="2">
        <v>2</v>
      </c>
      <c r="Z1063" s="2">
        <v>5</v>
      </c>
      <c r="AA1063" s="2">
        <v>13</v>
      </c>
      <c r="AB1063" s="2">
        <v>30</v>
      </c>
      <c r="AC1063" s="2">
        <v>18</v>
      </c>
      <c r="AD1063" s="2">
        <v>30</v>
      </c>
      <c r="AE1063" s="2">
        <f>AC1063*AD1063</f>
        <v>540</v>
      </c>
      <c r="AF1063" s="2">
        <f>Z1063/Y1063</f>
        <v>2.5</v>
      </c>
      <c r="AG1063" s="2">
        <f>AA1063/Z1063</f>
        <v>2.6</v>
      </c>
      <c r="AH1063" s="2">
        <f>AB1063/AA1063</f>
        <v>2.3076923076923075</v>
      </c>
    </row>
    <row r="1064" spans="1:34">
      <c r="A1064" s="103" t="s">
        <v>539</v>
      </c>
      <c r="B1064" s="103" t="s">
        <v>540</v>
      </c>
      <c r="C1064" s="191">
        <v>46196</v>
      </c>
      <c r="D1064" s="42">
        <v>0.45833333333333331</v>
      </c>
      <c r="E1064" s="49">
        <v>71</v>
      </c>
      <c r="F1064" s="63" t="s">
        <v>569</v>
      </c>
      <c r="G1064" s="2">
        <v>1</v>
      </c>
      <c r="H1064" s="2">
        <v>9</v>
      </c>
      <c r="I1064" s="126">
        <v>400</v>
      </c>
      <c r="J1064" s="179" t="s">
        <v>766</v>
      </c>
      <c r="K1064" s="179" t="s">
        <v>598</v>
      </c>
      <c r="L1064" s="89">
        <v>30000</v>
      </c>
      <c r="M1064" s="202">
        <v>30</v>
      </c>
      <c r="N1064" s="39" t="s">
        <v>48</v>
      </c>
      <c r="O1064" s="39" t="s">
        <v>49</v>
      </c>
      <c r="P1064" s="212" t="s">
        <v>834</v>
      </c>
      <c r="Q1064" s="19">
        <v>65</v>
      </c>
      <c r="R1064" s="15">
        <f>Q1064/I1064</f>
        <v>0.16250000000000001</v>
      </c>
      <c r="S1064" s="5">
        <f>($AC1064*$AD1064)/(($Z1064/$Y1064)+($AA1064/$Z1064)+($AB1064/$AA1064))</f>
        <v>53.333333333333336</v>
      </c>
      <c r="U1064" s="109" t="s">
        <v>54</v>
      </c>
      <c r="V1064" s="71" t="s">
        <v>1395</v>
      </c>
      <c r="Y1064" s="2">
        <v>2</v>
      </c>
      <c r="Z1064" s="2">
        <v>5</v>
      </c>
      <c r="AA1064" s="2">
        <v>20</v>
      </c>
      <c r="AB1064" s="2">
        <v>50</v>
      </c>
      <c r="AC1064" s="2">
        <v>16</v>
      </c>
      <c r="AD1064" s="2">
        <v>30</v>
      </c>
      <c r="AE1064" s="2">
        <f>AC1064*AD1064</f>
        <v>480</v>
      </c>
      <c r="AF1064" s="2">
        <f>Z1064/Y1064</f>
        <v>2.5</v>
      </c>
      <c r="AG1064" s="2">
        <f>AA1064/Z1064</f>
        <v>4</v>
      </c>
      <c r="AH1064" s="2">
        <f>AB1064/AA1064</f>
        <v>2.5</v>
      </c>
    </row>
    <row r="1065" spans="1:34">
      <c r="A1065" s="165" t="s">
        <v>1383</v>
      </c>
      <c r="B1065" s="36" t="s">
        <v>63</v>
      </c>
      <c r="C1065" s="41">
        <v>46196</v>
      </c>
      <c r="D1065" s="144">
        <v>0.45833333333333331</v>
      </c>
      <c r="E1065" s="228">
        <v>50</v>
      </c>
      <c r="F1065" s="8" t="s">
        <v>1130</v>
      </c>
      <c r="G1065" s="2">
        <v>5</v>
      </c>
      <c r="H1065" s="2">
        <v>9</v>
      </c>
      <c r="I1065" s="45">
        <v>1500</v>
      </c>
      <c r="J1065" s="2" t="s">
        <v>761</v>
      </c>
      <c r="K1065" s="109" t="s">
        <v>602</v>
      </c>
      <c r="L1065" s="89">
        <v>25000</v>
      </c>
      <c r="M1065" s="202">
        <v>60</v>
      </c>
      <c r="N1065" s="39" t="s">
        <v>48</v>
      </c>
      <c r="O1065" s="39" t="s">
        <v>49</v>
      </c>
      <c r="Q1065" s="19">
        <f>R1065*I1065</f>
        <v>172.5</v>
      </c>
      <c r="R1065" s="15">
        <v>0.115</v>
      </c>
      <c r="S1065" s="5">
        <f>($AC1065*$AD1065)/(($Z1065/$Y1065)+($AA1065/$Z1065)+($AB1065/$AA1065))</f>
        <v>140.86956521739131</v>
      </c>
      <c r="U1065" s="109" t="s">
        <v>767</v>
      </c>
      <c r="V1065" s="205" t="s">
        <v>121</v>
      </c>
      <c r="W1065" s="205"/>
      <c r="Y1065" s="2">
        <v>1.5</v>
      </c>
      <c r="Z1065" s="2">
        <v>4</v>
      </c>
      <c r="AA1065" s="2">
        <v>10</v>
      </c>
      <c r="AB1065" s="2">
        <v>25</v>
      </c>
      <c r="AC1065" s="2">
        <v>18</v>
      </c>
      <c r="AD1065" s="2">
        <v>60</v>
      </c>
      <c r="AE1065" s="2">
        <f>AC1065*AD1065</f>
        <v>1080</v>
      </c>
      <c r="AF1065" s="2">
        <f>Z1065/Y1065</f>
        <v>2.6666666666666665</v>
      </c>
      <c r="AG1065" s="2">
        <f>AA1065/Z1065</f>
        <v>2.5</v>
      </c>
      <c r="AH1065" s="2">
        <f>AB1065/AA1065</f>
        <v>2.5</v>
      </c>
    </row>
    <row r="1066" spans="1:34">
      <c r="A1066" s="165" t="s">
        <v>1383</v>
      </c>
      <c r="B1066" s="36" t="s">
        <v>63</v>
      </c>
      <c r="C1066" s="41">
        <v>46196</v>
      </c>
      <c r="D1066" s="144">
        <v>0.45833333333333331</v>
      </c>
      <c r="E1066">
        <v>61</v>
      </c>
      <c r="F1066" s="8" t="s">
        <v>1374</v>
      </c>
      <c r="G1066" s="2">
        <v>4</v>
      </c>
      <c r="H1066" s="2">
        <v>9</v>
      </c>
      <c r="I1066" s="45">
        <v>1000</v>
      </c>
      <c r="J1066" s="2" t="s">
        <v>760</v>
      </c>
      <c r="K1066" s="109" t="s">
        <v>602</v>
      </c>
      <c r="L1066" s="89">
        <v>20000</v>
      </c>
      <c r="M1066" s="54">
        <v>60</v>
      </c>
      <c r="N1066" s="39" t="s">
        <v>48</v>
      </c>
      <c r="O1066" s="39" t="s">
        <v>49</v>
      </c>
      <c r="Q1066" s="19">
        <f>R1066*I1066</f>
        <v>120</v>
      </c>
      <c r="R1066" s="15">
        <v>0.12</v>
      </c>
      <c r="S1066" s="5">
        <f>($AC1066*$AD1066)/(($Z1066/$Y1066)+($AA1066/$Z1066)+($AB1066/$AA1066))</f>
        <v>133.04347826086956</v>
      </c>
      <c r="U1066" s="109" t="s">
        <v>54</v>
      </c>
      <c r="V1066" s="2" t="s">
        <v>121</v>
      </c>
      <c r="Y1066" s="2">
        <v>1.5</v>
      </c>
      <c r="Z1066" s="2">
        <v>4</v>
      </c>
      <c r="AA1066" s="2">
        <v>10</v>
      </c>
      <c r="AB1066" s="2">
        <v>25</v>
      </c>
      <c r="AC1066" s="2">
        <v>17</v>
      </c>
      <c r="AD1066" s="2">
        <v>60</v>
      </c>
      <c r="AE1066" s="2">
        <f>AC1066*AD1066</f>
        <v>1020</v>
      </c>
      <c r="AF1066" s="2">
        <f>Z1066/Y1066</f>
        <v>2.6666666666666665</v>
      </c>
      <c r="AG1066" s="2">
        <f>AA1066/Z1066</f>
        <v>2.5</v>
      </c>
      <c r="AH1066" s="2">
        <f>AB1066/AA1066</f>
        <v>2.5</v>
      </c>
    </row>
    <row r="1067" spans="1:34">
      <c r="A1067" s="102" t="s">
        <v>475</v>
      </c>
      <c r="B1067" s="102" t="s">
        <v>476</v>
      </c>
      <c r="C1067" s="190">
        <v>46196</v>
      </c>
      <c r="D1067" s="42">
        <v>0.45833333333333331</v>
      </c>
      <c r="E1067" s="194" t="s">
        <v>517</v>
      </c>
      <c r="F1067" s="8" t="s">
        <v>492</v>
      </c>
      <c r="G1067" s="2">
        <v>2</v>
      </c>
      <c r="H1067" s="2">
        <v>9</v>
      </c>
      <c r="I1067" s="126">
        <v>400</v>
      </c>
      <c r="J1067" s="2" t="s">
        <v>766</v>
      </c>
      <c r="K1067" s="109" t="s">
        <v>601</v>
      </c>
      <c r="L1067" s="105">
        <v>30000</v>
      </c>
      <c r="M1067" s="64">
        <v>30</v>
      </c>
      <c r="N1067" s="39" t="s">
        <v>48</v>
      </c>
      <c r="O1067" s="39" t="s">
        <v>49</v>
      </c>
      <c r="P1067" s="212" t="s">
        <v>838</v>
      </c>
      <c r="Q1067" s="19">
        <v>70</v>
      </c>
      <c r="R1067" s="15">
        <f>Q1067/I1067</f>
        <v>0.17499999999999999</v>
      </c>
      <c r="S1067" s="5">
        <f>($AC1067*$AD1067)/(($Z1067/$Y1067)+($AA1067/$Z1067)+($AB1067/$AA1067))</f>
        <v>72.897196261682254</v>
      </c>
      <c r="U1067" s="109" t="s">
        <v>767</v>
      </c>
      <c r="V1067" s="2" t="s">
        <v>633</v>
      </c>
      <c r="Y1067" s="2">
        <v>2</v>
      </c>
      <c r="Z1067" s="2">
        <v>5</v>
      </c>
      <c r="AA1067" s="2">
        <v>13</v>
      </c>
      <c r="AB1067" s="2">
        <v>30</v>
      </c>
      <c r="AC1067" s="2">
        <v>30</v>
      </c>
      <c r="AD1067" s="2">
        <v>18</v>
      </c>
      <c r="AE1067" s="2">
        <f>AC1067*AD1067</f>
        <v>540</v>
      </c>
      <c r="AF1067" s="2">
        <f>Z1067/Y1067</f>
        <v>2.5</v>
      </c>
      <c r="AG1067" s="2">
        <f>AA1067/Z1067</f>
        <v>2.6</v>
      </c>
      <c r="AH1067" s="2">
        <f>AB1067/AA1067</f>
        <v>2.3076923076923075</v>
      </c>
    </row>
    <row r="1068" spans="1:34">
      <c r="A1068" s="52" t="s">
        <v>229</v>
      </c>
      <c r="B1068" s="52" t="s">
        <v>230</v>
      </c>
      <c r="C1068" s="190">
        <v>46196</v>
      </c>
      <c r="D1068" s="42">
        <v>0.45833333333333331</v>
      </c>
      <c r="E1068" s="43"/>
      <c r="F1068" s="8" t="s">
        <v>241</v>
      </c>
      <c r="G1068" s="2">
        <v>1</v>
      </c>
      <c r="I1068" s="126">
        <v>300</v>
      </c>
      <c r="J1068" s="2" t="s">
        <v>766</v>
      </c>
      <c r="K1068" s="88" t="s">
        <v>788</v>
      </c>
      <c r="L1068" s="90">
        <v>30000</v>
      </c>
      <c r="M1068" s="8">
        <v>30</v>
      </c>
      <c r="N1068" s="39" t="s">
        <v>48</v>
      </c>
      <c r="O1068" s="39" t="s">
        <v>49</v>
      </c>
      <c r="P1068" s="134" t="s">
        <v>835</v>
      </c>
      <c r="Q1068" s="19">
        <v>45</v>
      </c>
      <c r="R1068" s="15">
        <f>IF(Q1068&gt;0,Q1068/I1068,"")</f>
        <v>0.15</v>
      </c>
      <c r="S1068" s="5">
        <f>($AC1068*$AD1068)/(($Z1068/$Y1068)+($AA1068/$Z1068)+($AB1068/$AA1068))</f>
        <v>72.897196261682254</v>
      </c>
      <c r="U1068" s="109" t="s">
        <v>767</v>
      </c>
      <c r="V1068" s="205" t="s">
        <v>719</v>
      </c>
      <c r="W1068" s="205"/>
      <c r="Y1068" s="2">
        <v>2</v>
      </c>
      <c r="Z1068" s="2">
        <v>5</v>
      </c>
      <c r="AA1068" s="2">
        <v>13</v>
      </c>
      <c r="AB1068" s="2">
        <v>30</v>
      </c>
      <c r="AC1068" s="2">
        <v>18</v>
      </c>
      <c r="AD1068" s="2">
        <v>30</v>
      </c>
      <c r="AE1068" s="2">
        <f>AC1068*AD1068</f>
        <v>540</v>
      </c>
      <c r="AF1068" s="2">
        <f>Z1068/Y1068</f>
        <v>2.5</v>
      </c>
      <c r="AG1068" s="2">
        <f>AA1068/Z1068</f>
        <v>2.6</v>
      </c>
      <c r="AH1068" s="2">
        <f>AB1068/AA1068</f>
        <v>2.3076923076923075</v>
      </c>
    </row>
    <row r="1069" spans="1:34">
      <c r="A1069" s="68" t="s">
        <v>357</v>
      </c>
      <c r="B1069" s="68" t="s">
        <v>358</v>
      </c>
      <c r="C1069" s="191">
        <v>46196</v>
      </c>
      <c r="D1069" s="42">
        <v>0.46527777777777779</v>
      </c>
      <c r="E1069" s="194">
        <v>64</v>
      </c>
      <c r="F1069" s="63" t="s">
        <v>309</v>
      </c>
      <c r="G1069" s="2">
        <v>1</v>
      </c>
      <c r="H1069" s="2">
        <v>9</v>
      </c>
      <c r="I1069" s="126">
        <v>1100</v>
      </c>
      <c r="J1069" s="2" t="s">
        <v>766</v>
      </c>
      <c r="K1069" s="137" t="s">
        <v>816</v>
      </c>
      <c r="L1069" s="89">
        <v>40000</v>
      </c>
      <c r="M1069" s="202">
        <v>30</v>
      </c>
      <c r="N1069" s="39" t="s">
        <v>48</v>
      </c>
      <c r="O1069" s="39" t="s">
        <v>49</v>
      </c>
      <c r="P1069" s="135" t="s">
        <v>840</v>
      </c>
      <c r="Q1069" s="19">
        <v>135</v>
      </c>
      <c r="R1069" s="15">
        <f>Q1069/I1069</f>
        <v>0.12272727272727273</v>
      </c>
      <c r="S1069" s="5">
        <f>($AC1069*$AD1069)/(($Z1069/$Y1069)+($AA1069/$Z1069)+($AB1069/$AA1069))</f>
        <v>71.293161814488826</v>
      </c>
      <c r="U1069" s="109" t="s">
        <v>767</v>
      </c>
      <c r="V1069" s="10" t="s">
        <v>675</v>
      </c>
      <c r="W1069" s="205"/>
      <c r="Y1069" s="2">
        <v>2.5</v>
      </c>
      <c r="Z1069" s="2">
        <v>6.5</v>
      </c>
      <c r="AA1069" s="2">
        <v>15</v>
      </c>
      <c r="AB1069" s="2">
        <v>40</v>
      </c>
      <c r="AC1069" s="2">
        <v>30</v>
      </c>
      <c r="AD1069" s="2">
        <v>18</v>
      </c>
      <c r="AE1069" s="2">
        <f>AC1069*AD1069</f>
        <v>540</v>
      </c>
      <c r="AF1069" s="2">
        <f>Z1069/Y1069</f>
        <v>2.6</v>
      </c>
      <c r="AG1069" s="2">
        <f>AA1069/Z1069</f>
        <v>2.3076923076923075</v>
      </c>
      <c r="AH1069" s="2">
        <f>AB1069/AA1069</f>
        <v>2.6666666666666665</v>
      </c>
    </row>
    <row r="1070" spans="1:34">
      <c r="A1070" s="165" t="s">
        <v>1383</v>
      </c>
      <c r="B1070" s="39" t="s">
        <v>63</v>
      </c>
      <c r="C1070" s="190">
        <v>46196</v>
      </c>
      <c r="D1070" s="144">
        <v>0.5</v>
      </c>
      <c r="E1070" s="43"/>
      <c r="F1070" s="194" t="s">
        <v>135</v>
      </c>
      <c r="G1070" s="2">
        <v>1</v>
      </c>
      <c r="H1070" s="2">
        <v>9</v>
      </c>
      <c r="I1070" s="126">
        <v>130</v>
      </c>
      <c r="J1070" s="2" t="s">
        <v>766</v>
      </c>
      <c r="K1070" s="88" t="s">
        <v>773</v>
      </c>
      <c r="L1070" s="90">
        <v>10000</v>
      </c>
      <c r="M1070" s="8">
        <v>15</v>
      </c>
      <c r="N1070" s="132" t="s">
        <v>821</v>
      </c>
      <c r="O1070" s="39" t="s">
        <v>49</v>
      </c>
      <c r="P1070" s="210"/>
      <c r="Q1070" s="19">
        <v>30</v>
      </c>
      <c r="R1070" s="15">
        <f>Q1070/I1070</f>
        <v>0.23076923076923078</v>
      </c>
      <c r="S1070" s="5">
        <v>22</v>
      </c>
      <c r="U1070" s="109" t="s">
        <v>767</v>
      </c>
      <c r="V1070" s="71" t="s">
        <v>362</v>
      </c>
      <c r="W1070" s="8" t="s">
        <v>364</v>
      </c>
      <c r="Y1070" s="175"/>
      <c r="Z1070" s="175"/>
      <c r="AA1070" s="175"/>
      <c r="AB1070" s="175"/>
      <c r="AC1070" s="175"/>
      <c r="AD1070" s="175"/>
      <c r="AE1070" s="175"/>
      <c r="AF1070" s="175"/>
      <c r="AG1070" s="175"/>
      <c r="AH1070" s="175"/>
    </row>
    <row r="1071" spans="1:34">
      <c r="A1071" s="102" t="s">
        <v>475</v>
      </c>
      <c r="B1071" s="102" t="s">
        <v>476</v>
      </c>
      <c r="C1071" s="190">
        <v>46196</v>
      </c>
      <c r="D1071" s="42">
        <v>0.5</v>
      </c>
      <c r="E1071" s="194">
        <v>23</v>
      </c>
      <c r="F1071" s="194" t="s">
        <v>1345</v>
      </c>
      <c r="G1071" s="2">
        <v>2</v>
      </c>
      <c r="H1071" s="2">
        <v>9</v>
      </c>
      <c r="I1071" s="126">
        <v>500</v>
      </c>
      <c r="J1071" s="2" t="s">
        <v>766</v>
      </c>
      <c r="K1071" s="109" t="s">
        <v>601</v>
      </c>
      <c r="L1071" s="105">
        <v>40000</v>
      </c>
      <c r="M1071" s="64" t="s">
        <v>22</v>
      </c>
      <c r="N1071" s="39" t="s">
        <v>48</v>
      </c>
      <c r="O1071" s="39" t="s">
        <v>49</v>
      </c>
      <c r="P1071" s="135" t="s">
        <v>841</v>
      </c>
      <c r="Q1071" s="19">
        <v>75</v>
      </c>
      <c r="R1071" s="15">
        <f>Q1071/I1071</f>
        <v>0.15</v>
      </c>
      <c r="S1071" s="5">
        <f>($AC1071*$AD1071)/(($Z1071/$Y1071)+($AA1071/$Z1071)+($AB1071/$AA1071))</f>
        <v>71.293161814488826</v>
      </c>
      <c r="U1071" s="109" t="s">
        <v>55</v>
      </c>
      <c r="V1071" s="10" t="s">
        <v>634</v>
      </c>
      <c r="W1071" s="205"/>
      <c r="Y1071" s="2">
        <v>2.5</v>
      </c>
      <c r="Z1071" s="2">
        <v>6.5</v>
      </c>
      <c r="AA1071" s="2">
        <v>15</v>
      </c>
      <c r="AB1071" s="2">
        <v>40</v>
      </c>
      <c r="AC1071" s="2">
        <v>30</v>
      </c>
      <c r="AD1071" s="2">
        <v>18</v>
      </c>
      <c r="AE1071" s="2">
        <f>AC1071*AD1071</f>
        <v>540</v>
      </c>
      <c r="AF1071" s="2">
        <f>Z1071/Y1071</f>
        <v>2.6</v>
      </c>
      <c r="AG1071" s="2">
        <f>AA1071/Z1071</f>
        <v>2.3076923076923075</v>
      </c>
      <c r="AH1071" s="2">
        <f>AB1071/AA1071</f>
        <v>2.6666666666666665</v>
      </c>
    </row>
    <row r="1072" spans="1:34">
      <c r="A1072" s="67" t="s">
        <v>229</v>
      </c>
      <c r="B1072" s="52" t="s">
        <v>230</v>
      </c>
      <c r="C1072" s="190">
        <v>46196</v>
      </c>
      <c r="D1072" s="42">
        <v>0.5</v>
      </c>
      <c r="E1072" s="43"/>
      <c r="F1072" s="194" t="s">
        <v>1333</v>
      </c>
      <c r="G1072" s="2">
        <v>2</v>
      </c>
      <c r="I1072" s="126">
        <v>1100</v>
      </c>
      <c r="J1072" s="2" t="s">
        <v>766</v>
      </c>
      <c r="K1072" s="109" t="s">
        <v>767</v>
      </c>
      <c r="L1072" s="90">
        <v>40000</v>
      </c>
      <c r="M1072" s="46" t="s">
        <v>22</v>
      </c>
      <c r="N1072" s="39" t="s">
        <v>48</v>
      </c>
      <c r="O1072" s="39" t="s">
        <v>857</v>
      </c>
      <c r="P1072" s="19">
        <v>60000</v>
      </c>
      <c r="Q1072" s="2">
        <v>125</v>
      </c>
      <c r="R1072" s="15">
        <f>IF(Q1072&gt;0,Q1072/I1072,"")</f>
        <v>0.11363636363636363</v>
      </c>
      <c r="S1072" s="149" t="s">
        <v>110</v>
      </c>
      <c r="T1072" s="149"/>
      <c r="U1072" s="109" t="s">
        <v>767</v>
      </c>
      <c r="V1072" s="10" t="s">
        <v>719</v>
      </c>
      <c r="W1072" s="205"/>
      <c r="AE1072" s="2">
        <f>AC1072*AD1072</f>
        <v>0</v>
      </c>
      <c r="AF1072" s="2" t="e">
        <f>Z1072/Y1072</f>
        <v>#DIV/0!</v>
      </c>
      <c r="AG1072" s="2" t="e">
        <f>AA1072/Z1072</f>
        <v>#DIV/0!</v>
      </c>
      <c r="AH1072" s="2" t="e">
        <f>AB1072/AA1072</f>
        <v>#DIV/0!</v>
      </c>
    </row>
    <row r="1073" spans="1:34">
      <c r="A1073" s="52" t="s">
        <v>229</v>
      </c>
      <c r="B1073" s="52" t="s">
        <v>230</v>
      </c>
      <c r="C1073" s="190">
        <v>46196</v>
      </c>
      <c r="D1073" s="42">
        <v>0.5</v>
      </c>
      <c r="E1073" s="43"/>
      <c r="F1073" s="8" t="s">
        <v>270</v>
      </c>
      <c r="G1073" s="2">
        <v>1</v>
      </c>
      <c r="I1073" s="45">
        <v>600</v>
      </c>
      <c r="J1073" s="2" t="s">
        <v>766</v>
      </c>
      <c r="K1073" s="185" t="s">
        <v>601</v>
      </c>
      <c r="L1073" s="90">
        <v>40000</v>
      </c>
      <c r="M1073" s="46" t="s">
        <v>22</v>
      </c>
      <c r="N1073" s="39" t="s">
        <v>48</v>
      </c>
      <c r="O1073" s="39" t="s">
        <v>394</v>
      </c>
      <c r="P1073" s="19">
        <v>40000</v>
      </c>
      <c r="Q1073" s="2">
        <v>85</v>
      </c>
      <c r="R1073" s="15">
        <f>IF(Q1073&gt;0,Q1073/I1073,"")</f>
        <v>0.14166666666666666</v>
      </c>
      <c r="S1073" s="149" t="s">
        <v>110</v>
      </c>
      <c r="T1073" s="149"/>
      <c r="U1073" s="109" t="s">
        <v>767</v>
      </c>
      <c r="V1073" s="205" t="s">
        <v>719</v>
      </c>
      <c r="W1073" s="205"/>
      <c r="AE1073" s="2">
        <f>AC1073*AD1073</f>
        <v>0</v>
      </c>
      <c r="AF1073" s="2" t="e">
        <f>Z1073/Y1073</f>
        <v>#DIV/0!</v>
      </c>
      <c r="AG1073" s="2" t="e">
        <f>AA1073/Z1073</f>
        <v>#DIV/0!</v>
      </c>
      <c r="AH1073" s="2" t="e">
        <f>AB1073/AA1073</f>
        <v>#DIV/0!</v>
      </c>
    </row>
    <row r="1074" spans="1:34">
      <c r="A1074" s="52" t="s">
        <v>220</v>
      </c>
      <c r="B1074" s="52" t="s">
        <v>221</v>
      </c>
      <c r="C1074" s="51">
        <v>46196</v>
      </c>
      <c r="D1074" s="42">
        <v>0.5</v>
      </c>
      <c r="E1074" s="43"/>
      <c r="F1074" s="8" t="s">
        <v>1055</v>
      </c>
      <c r="G1074" s="2">
        <v>1</v>
      </c>
      <c r="H1074" s="2">
        <v>9</v>
      </c>
      <c r="I1074" s="126">
        <v>1100</v>
      </c>
      <c r="J1074" s="2" t="s">
        <v>766</v>
      </c>
      <c r="K1074" s="88" t="s">
        <v>778</v>
      </c>
      <c r="L1074" s="90">
        <v>20000</v>
      </c>
      <c r="M1074" s="8">
        <v>25</v>
      </c>
      <c r="N1074" s="39" t="s">
        <v>61</v>
      </c>
      <c r="O1074" s="39" t="s">
        <v>49</v>
      </c>
      <c r="P1074" s="131" t="s">
        <v>225</v>
      </c>
      <c r="Q1074" s="19">
        <v>125</v>
      </c>
      <c r="R1074" s="15">
        <f>Q1074/I1074</f>
        <v>0.11363636363636363</v>
      </c>
      <c r="S1074" s="5">
        <f>($AC1074*$AD1074)/(($Z1074/$Y1074)+($AA1074/$Z1074)+($AB1074/$AA1074))</f>
        <v>38.888888888888886</v>
      </c>
      <c r="U1074" s="109" t="s">
        <v>767</v>
      </c>
      <c r="V1074" s="10" t="s">
        <v>738</v>
      </c>
      <c r="W1074" s="205"/>
      <c r="Y1074" s="2">
        <v>2</v>
      </c>
      <c r="Z1074" s="2">
        <v>5</v>
      </c>
      <c r="AA1074" s="2">
        <v>20</v>
      </c>
      <c r="AB1074" s="2">
        <v>50</v>
      </c>
      <c r="AC1074" s="2">
        <v>14</v>
      </c>
      <c r="AD1074" s="2">
        <v>25</v>
      </c>
      <c r="AE1074" s="2">
        <f>AC1074*AD1074</f>
        <v>350</v>
      </c>
      <c r="AF1074" s="2">
        <f>Z1074/Y1074</f>
        <v>2.5</v>
      </c>
      <c r="AG1074" s="2">
        <f>AA1074/Z1074</f>
        <v>4</v>
      </c>
      <c r="AH1074" s="2">
        <f>AB1074/AA1074</f>
        <v>2.5</v>
      </c>
    </row>
    <row r="1075" spans="1:34">
      <c r="A1075" s="52" t="s">
        <v>220</v>
      </c>
      <c r="B1075" s="52" t="s">
        <v>221</v>
      </c>
      <c r="C1075" s="191">
        <v>46196</v>
      </c>
      <c r="D1075" s="42">
        <v>0.5</v>
      </c>
      <c r="E1075" s="43"/>
      <c r="F1075" s="8" t="s">
        <v>1050</v>
      </c>
      <c r="G1075" s="2">
        <v>3</v>
      </c>
      <c r="H1075" s="2">
        <v>9</v>
      </c>
      <c r="I1075" s="126">
        <v>10400</v>
      </c>
      <c r="J1075" s="2" t="s">
        <v>766</v>
      </c>
      <c r="K1075" s="88" t="s">
        <v>803</v>
      </c>
      <c r="L1075" s="90">
        <v>50000</v>
      </c>
      <c r="M1075" s="64">
        <v>60</v>
      </c>
      <c r="N1075" s="39" t="s">
        <v>48</v>
      </c>
      <c r="O1075" s="39" t="s">
        <v>49</v>
      </c>
      <c r="P1075" s="135" t="s">
        <v>850</v>
      </c>
      <c r="Q1075" s="19">
        <v>600</v>
      </c>
      <c r="R1075" s="15">
        <f>Q1075/I1075</f>
        <v>5.7692307692307696E-2</v>
      </c>
      <c r="S1075" s="5">
        <f>($AC1075*$AD1075)/(($Z1075/$Y1075)+($AA1075/$Z1075)+($AB1075/$AA1075))</f>
        <v>161.993769470405</v>
      </c>
      <c r="U1075" s="109" t="s">
        <v>767</v>
      </c>
      <c r="V1075" s="2" t="s">
        <v>738</v>
      </c>
      <c r="W1075" s="205"/>
      <c r="Y1075" s="2">
        <v>2</v>
      </c>
      <c r="Z1075" s="2">
        <v>5</v>
      </c>
      <c r="AA1075" s="2">
        <v>13</v>
      </c>
      <c r="AB1075" s="2">
        <v>30</v>
      </c>
      <c r="AC1075" s="2">
        <v>20</v>
      </c>
      <c r="AD1075" s="2">
        <v>60</v>
      </c>
      <c r="AE1075" s="2">
        <f>AC1075*AD1075</f>
        <v>1200</v>
      </c>
      <c r="AF1075" s="2">
        <f>Z1075/Y1075</f>
        <v>2.5</v>
      </c>
      <c r="AG1075" s="2">
        <f>AA1075/Z1075</f>
        <v>2.6</v>
      </c>
      <c r="AH1075" s="2">
        <f>AB1075/AA1075</f>
        <v>2.3076923076923075</v>
      </c>
    </row>
    <row r="1076" spans="1:34">
      <c r="A1076" s="95" t="s">
        <v>447</v>
      </c>
      <c r="B1076" s="95" t="s">
        <v>448</v>
      </c>
      <c r="C1076" s="190">
        <v>46196</v>
      </c>
      <c r="D1076" s="42">
        <v>0.54166666666666663</v>
      </c>
      <c r="E1076" s="43"/>
      <c r="F1076" s="8" t="s">
        <v>408</v>
      </c>
      <c r="G1076" s="2">
        <v>1</v>
      </c>
      <c r="H1076" s="2">
        <v>8</v>
      </c>
      <c r="I1076" s="126">
        <v>800</v>
      </c>
      <c r="J1076" s="2" t="s">
        <v>766</v>
      </c>
      <c r="K1076" s="109" t="s">
        <v>602</v>
      </c>
      <c r="L1076" s="8">
        <v>30000</v>
      </c>
      <c r="M1076" s="8">
        <v>30</v>
      </c>
      <c r="N1076" s="39" t="s">
        <v>48</v>
      </c>
      <c r="O1076" s="39" t="s">
        <v>57</v>
      </c>
      <c r="P1076" s="63">
        <v>200000</v>
      </c>
      <c r="Q1076" s="2">
        <v>100</v>
      </c>
      <c r="R1076" s="15">
        <f>Q1076/I1076</f>
        <v>0.125</v>
      </c>
      <c r="S1076" s="176" t="s">
        <v>110</v>
      </c>
      <c r="T1076" s="176"/>
      <c r="U1076" s="109" t="s">
        <v>767</v>
      </c>
      <c r="V1076" s="2" t="s">
        <v>741</v>
      </c>
      <c r="W1076" s="205"/>
      <c r="AE1076" s="2">
        <f>AC1076*AD1076</f>
        <v>0</v>
      </c>
      <c r="AF1076" s="2" t="e">
        <f>Z1076/Y1076</f>
        <v>#DIV/0!</v>
      </c>
      <c r="AG1076" s="2" t="e">
        <f>AA1076/Z1076</f>
        <v>#DIV/0!</v>
      </c>
      <c r="AH1076" s="2" t="e">
        <f>AB1076/AA1076</f>
        <v>#DIV/0!</v>
      </c>
    </row>
    <row r="1077" spans="1:34">
      <c r="A1077" s="165" t="s">
        <v>1383</v>
      </c>
      <c r="B1077" s="36" t="s">
        <v>63</v>
      </c>
      <c r="C1077" s="41">
        <v>46196</v>
      </c>
      <c r="D1077" s="144">
        <v>0.54166666666666663</v>
      </c>
      <c r="E1077" s="194">
        <v>60</v>
      </c>
      <c r="F1077" t="s">
        <v>1285</v>
      </c>
      <c r="G1077" s="2">
        <v>5</v>
      </c>
      <c r="H1077" s="2">
        <v>7</v>
      </c>
      <c r="I1077" s="45">
        <v>50000</v>
      </c>
      <c r="J1077" s="2" t="s">
        <v>110</v>
      </c>
      <c r="K1077" s="109" t="s">
        <v>598</v>
      </c>
      <c r="L1077" s="89">
        <v>300000</v>
      </c>
      <c r="M1077" s="202">
        <v>100</v>
      </c>
      <c r="N1077" s="39" t="s">
        <v>48</v>
      </c>
      <c r="O1077" s="39" t="s">
        <v>863</v>
      </c>
      <c r="P1077" s="213"/>
      <c r="Q1077" s="38">
        <f>R1077*I1077</f>
        <v>2500</v>
      </c>
      <c r="R1077" s="15">
        <v>0.05</v>
      </c>
      <c r="S1077" s="149" t="s">
        <v>110</v>
      </c>
      <c r="T1077" s="149"/>
      <c r="U1077" s="109" t="s">
        <v>767</v>
      </c>
      <c r="V1077" s="10" t="s">
        <v>121</v>
      </c>
      <c r="W1077" s="205"/>
      <c r="AE1077" s="2" t="e">
        <f>AD1077*#REF!</f>
        <v>#REF!</v>
      </c>
      <c r="AF1077" s="2" t="e">
        <f>Z1077/Y1077</f>
        <v>#DIV/0!</v>
      </c>
      <c r="AG1077" s="2" t="e">
        <f>AA1077/Z1077</f>
        <v>#DIV/0!</v>
      </c>
      <c r="AH1077" s="2" t="e">
        <f>AC1077/AA1077</f>
        <v>#DIV/0!</v>
      </c>
    </row>
    <row r="1078" spans="1:34">
      <c r="A1078" s="165" t="s">
        <v>1383</v>
      </c>
      <c r="B1078" s="36" t="s">
        <v>63</v>
      </c>
      <c r="C1078" s="41">
        <v>46196</v>
      </c>
      <c r="D1078" s="144">
        <v>0.54166666666666663</v>
      </c>
      <c r="E1078" s="194">
        <v>62</v>
      </c>
      <c r="F1078" s="194" t="s">
        <v>1167</v>
      </c>
      <c r="G1078" s="2">
        <v>3</v>
      </c>
      <c r="H1078" s="2">
        <v>9</v>
      </c>
      <c r="I1078" s="45">
        <v>2500</v>
      </c>
      <c r="J1078" s="2" t="s">
        <v>760</v>
      </c>
      <c r="K1078" s="109" t="s">
        <v>601</v>
      </c>
      <c r="L1078" s="89">
        <v>35000</v>
      </c>
      <c r="M1078" s="202" t="s">
        <v>97</v>
      </c>
      <c r="N1078" s="39" t="s">
        <v>48</v>
      </c>
      <c r="O1078" s="39" t="s">
        <v>49</v>
      </c>
      <c r="P1078" s="210"/>
      <c r="Q1078" s="19">
        <f>R1078*I1078</f>
        <v>275</v>
      </c>
      <c r="R1078" s="15">
        <v>0.11</v>
      </c>
      <c r="S1078" s="5">
        <f>($AC1078*$AD1078)/(($Z1078/$Y1078)+($AA1078/$Z1078)+($AB1078/$AA1078))</f>
        <v>99.130434782608702</v>
      </c>
      <c r="U1078" s="109" t="s">
        <v>767</v>
      </c>
      <c r="V1078" s="205" t="s">
        <v>121</v>
      </c>
      <c r="W1078" s="205"/>
      <c r="Y1078" s="2">
        <v>1.5</v>
      </c>
      <c r="Z1078" s="2">
        <v>4</v>
      </c>
      <c r="AA1078" s="2">
        <v>10</v>
      </c>
      <c r="AB1078" s="2">
        <v>25</v>
      </c>
      <c r="AC1078" s="2">
        <v>19</v>
      </c>
      <c r="AD1078" s="2">
        <v>40</v>
      </c>
      <c r="AE1078" s="2">
        <f>AC1078*AD1078</f>
        <v>760</v>
      </c>
      <c r="AF1078" s="2">
        <f>Z1078/Y1078</f>
        <v>2.6666666666666665</v>
      </c>
      <c r="AG1078" s="2">
        <f>AA1078/Z1078</f>
        <v>2.5</v>
      </c>
      <c r="AH1078" s="2">
        <f>AB1078/AA1078</f>
        <v>2.5</v>
      </c>
    </row>
    <row r="1079" spans="1:34">
      <c r="A1079" s="165" t="s">
        <v>1383</v>
      </c>
      <c r="B1079" s="39" t="s">
        <v>63</v>
      </c>
      <c r="C1079" s="41">
        <v>46196</v>
      </c>
      <c r="D1079" s="144">
        <v>0.54166666666666663</v>
      </c>
      <c r="E1079" s="194"/>
      <c r="F1079" t="s">
        <v>881</v>
      </c>
      <c r="G1079" s="2">
        <v>1</v>
      </c>
      <c r="H1079" s="2">
        <v>9</v>
      </c>
      <c r="I1079" s="45">
        <v>250</v>
      </c>
      <c r="J1079" s="2" t="s">
        <v>766</v>
      </c>
      <c r="K1079" s="88" t="s">
        <v>787</v>
      </c>
      <c r="L1079" s="89">
        <v>25000</v>
      </c>
      <c r="M1079" s="205">
        <v>30</v>
      </c>
      <c r="N1079" s="39" t="s">
        <v>817</v>
      </c>
      <c r="O1079" s="39" t="s">
        <v>49</v>
      </c>
      <c r="P1079" s="210"/>
      <c r="Q1079" s="19">
        <v>50</v>
      </c>
      <c r="R1079" s="15">
        <f>Q1079/I1079</f>
        <v>0.2</v>
      </c>
      <c r="S1079" s="5">
        <v>44</v>
      </c>
      <c r="U1079" s="109" t="s">
        <v>767</v>
      </c>
      <c r="V1079" s="71" t="s">
        <v>360</v>
      </c>
      <c r="Y1079" s="175"/>
      <c r="Z1079" s="175"/>
      <c r="AA1079" s="175"/>
      <c r="AB1079" s="175"/>
      <c r="AC1079" s="175"/>
      <c r="AD1079" s="175"/>
      <c r="AE1079" s="175"/>
      <c r="AF1079" s="175"/>
      <c r="AG1079" s="175"/>
      <c r="AH1079" s="175"/>
    </row>
    <row r="1080" spans="1:34">
      <c r="A1080" s="52" t="s">
        <v>220</v>
      </c>
      <c r="B1080" s="52" t="s">
        <v>221</v>
      </c>
      <c r="C1080" s="191">
        <v>46196</v>
      </c>
      <c r="D1080" s="42">
        <v>0.54166666666666663</v>
      </c>
      <c r="E1080" s="43"/>
      <c r="F1080" s="194" t="s">
        <v>1065</v>
      </c>
      <c r="G1080" s="2">
        <v>1</v>
      </c>
      <c r="H1080" s="2">
        <v>8</v>
      </c>
      <c r="I1080" s="126">
        <v>3000</v>
      </c>
      <c r="J1080" s="2" t="s">
        <v>766</v>
      </c>
      <c r="K1080" s="88" t="s">
        <v>786</v>
      </c>
      <c r="L1080" s="90">
        <v>30000</v>
      </c>
      <c r="M1080" s="64">
        <v>30</v>
      </c>
      <c r="N1080" s="39" t="s">
        <v>48</v>
      </c>
      <c r="O1080" s="39" t="s">
        <v>223</v>
      </c>
      <c r="P1080" s="63">
        <v>300000</v>
      </c>
      <c r="Q1080" s="2">
        <v>270</v>
      </c>
      <c r="R1080" s="15">
        <f>Q1080/I1080</f>
        <v>0.09</v>
      </c>
      <c r="S1080" s="149" t="s">
        <v>110</v>
      </c>
      <c r="T1080" s="149"/>
      <c r="U1080" s="109" t="s">
        <v>219</v>
      </c>
      <c r="V1080" s="205" t="s">
        <v>738</v>
      </c>
      <c r="AE1080" s="2">
        <f>AC1080*AD1080</f>
        <v>0</v>
      </c>
      <c r="AF1080" s="2" t="e">
        <f>Z1080/Y1080</f>
        <v>#DIV/0!</v>
      </c>
      <c r="AG1080" s="2" t="e">
        <f>AA1080/Z1080</f>
        <v>#DIV/0!</v>
      </c>
      <c r="AH1080" s="2" t="e">
        <f>AB1080/AA1080</f>
        <v>#DIV/0!</v>
      </c>
    </row>
    <row r="1081" spans="1:34">
      <c r="A1081" s="103" t="s">
        <v>539</v>
      </c>
      <c r="B1081" s="103" t="s">
        <v>540</v>
      </c>
      <c r="C1081" s="191">
        <v>46196</v>
      </c>
      <c r="D1081" s="42">
        <v>0.58333333333333337</v>
      </c>
      <c r="E1081" s="195">
        <v>72</v>
      </c>
      <c r="F1081" s="63" t="s">
        <v>570</v>
      </c>
      <c r="G1081" s="2">
        <v>1</v>
      </c>
      <c r="H1081" s="2">
        <v>8</v>
      </c>
      <c r="I1081" s="126">
        <v>400</v>
      </c>
      <c r="J1081" s="179" t="s">
        <v>766</v>
      </c>
      <c r="K1081" s="179" t="s">
        <v>602</v>
      </c>
      <c r="L1081" s="89">
        <v>30000</v>
      </c>
      <c r="M1081" s="202">
        <v>30</v>
      </c>
      <c r="N1081" s="39" t="s">
        <v>48</v>
      </c>
      <c r="O1081" s="39" t="s">
        <v>376</v>
      </c>
      <c r="P1081" s="63">
        <v>20000</v>
      </c>
      <c r="Q1081" s="2">
        <v>65</v>
      </c>
      <c r="R1081" s="15">
        <f>Q1081/I1081</f>
        <v>0.16250000000000001</v>
      </c>
      <c r="S1081" s="142"/>
      <c r="U1081" s="109" t="s">
        <v>767</v>
      </c>
      <c r="V1081" s="71" t="s">
        <v>1395</v>
      </c>
      <c r="AE1081" s="2">
        <f>AC1081*AD1081</f>
        <v>0</v>
      </c>
      <c r="AF1081" s="2" t="e">
        <f>Z1081/Y1081</f>
        <v>#DIV/0!</v>
      </c>
      <c r="AG1081" s="2" t="e">
        <f>AA1081/Z1081</f>
        <v>#DIV/0!</v>
      </c>
      <c r="AH1081" s="2" t="e">
        <f>AB1081/AA1081</f>
        <v>#DIV/0!</v>
      </c>
    </row>
    <row r="1082" spans="1:34">
      <c r="A1082" s="96" t="s">
        <v>461</v>
      </c>
      <c r="B1082" s="96" t="s">
        <v>462</v>
      </c>
      <c r="C1082" s="41">
        <v>46196</v>
      </c>
      <c r="D1082" s="42">
        <v>0.59027777777777779</v>
      </c>
      <c r="E1082" s="43"/>
      <c r="F1082" s="8" t="s">
        <v>276</v>
      </c>
      <c r="G1082" s="2">
        <v>1</v>
      </c>
      <c r="I1082" s="126">
        <v>120</v>
      </c>
      <c r="J1082" s="2" t="s">
        <v>766</v>
      </c>
      <c r="K1082" s="109" t="s">
        <v>602</v>
      </c>
      <c r="L1082" s="8">
        <v>15000</v>
      </c>
      <c r="M1082" s="54">
        <v>20</v>
      </c>
      <c r="N1082" s="39" t="s">
        <v>48</v>
      </c>
      <c r="O1082" s="39" t="s">
        <v>451</v>
      </c>
      <c r="P1082" s="63">
        <v>6000</v>
      </c>
      <c r="Q1082" s="2">
        <v>24</v>
      </c>
      <c r="R1082" s="15">
        <f>Q1082/I1082</f>
        <v>0.2</v>
      </c>
      <c r="S1082" s="149" t="s">
        <v>110</v>
      </c>
      <c r="T1082" s="149"/>
      <c r="U1082" s="109" t="s">
        <v>767</v>
      </c>
      <c r="V1082" s="2" t="s">
        <v>735</v>
      </c>
      <c r="AE1082" s="2">
        <f>AC1082*AD1082</f>
        <v>0</v>
      </c>
      <c r="AF1082" s="2" t="e">
        <f>Z1082/Y1082</f>
        <v>#DIV/0!</v>
      </c>
      <c r="AG1082" s="2" t="e">
        <f>AA1082/Z1082</f>
        <v>#DIV/0!</v>
      </c>
      <c r="AH1082" s="2" t="e">
        <f>AB1082/AA1082</f>
        <v>#DIV/0!</v>
      </c>
    </row>
    <row r="1083" spans="1:34">
      <c r="A1083" s="165" t="s">
        <v>1383</v>
      </c>
      <c r="B1083" s="39" t="s">
        <v>63</v>
      </c>
      <c r="C1083" s="41">
        <v>46196</v>
      </c>
      <c r="D1083" s="144">
        <v>0.625</v>
      </c>
      <c r="E1083" s="43"/>
      <c r="F1083" s="8" t="s">
        <v>127</v>
      </c>
      <c r="G1083" s="2">
        <v>1</v>
      </c>
      <c r="I1083" s="45">
        <v>250</v>
      </c>
      <c r="J1083" s="2" t="s">
        <v>766</v>
      </c>
      <c r="K1083" s="88" t="s">
        <v>785</v>
      </c>
      <c r="L1083" s="89">
        <v>25000</v>
      </c>
      <c r="M1083" s="232" t="s">
        <v>128</v>
      </c>
      <c r="N1083" s="39" t="s">
        <v>818</v>
      </c>
      <c r="O1083" s="39" t="s">
        <v>122</v>
      </c>
      <c r="P1083" s="213"/>
      <c r="Q1083" s="2">
        <v>50</v>
      </c>
      <c r="R1083" s="15">
        <f>Q1083/I1083</f>
        <v>0.2</v>
      </c>
      <c r="S1083" s="149" t="s">
        <v>110</v>
      </c>
      <c r="T1083" s="149"/>
      <c r="U1083" s="109" t="s">
        <v>767</v>
      </c>
      <c r="V1083" s="71" t="s">
        <v>360</v>
      </c>
      <c r="AE1083" s="2" t="e">
        <f>AD1083*#REF!</f>
        <v>#REF!</v>
      </c>
      <c r="AF1083" s="2" t="e">
        <f>Z1083/Y1083</f>
        <v>#DIV/0!</v>
      </c>
      <c r="AG1083" s="2" t="e">
        <f>AA1083/Z1083</f>
        <v>#DIV/0!</v>
      </c>
      <c r="AH1083" s="2" t="e">
        <f>AC1083/AA1083</f>
        <v>#DIV/0!</v>
      </c>
    </row>
    <row r="1084" spans="1:34">
      <c r="A1084" s="165" t="s">
        <v>1383</v>
      </c>
      <c r="B1084" s="39" t="s">
        <v>63</v>
      </c>
      <c r="C1084" s="41">
        <v>46196</v>
      </c>
      <c r="D1084" s="144">
        <v>0.625</v>
      </c>
      <c r="E1084" s="43"/>
      <c r="F1084" s="8" t="s">
        <v>912</v>
      </c>
      <c r="G1084" s="2">
        <v>1</v>
      </c>
      <c r="H1084" s="2">
        <v>9</v>
      </c>
      <c r="I1084" s="45">
        <v>240</v>
      </c>
      <c r="J1084" s="2" t="s">
        <v>766</v>
      </c>
      <c r="K1084" s="88" t="s">
        <v>784</v>
      </c>
      <c r="L1084" s="89">
        <v>10000</v>
      </c>
      <c r="M1084" s="54">
        <v>20</v>
      </c>
      <c r="N1084" s="132" t="s">
        <v>821</v>
      </c>
      <c r="O1084" s="39" t="s">
        <v>49</v>
      </c>
      <c r="P1084" s="210"/>
      <c r="Q1084" s="19">
        <v>40</v>
      </c>
      <c r="R1084" s="15">
        <v>0.16666666666666666</v>
      </c>
      <c r="S1084" s="5">
        <v>29</v>
      </c>
      <c r="U1084" s="109" t="s">
        <v>767</v>
      </c>
      <c r="V1084" s="71" t="s">
        <v>362</v>
      </c>
      <c r="W1084" s="8" t="s">
        <v>367</v>
      </c>
      <c r="Y1084" s="175"/>
      <c r="Z1084" s="175"/>
      <c r="AA1084" s="175"/>
      <c r="AB1084" s="175"/>
      <c r="AC1084" s="175"/>
      <c r="AD1084" s="175"/>
      <c r="AE1084" s="175"/>
      <c r="AF1084" s="175"/>
      <c r="AG1084" s="175"/>
      <c r="AH1084" s="175"/>
    </row>
    <row r="1085" spans="1:34">
      <c r="A1085" s="165" t="s">
        <v>1383</v>
      </c>
      <c r="B1085" s="39" t="s">
        <v>63</v>
      </c>
      <c r="C1085" s="190">
        <v>46196</v>
      </c>
      <c r="D1085" s="144">
        <v>0.66666666666666663</v>
      </c>
      <c r="E1085" s="43"/>
      <c r="F1085" s="8" t="s">
        <v>366</v>
      </c>
      <c r="G1085" s="2">
        <v>1</v>
      </c>
      <c r="H1085" s="2">
        <v>9</v>
      </c>
      <c r="I1085" s="126">
        <v>240</v>
      </c>
      <c r="J1085" s="2" t="s">
        <v>766</v>
      </c>
      <c r="K1085" s="88" t="s">
        <v>790</v>
      </c>
      <c r="L1085" s="90">
        <v>10000</v>
      </c>
      <c r="M1085" s="8">
        <v>20</v>
      </c>
      <c r="N1085" s="132" t="s">
        <v>821</v>
      </c>
      <c r="O1085" s="39" t="s">
        <v>49</v>
      </c>
      <c r="P1085" s="210"/>
      <c r="Q1085" s="19">
        <v>40</v>
      </c>
      <c r="R1085" s="15">
        <f>Q1085/I1085</f>
        <v>0.16666666666666666</v>
      </c>
      <c r="S1085" s="5">
        <v>29</v>
      </c>
      <c r="U1085" s="109" t="s">
        <v>767</v>
      </c>
      <c r="V1085" s="71" t="s">
        <v>362</v>
      </c>
      <c r="W1085" s="8" t="s">
        <v>365</v>
      </c>
      <c r="Y1085" s="175"/>
      <c r="Z1085" s="175"/>
      <c r="AA1085" s="175"/>
      <c r="AB1085" s="175"/>
      <c r="AC1085" s="175"/>
      <c r="AD1085" s="175"/>
      <c r="AE1085" s="175"/>
      <c r="AF1085" s="175"/>
      <c r="AG1085" s="175"/>
      <c r="AH1085" s="175"/>
    </row>
    <row r="1086" spans="1:34">
      <c r="A1086" s="165" t="s">
        <v>1383</v>
      </c>
      <c r="B1086" s="39" t="s">
        <v>63</v>
      </c>
      <c r="C1086" s="41">
        <v>46196</v>
      </c>
      <c r="D1086" s="144">
        <v>0.66666666666666663</v>
      </c>
      <c r="E1086" s="194"/>
      <c r="F1086" s="8" t="s">
        <v>1024</v>
      </c>
      <c r="G1086" s="2">
        <v>1</v>
      </c>
      <c r="H1086" s="2">
        <v>9</v>
      </c>
      <c r="I1086" s="45">
        <v>400</v>
      </c>
      <c r="J1086" s="2" t="s">
        <v>766</v>
      </c>
      <c r="K1086" s="88" t="s">
        <v>794</v>
      </c>
      <c r="L1086" s="89">
        <v>30000</v>
      </c>
      <c r="M1086" s="205">
        <v>20</v>
      </c>
      <c r="N1086" s="39" t="s">
        <v>817</v>
      </c>
      <c r="O1086" s="39" t="s">
        <v>49</v>
      </c>
      <c r="P1086" s="210"/>
      <c r="Q1086" s="19">
        <v>70</v>
      </c>
      <c r="R1086" s="15">
        <f>Q1086/I1086</f>
        <v>0.17499999999999999</v>
      </c>
      <c r="S1086" s="5">
        <v>37</v>
      </c>
      <c r="U1086" s="109" t="s">
        <v>129</v>
      </c>
      <c r="V1086" s="71" t="s">
        <v>360</v>
      </c>
      <c r="Y1086" s="175"/>
      <c r="Z1086" s="175"/>
      <c r="AA1086" s="175"/>
      <c r="AB1086" s="175"/>
      <c r="AC1086" s="175"/>
      <c r="AD1086" s="175"/>
      <c r="AE1086" s="175"/>
      <c r="AF1086" s="175"/>
      <c r="AG1086" s="175"/>
      <c r="AH1086" s="175"/>
    </row>
    <row r="1087" spans="1:34">
      <c r="A1087" s="165" t="s">
        <v>1383</v>
      </c>
      <c r="B1087" s="39" t="s">
        <v>63</v>
      </c>
      <c r="C1087" s="41">
        <v>46196</v>
      </c>
      <c r="D1087" s="144">
        <v>0.75</v>
      </c>
      <c r="E1087" s="194"/>
      <c r="F1087" s="8" t="s">
        <v>882</v>
      </c>
      <c r="G1087" s="2">
        <v>1</v>
      </c>
      <c r="H1087" s="2">
        <v>9</v>
      </c>
      <c r="I1087" s="45">
        <v>150</v>
      </c>
      <c r="J1087" s="2" t="s">
        <v>766</v>
      </c>
      <c r="K1087" s="88" t="s">
        <v>797</v>
      </c>
      <c r="L1087" s="89">
        <v>15000</v>
      </c>
      <c r="M1087" s="205">
        <v>20</v>
      </c>
      <c r="N1087" s="39" t="s">
        <v>820</v>
      </c>
      <c r="O1087" s="39" t="s">
        <v>49</v>
      </c>
      <c r="Q1087" s="19">
        <v>40</v>
      </c>
      <c r="R1087" s="15">
        <f>Q1087/I1087</f>
        <v>0.26666666666666666</v>
      </c>
      <c r="S1087" s="5">
        <f>($AC1087*$AD1087)/(($Z1087/$Y1087)+($AA1087/$Z1087)+($AB1087/$AA1087))</f>
        <v>133.04347826086956</v>
      </c>
      <c r="U1087" s="109" t="s">
        <v>125</v>
      </c>
      <c r="V1087" s="71" t="s">
        <v>360</v>
      </c>
      <c r="W1087" s="205"/>
      <c r="Y1087" s="2">
        <v>1.5</v>
      </c>
      <c r="Z1087" s="2">
        <v>4</v>
      </c>
      <c r="AA1087" s="2">
        <v>10</v>
      </c>
      <c r="AB1087" s="2">
        <v>25</v>
      </c>
      <c r="AC1087" s="2">
        <v>17</v>
      </c>
      <c r="AD1087" s="2">
        <v>60</v>
      </c>
      <c r="AE1087" s="2">
        <f>AC1087*AD1087</f>
        <v>1020</v>
      </c>
      <c r="AF1087" s="2">
        <f>Z1087/Y1087</f>
        <v>2.6666666666666665</v>
      </c>
      <c r="AG1087" s="2">
        <f>AA1087/Z1087</f>
        <v>2.5</v>
      </c>
      <c r="AH1087" s="2">
        <f>AB1087/AA1087</f>
        <v>2.5</v>
      </c>
    </row>
    <row r="1088" spans="1:34">
      <c r="A1088" s="102" t="s">
        <v>475</v>
      </c>
      <c r="B1088" s="102" t="s">
        <v>476</v>
      </c>
      <c r="C1088" s="190">
        <v>46196</v>
      </c>
      <c r="D1088" s="42">
        <v>0.75</v>
      </c>
      <c r="E1088" s="194" t="s">
        <v>518</v>
      </c>
      <c r="F1088" s="8" t="s">
        <v>492</v>
      </c>
      <c r="G1088" s="2">
        <v>2</v>
      </c>
      <c r="H1088" s="2">
        <v>9</v>
      </c>
      <c r="I1088" s="126">
        <v>400</v>
      </c>
      <c r="J1088" s="2" t="s">
        <v>766</v>
      </c>
      <c r="K1088" s="109" t="s">
        <v>601</v>
      </c>
      <c r="L1088" s="105">
        <v>30000</v>
      </c>
      <c r="M1088" s="64">
        <v>30</v>
      </c>
      <c r="N1088" s="39" t="s">
        <v>48</v>
      </c>
      <c r="O1088" s="39" t="s">
        <v>49</v>
      </c>
      <c r="P1088" s="134" t="s">
        <v>838</v>
      </c>
      <c r="Q1088" s="19">
        <v>70</v>
      </c>
      <c r="R1088" s="15">
        <f>Q1088/I1088</f>
        <v>0.17499999999999999</v>
      </c>
      <c r="S1088" s="5">
        <f>($AC1088*$AD1088)/(($Z1088/$Y1088)+($AA1088/$Z1088)+($AB1088/$AA1088))</f>
        <v>72.897196261682254</v>
      </c>
      <c r="U1088" s="109" t="s">
        <v>767</v>
      </c>
      <c r="V1088" s="2" t="s">
        <v>633</v>
      </c>
      <c r="Y1088" s="2">
        <v>2</v>
      </c>
      <c r="Z1088" s="2">
        <v>5</v>
      </c>
      <c r="AA1088" s="2">
        <v>13</v>
      </c>
      <c r="AB1088" s="2">
        <v>30</v>
      </c>
      <c r="AC1088" s="2">
        <v>30</v>
      </c>
      <c r="AD1088" s="2">
        <v>18</v>
      </c>
      <c r="AE1088" s="2">
        <f>AC1088*AD1088</f>
        <v>540</v>
      </c>
      <c r="AF1088" s="2">
        <f>Z1088/Y1088</f>
        <v>2.5</v>
      </c>
      <c r="AG1088" s="2">
        <f>AA1088/Z1088</f>
        <v>2.6</v>
      </c>
      <c r="AH1088" s="2">
        <f>AB1088/AA1088</f>
        <v>2.3076923076923075</v>
      </c>
    </row>
    <row r="1089" spans="1:34">
      <c r="A1089" s="52" t="s">
        <v>229</v>
      </c>
      <c r="B1089" s="52" t="s">
        <v>230</v>
      </c>
      <c r="C1089" s="190">
        <v>46196</v>
      </c>
      <c r="D1089" s="42">
        <v>0.75</v>
      </c>
      <c r="E1089" s="43"/>
      <c r="F1089" s="8" t="s">
        <v>244</v>
      </c>
      <c r="G1089" s="2">
        <v>1</v>
      </c>
      <c r="I1089" s="126">
        <v>200</v>
      </c>
      <c r="J1089" s="2" t="s">
        <v>766</v>
      </c>
      <c r="K1089" s="88" t="s">
        <v>804</v>
      </c>
      <c r="L1089" s="90">
        <v>30000</v>
      </c>
      <c r="M1089" s="8">
        <v>20</v>
      </c>
      <c r="N1089" s="39" t="s">
        <v>48</v>
      </c>
      <c r="O1089" s="39" t="s">
        <v>49</v>
      </c>
      <c r="P1089" s="135" t="s">
        <v>832</v>
      </c>
      <c r="Q1089" s="19">
        <v>40</v>
      </c>
      <c r="R1089" s="15">
        <f>IF(Q1089&gt;0,Q1089/I1089,"")</f>
        <v>0.2</v>
      </c>
      <c r="S1089" s="5">
        <f>($AC1089*$AD1089)/(($Z1089/$Y1089)+($AA1089/$Z1089)+($AB1089/$AA1089))</f>
        <v>35.555555555555557</v>
      </c>
      <c r="U1089" s="109" t="s">
        <v>767</v>
      </c>
      <c r="V1089" s="10" t="s">
        <v>719</v>
      </c>
      <c r="W1089" s="205"/>
      <c r="Y1089" s="2">
        <v>2</v>
      </c>
      <c r="Z1089" s="2">
        <v>5</v>
      </c>
      <c r="AA1089" s="2">
        <v>20</v>
      </c>
      <c r="AB1089" s="2">
        <v>50</v>
      </c>
      <c r="AC1089" s="2">
        <v>20</v>
      </c>
      <c r="AD1089" s="2">
        <v>16</v>
      </c>
      <c r="AE1089" s="2">
        <f>AC1089*AD1089</f>
        <v>320</v>
      </c>
      <c r="AF1089" s="2">
        <f>Z1089/Y1089</f>
        <v>2.5</v>
      </c>
      <c r="AG1089" s="2">
        <f>AA1089/Z1089</f>
        <v>4</v>
      </c>
      <c r="AH1089" s="2">
        <f>AB1089/AA1089</f>
        <v>2.5</v>
      </c>
    </row>
    <row r="1090" spans="1:34">
      <c r="A1090" s="52" t="s">
        <v>220</v>
      </c>
      <c r="B1090" s="52" t="s">
        <v>221</v>
      </c>
      <c r="C1090" s="191">
        <v>46196</v>
      </c>
      <c r="D1090" s="42">
        <v>0.75</v>
      </c>
      <c r="E1090" s="43"/>
      <c r="F1090" s="8" t="s">
        <v>1055</v>
      </c>
      <c r="G1090" s="2">
        <v>1</v>
      </c>
      <c r="H1090" s="2">
        <v>9</v>
      </c>
      <c r="I1090" s="126">
        <v>1100</v>
      </c>
      <c r="J1090" s="2" t="s">
        <v>766</v>
      </c>
      <c r="K1090" s="88" t="s">
        <v>802</v>
      </c>
      <c r="L1090" s="90">
        <v>20000</v>
      </c>
      <c r="M1090" s="8">
        <v>25</v>
      </c>
      <c r="N1090" s="39" t="s">
        <v>61</v>
      </c>
      <c r="O1090" s="39" t="s">
        <v>49</v>
      </c>
      <c r="P1090" s="131" t="s">
        <v>225</v>
      </c>
      <c r="Q1090" s="19">
        <v>125</v>
      </c>
      <c r="R1090" s="15">
        <f>Q1090/I1090</f>
        <v>0.11363636363636363</v>
      </c>
      <c r="S1090" s="5">
        <f>($AC1090*$AD1090)/(($Z1090/$Y1090)+($AA1090/$Z1090)+($AB1090/$AA1090))</f>
        <v>38.888888888888886</v>
      </c>
      <c r="U1090" s="109" t="s">
        <v>767</v>
      </c>
      <c r="V1090" s="205" t="s">
        <v>738</v>
      </c>
      <c r="W1090" s="205"/>
      <c r="Y1090" s="2">
        <v>2</v>
      </c>
      <c r="Z1090" s="2">
        <v>5</v>
      </c>
      <c r="AA1090" s="2">
        <v>20</v>
      </c>
      <c r="AB1090" s="2">
        <v>50</v>
      </c>
      <c r="AC1090" s="2">
        <v>14</v>
      </c>
      <c r="AD1090" s="2">
        <v>25</v>
      </c>
      <c r="AE1090" s="2">
        <f>AC1090*AD1090</f>
        <v>350</v>
      </c>
      <c r="AF1090" s="2">
        <f>Z1090/Y1090</f>
        <v>2.5</v>
      </c>
      <c r="AG1090" s="2">
        <f>AA1090/Z1090</f>
        <v>4</v>
      </c>
      <c r="AH1090" s="2">
        <f>AB1090/AA1090</f>
        <v>2.5</v>
      </c>
    </row>
    <row r="1091" spans="1:34">
      <c r="A1091" s="96" t="s">
        <v>461</v>
      </c>
      <c r="B1091" s="96" t="s">
        <v>462</v>
      </c>
      <c r="C1091" s="41">
        <v>46196</v>
      </c>
      <c r="D1091" s="42">
        <v>0.75694444444444442</v>
      </c>
      <c r="E1091" s="43"/>
      <c r="F1091" s="8" t="s">
        <v>470</v>
      </c>
      <c r="G1091" s="2">
        <v>2</v>
      </c>
      <c r="I1091" s="126">
        <v>300</v>
      </c>
      <c r="J1091" s="2" t="s">
        <v>766</v>
      </c>
      <c r="K1091" s="109" t="s">
        <v>598</v>
      </c>
      <c r="L1091" s="194">
        <v>30000</v>
      </c>
      <c r="M1091" s="69">
        <v>30</v>
      </c>
      <c r="N1091" s="39" t="s">
        <v>48</v>
      </c>
      <c r="O1091" s="39" t="s">
        <v>49</v>
      </c>
      <c r="P1091" s="211" t="s">
        <v>842</v>
      </c>
      <c r="Q1091" s="19">
        <v>65</v>
      </c>
      <c r="R1091" s="15">
        <f>Q1091/I1091</f>
        <v>0.21666666666666667</v>
      </c>
      <c r="S1091" s="5">
        <f>($AC1091*$AD1091)/(($Z1091/$Y1091)+($AA1091/$Z1091)+($AB1091/$AA1091))</f>
        <v>53.333333333333336</v>
      </c>
      <c r="U1091" s="109" t="s">
        <v>767</v>
      </c>
      <c r="V1091" s="205" t="s">
        <v>735</v>
      </c>
      <c r="W1091" s="205"/>
      <c r="Y1091" s="2">
        <v>2</v>
      </c>
      <c r="Z1091" s="2">
        <v>5</v>
      </c>
      <c r="AA1091" s="2">
        <v>20</v>
      </c>
      <c r="AB1091" s="2">
        <v>50</v>
      </c>
      <c r="AC1091" s="2">
        <v>16</v>
      </c>
      <c r="AD1091" s="2">
        <v>30</v>
      </c>
      <c r="AE1091" s="2">
        <f>AC1091*AD1091</f>
        <v>480</v>
      </c>
      <c r="AF1091" s="2">
        <f>Z1091/Y1091</f>
        <v>2.5</v>
      </c>
      <c r="AG1091" s="2">
        <f>AA1091/Z1091</f>
        <v>4</v>
      </c>
      <c r="AH1091" s="2">
        <f>AB1091/AA1091</f>
        <v>2.5</v>
      </c>
    </row>
    <row r="1092" spans="1:34">
      <c r="A1092" s="68" t="s">
        <v>357</v>
      </c>
      <c r="B1092" s="68" t="s">
        <v>358</v>
      </c>
      <c r="C1092" s="191">
        <v>46196</v>
      </c>
      <c r="D1092" s="42">
        <v>0.75694444444444442</v>
      </c>
      <c r="E1092" s="194">
        <v>65</v>
      </c>
      <c r="F1092" s="63" t="s">
        <v>290</v>
      </c>
      <c r="G1092" s="2">
        <v>1</v>
      </c>
      <c r="H1092" s="2">
        <v>9</v>
      </c>
      <c r="I1092" s="126">
        <v>600</v>
      </c>
      <c r="J1092" s="2" t="s">
        <v>766</v>
      </c>
      <c r="K1092" s="137" t="s">
        <v>602</v>
      </c>
      <c r="L1092" s="89">
        <v>25000</v>
      </c>
      <c r="M1092" s="202">
        <v>30</v>
      </c>
      <c r="N1092" s="39" t="s">
        <v>48</v>
      </c>
      <c r="O1092" s="39" t="s">
        <v>49</v>
      </c>
      <c r="P1092" s="212" t="s">
        <v>836</v>
      </c>
      <c r="Q1092" s="19">
        <v>80</v>
      </c>
      <c r="R1092" s="15">
        <f>Q1092/I1092</f>
        <v>0.13333333333333333</v>
      </c>
      <c r="S1092" s="5">
        <f>($AC1092*$AD1092)/(($Z1092/$Y1092)+($AA1092/$Z1092)+($AB1092/$AA1092))</f>
        <v>55.03292568203198</v>
      </c>
      <c r="U1092" s="109" t="s">
        <v>219</v>
      </c>
      <c r="V1092" s="10" t="s">
        <v>662</v>
      </c>
      <c r="W1092" s="87" t="s">
        <v>389</v>
      </c>
      <c r="Y1092" s="2">
        <v>2.5</v>
      </c>
      <c r="Z1092" s="2">
        <v>6.5</v>
      </c>
      <c r="AA1092" s="2">
        <v>20</v>
      </c>
      <c r="AB1092" s="2">
        <v>50</v>
      </c>
      <c r="AC1092" s="2">
        <v>30</v>
      </c>
      <c r="AD1092" s="2">
        <v>15</v>
      </c>
      <c r="AE1092" s="2">
        <f>AC1092*AD1092</f>
        <v>450</v>
      </c>
      <c r="AF1092" s="2">
        <f>Z1092/Y1092</f>
        <v>2.6</v>
      </c>
      <c r="AG1092" s="2">
        <f>AA1092/Z1092</f>
        <v>3.0769230769230771</v>
      </c>
      <c r="AH1092" s="2">
        <f>AB1092/AA1092</f>
        <v>2.5</v>
      </c>
    </row>
    <row r="1093" spans="1:34">
      <c r="A1093" s="95" t="s">
        <v>447</v>
      </c>
      <c r="B1093" s="95" t="s">
        <v>448</v>
      </c>
      <c r="C1093" s="190">
        <v>46196</v>
      </c>
      <c r="D1093" s="42">
        <v>0.79166666666666663</v>
      </c>
      <c r="E1093" s="43"/>
      <c r="F1093" s="8" t="s">
        <v>403</v>
      </c>
      <c r="G1093" s="2">
        <v>1</v>
      </c>
      <c r="H1093" s="2">
        <v>9</v>
      </c>
      <c r="I1093" s="126">
        <v>300</v>
      </c>
      <c r="J1093" s="2" t="s">
        <v>766</v>
      </c>
      <c r="K1093" s="109" t="s">
        <v>602</v>
      </c>
      <c r="L1093" s="8">
        <v>25000</v>
      </c>
      <c r="M1093" s="8">
        <v>25</v>
      </c>
      <c r="N1093" s="39" t="s">
        <v>48</v>
      </c>
      <c r="O1093" s="39" t="s">
        <v>49</v>
      </c>
      <c r="P1093" s="212" t="s">
        <v>834</v>
      </c>
      <c r="Q1093" s="19">
        <v>50</v>
      </c>
      <c r="R1093" s="15">
        <f>Q1093/I1093</f>
        <v>0.16666666666666666</v>
      </c>
      <c r="S1093" s="5">
        <f>($AC1093*$AD1093)/(($Z1093/$Y1093)+($AA1093/$Z1093)+($AB1093/$AA1093))</f>
        <v>37.5</v>
      </c>
      <c r="U1093" s="109" t="s">
        <v>767</v>
      </c>
      <c r="V1093" s="2" t="s">
        <v>741</v>
      </c>
      <c r="Y1093" s="2">
        <v>2.5</v>
      </c>
      <c r="Z1093" s="2">
        <v>7.5</v>
      </c>
      <c r="AA1093" s="2">
        <v>25</v>
      </c>
      <c r="AB1093" s="2">
        <v>75</v>
      </c>
      <c r="AC1093" s="2">
        <v>14</v>
      </c>
      <c r="AD1093" s="2">
        <v>25</v>
      </c>
      <c r="AE1093" s="2">
        <f>AC1093*AD1093</f>
        <v>350</v>
      </c>
      <c r="AF1093" s="2">
        <f>Z1093/Y1093</f>
        <v>3</v>
      </c>
      <c r="AG1093" s="2">
        <f>AA1093/Z1093</f>
        <v>3.3333333333333335</v>
      </c>
      <c r="AH1093" s="2">
        <f>AB1093/AA1093</f>
        <v>3</v>
      </c>
    </row>
    <row r="1094" spans="1:34">
      <c r="A1094" s="103" t="s">
        <v>539</v>
      </c>
      <c r="B1094" s="103" t="s">
        <v>540</v>
      </c>
      <c r="C1094" s="191">
        <v>46196</v>
      </c>
      <c r="D1094" s="42">
        <v>0.79166666666666663</v>
      </c>
      <c r="E1094" s="195">
        <v>74</v>
      </c>
      <c r="F1094" s="63" t="s">
        <v>544</v>
      </c>
      <c r="G1094" s="2">
        <v>1</v>
      </c>
      <c r="H1094" s="2">
        <v>9</v>
      </c>
      <c r="I1094" s="126">
        <v>150</v>
      </c>
      <c r="J1094" s="179" t="s">
        <v>766</v>
      </c>
      <c r="K1094" s="179" t="s">
        <v>602</v>
      </c>
      <c r="L1094" s="89">
        <v>30000</v>
      </c>
      <c r="M1094" s="202">
        <v>15</v>
      </c>
      <c r="N1094" s="39" t="s">
        <v>48</v>
      </c>
      <c r="O1094" s="39" t="s">
        <v>49</v>
      </c>
      <c r="P1094" s="135" t="s">
        <v>828</v>
      </c>
      <c r="Q1094" s="19">
        <v>46</v>
      </c>
      <c r="R1094" s="15">
        <f>Q1094/I1094</f>
        <v>0.30666666666666664</v>
      </c>
      <c r="S1094" s="5">
        <f>($AC1094*$AD1094)/(($Z1094/$Y1094)+($AA1094/$Z1094)+($AB1094/$AA1094))</f>
        <v>19.534883720930232</v>
      </c>
      <c r="U1094" s="109" t="s">
        <v>129</v>
      </c>
      <c r="V1094" s="71" t="s">
        <v>1395</v>
      </c>
      <c r="W1094" s="221" t="s">
        <v>1389</v>
      </c>
      <c r="Y1094" s="2">
        <v>4</v>
      </c>
      <c r="Z1094" s="2">
        <v>8</v>
      </c>
      <c r="AA1094" s="2">
        <v>30</v>
      </c>
      <c r="AB1094" s="2">
        <v>150</v>
      </c>
      <c r="AC1094" s="2">
        <v>14</v>
      </c>
      <c r="AD1094" s="2">
        <v>15</v>
      </c>
      <c r="AE1094" s="2">
        <f>AC1094*AD1094</f>
        <v>210</v>
      </c>
      <c r="AF1094" s="2">
        <f>Z1094/Y1094</f>
        <v>2</v>
      </c>
      <c r="AG1094" s="2">
        <f>AA1094/Z1094</f>
        <v>3.75</v>
      </c>
      <c r="AH1094" s="2">
        <f>AB1094/AA1094</f>
        <v>5</v>
      </c>
    </row>
    <row r="1095" spans="1:34">
      <c r="A1095" s="165" t="s">
        <v>1383</v>
      </c>
      <c r="B1095" s="39" t="s">
        <v>63</v>
      </c>
      <c r="C1095" s="41">
        <v>46196</v>
      </c>
      <c r="D1095" s="144">
        <v>0.79166666666666663</v>
      </c>
      <c r="E1095" s="43"/>
      <c r="F1095" s="8" t="s">
        <v>896</v>
      </c>
      <c r="G1095" s="2">
        <v>1</v>
      </c>
      <c r="I1095" s="45">
        <v>1100</v>
      </c>
      <c r="J1095" s="2" t="s">
        <v>766</v>
      </c>
      <c r="K1095" s="88" t="s">
        <v>800</v>
      </c>
      <c r="L1095" s="89">
        <v>15000</v>
      </c>
      <c r="M1095" s="209">
        <v>30</v>
      </c>
      <c r="N1095" s="132" t="s">
        <v>821</v>
      </c>
      <c r="O1095" s="39" t="s">
        <v>871</v>
      </c>
      <c r="P1095" s="213"/>
      <c r="Q1095" s="2">
        <f>88+37</f>
        <v>125</v>
      </c>
      <c r="R1095" s="15">
        <f>Q1095/I1095</f>
        <v>0.11363636363636363</v>
      </c>
      <c r="S1095" s="149" t="s">
        <v>110</v>
      </c>
      <c r="T1095" s="149"/>
      <c r="U1095" s="109" t="s">
        <v>767</v>
      </c>
      <c r="V1095" s="71" t="s">
        <v>362</v>
      </c>
      <c r="W1095" s="8" t="s">
        <v>370</v>
      </c>
      <c r="AE1095" s="2" t="e">
        <f>AD1095*#REF!</f>
        <v>#REF!</v>
      </c>
      <c r="AF1095" s="2" t="e">
        <f>Z1095/Y1095</f>
        <v>#DIV/0!</v>
      </c>
      <c r="AG1095" s="2" t="e">
        <f>AA1095/Z1095</f>
        <v>#DIV/0!</v>
      </c>
      <c r="AH1095" s="2" t="e">
        <f>AC1095/AA1095</f>
        <v>#DIV/0!</v>
      </c>
    </row>
    <row r="1096" spans="1:34">
      <c r="A1096" s="165" t="s">
        <v>1383</v>
      </c>
      <c r="B1096" s="39" t="s">
        <v>63</v>
      </c>
      <c r="C1096" s="41">
        <v>46196</v>
      </c>
      <c r="D1096" s="144">
        <v>0.83333333333333337</v>
      </c>
      <c r="E1096" s="194"/>
      <c r="F1096" s="8" t="s">
        <v>1023</v>
      </c>
      <c r="G1096" s="2">
        <v>1</v>
      </c>
      <c r="H1096" s="2">
        <v>9</v>
      </c>
      <c r="I1096" s="45">
        <v>200</v>
      </c>
      <c r="J1096" s="2" t="s">
        <v>766</v>
      </c>
      <c r="K1096" s="88" t="s">
        <v>806</v>
      </c>
      <c r="L1096" s="89">
        <v>20000</v>
      </c>
      <c r="M1096" s="205">
        <v>20</v>
      </c>
      <c r="N1096" s="39" t="s">
        <v>817</v>
      </c>
      <c r="O1096" s="39" t="s">
        <v>49</v>
      </c>
      <c r="P1096" s="210"/>
      <c r="Q1096" s="19">
        <v>45</v>
      </c>
      <c r="R1096" s="15">
        <f>Q1096/I1096</f>
        <v>0.22500000000000001</v>
      </c>
      <c r="S1096" s="5">
        <v>23</v>
      </c>
      <c r="U1096" s="109" t="s">
        <v>129</v>
      </c>
      <c r="V1096" s="71" t="s">
        <v>360</v>
      </c>
      <c r="Y1096" s="175"/>
      <c r="Z1096" s="175"/>
      <c r="AA1096" s="175"/>
      <c r="AB1096" s="175"/>
      <c r="AC1096" s="175"/>
      <c r="AD1096" s="175"/>
      <c r="AE1096" s="175"/>
      <c r="AF1096" s="175"/>
      <c r="AG1096" s="175"/>
      <c r="AH1096" s="175"/>
    </row>
    <row r="1097" spans="1:34">
      <c r="A1097" s="165" t="s">
        <v>1383</v>
      </c>
      <c r="B1097" s="39" t="s">
        <v>63</v>
      </c>
      <c r="C1097" s="41">
        <v>46196</v>
      </c>
      <c r="D1097" s="144">
        <v>0.91666666666666663</v>
      </c>
      <c r="E1097" s="43"/>
      <c r="F1097" s="8" t="s">
        <v>909</v>
      </c>
      <c r="G1097" s="2">
        <v>1</v>
      </c>
      <c r="H1097" s="2">
        <v>9</v>
      </c>
      <c r="I1097" s="45">
        <v>135</v>
      </c>
      <c r="J1097" s="2" t="s">
        <v>766</v>
      </c>
      <c r="K1097" s="88" t="s">
        <v>813</v>
      </c>
      <c r="L1097" s="89">
        <v>10000</v>
      </c>
      <c r="M1097" s="202">
        <v>15</v>
      </c>
      <c r="N1097" s="132" t="s">
        <v>821</v>
      </c>
      <c r="O1097" s="39" t="s">
        <v>49</v>
      </c>
      <c r="P1097" s="210"/>
      <c r="Q1097" s="19">
        <v>35</v>
      </c>
      <c r="R1097" s="15">
        <f>Q1097/I1097</f>
        <v>0.25925925925925924</v>
      </c>
      <c r="S1097" s="5">
        <v>22</v>
      </c>
      <c r="U1097" s="109" t="s">
        <v>767</v>
      </c>
      <c r="V1097" s="21" t="s">
        <v>362</v>
      </c>
      <c r="W1097" s="8" t="s">
        <v>369</v>
      </c>
      <c r="Y1097" s="175"/>
      <c r="Z1097" s="175"/>
      <c r="AA1097" s="175"/>
      <c r="AB1097" s="175"/>
      <c r="AC1097" s="175"/>
      <c r="AD1097" s="175"/>
      <c r="AE1097" s="175"/>
      <c r="AF1097" s="175"/>
      <c r="AG1097" s="175"/>
      <c r="AH1097" s="175"/>
    </row>
    <row r="1098" spans="1:34">
      <c r="A1098" s="96" t="s">
        <v>461</v>
      </c>
      <c r="B1098" s="96" t="s">
        <v>462</v>
      </c>
      <c r="C1098" s="41">
        <v>46196</v>
      </c>
      <c r="D1098" s="42">
        <v>0.92361111111111116</v>
      </c>
      <c r="E1098" s="43"/>
      <c r="F1098" s="8" t="s">
        <v>456</v>
      </c>
      <c r="G1098" s="2">
        <v>1</v>
      </c>
      <c r="I1098" s="126">
        <v>120</v>
      </c>
      <c r="J1098" s="2" t="s">
        <v>766</v>
      </c>
      <c r="K1098" s="109" t="s">
        <v>737</v>
      </c>
      <c r="L1098" s="8">
        <v>20000</v>
      </c>
      <c r="M1098" s="202">
        <v>15</v>
      </c>
      <c r="N1098" s="39" t="s">
        <v>48</v>
      </c>
      <c r="O1098" s="39" t="s">
        <v>49</v>
      </c>
      <c r="P1098" s="135" t="s">
        <v>827</v>
      </c>
      <c r="Q1098" s="19">
        <v>24</v>
      </c>
      <c r="R1098" s="15">
        <f>Q1098/I1098</f>
        <v>0.2</v>
      </c>
      <c r="S1098" s="5">
        <f>($AC1098*$AD1098)/(($Z1098/$Y1098)+($AA1098/$Z1098)+($AB1098/$AA1098))</f>
        <v>25.161290322580644</v>
      </c>
      <c r="U1098" s="109" t="s">
        <v>463</v>
      </c>
      <c r="V1098" s="2" t="s">
        <v>735</v>
      </c>
      <c r="W1098" s="2" t="s">
        <v>464</v>
      </c>
      <c r="Y1098" s="2">
        <v>2.5</v>
      </c>
      <c r="Z1098" s="2">
        <v>7.5</v>
      </c>
      <c r="AA1098" s="2">
        <v>30</v>
      </c>
      <c r="AB1098" s="2">
        <v>100</v>
      </c>
      <c r="AC1098" s="2">
        <v>13</v>
      </c>
      <c r="AD1098" s="2">
        <v>20</v>
      </c>
      <c r="AE1098" s="2">
        <f>AC1098*AD1098</f>
        <v>260</v>
      </c>
      <c r="AF1098" s="2">
        <f>Z1098/Y1098</f>
        <v>3</v>
      </c>
      <c r="AG1098" s="2">
        <f>AA1098/Z1098</f>
        <v>4</v>
      </c>
      <c r="AH1098" s="2">
        <f>AB1098/AA1098</f>
        <v>3.3333333333333335</v>
      </c>
    </row>
    <row r="1099" spans="1:34">
      <c r="A1099" s="165" t="s">
        <v>1383</v>
      </c>
      <c r="B1099" s="36" t="s">
        <v>63</v>
      </c>
      <c r="C1099" s="41">
        <v>46196</v>
      </c>
      <c r="D1099" s="144" t="s">
        <v>117</v>
      </c>
      <c r="E1099" s="228">
        <v>63</v>
      </c>
      <c r="F1099" s="8" t="s">
        <v>983</v>
      </c>
      <c r="G1099" s="2">
        <v>3</v>
      </c>
      <c r="H1099" s="2">
        <v>9</v>
      </c>
      <c r="I1099" s="45">
        <v>1000</v>
      </c>
      <c r="J1099" s="2" t="s">
        <v>763</v>
      </c>
      <c r="K1099" s="109" t="s">
        <v>601</v>
      </c>
      <c r="L1099" s="89">
        <v>40000</v>
      </c>
      <c r="M1099" s="202" t="s">
        <v>22</v>
      </c>
      <c r="N1099" s="39" t="s">
        <v>48</v>
      </c>
      <c r="O1099" s="39" t="s">
        <v>49</v>
      </c>
      <c r="P1099" s="210"/>
      <c r="Q1099" s="19">
        <f>R1099*I1099</f>
        <v>120</v>
      </c>
      <c r="R1099" s="15">
        <v>0.12</v>
      </c>
      <c r="S1099" s="5">
        <f>($AC1099*$AD1099)/(($Z1099/$Y1099)+($AA1099/$Z1099)+($AB1099/$AA1099))</f>
        <v>76.947040498442377</v>
      </c>
      <c r="U1099" s="109" t="s">
        <v>767</v>
      </c>
      <c r="V1099" s="205" t="s">
        <v>121</v>
      </c>
      <c r="W1099" s="205"/>
      <c r="Y1099" s="2">
        <v>2</v>
      </c>
      <c r="Z1099" s="2">
        <v>5</v>
      </c>
      <c r="AA1099" s="2">
        <v>13</v>
      </c>
      <c r="AB1099" s="2">
        <v>30</v>
      </c>
      <c r="AC1099" s="2">
        <v>19</v>
      </c>
      <c r="AD1099" s="2">
        <v>30</v>
      </c>
      <c r="AE1099" s="2">
        <f>AC1099*AD1099</f>
        <v>570</v>
      </c>
      <c r="AF1099" s="2">
        <f>Z1099/Y1099</f>
        <v>2.5</v>
      </c>
      <c r="AG1099" s="2">
        <f>AA1099/Z1099</f>
        <v>2.6</v>
      </c>
      <c r="AH1099" s="2">
        <f>AB1099/AA1099</f>
        <v>2.3076923076923075</v>
      </c>
    </row>
    <row r="1100" spans="1:34">
      <c r="A1100" s="165" t="s">
        <v>1383</v>
      </c>
      <c r="B1100" s="36" t="s">
        <v>63</v>
      </c>
      <c r="C1100" s="41">
        <v>46196</v>
      </c>
      <c r="D1100" s="144" t="s">
        <v>115</v>
      </c>
      <c r="E1100" s="228">
        <v>57</v>
      </c>
      <c r="F1100" s="8" t="s">
        <v>1116</v>
      </c>
      <c r="G1100" s="2">
        <v>3</v>
      </c>
      <c r="H1100" s="2">
        <v>8</v>
      </c>
      <c r="I1100" s="45">
        <v>1000</v>
      </c>
      <c r="J1100" s="2" t="s">
        <v>762</v>
      </c>
      <c r="K1100" s="109" t="s">
        <v>598</v>
      </c>
      <c r="L1100" s="89">
        <v>20000</v>
      </c>
      <c r="M1100" s="202" t="s">
        <v>97</v>
      </c>
      <c r="N1100" s="39" t="s">
        <v>48</v>
      </c>
      <c r="O1100" s="39" t="s">
        <v>57</v>
      </c>
      <c r="P1100" s="213"/>
      <c r="Q1100" s="38">
        <f>R1100*I1100</f>
        <v>120</v>
      </c>
      <c r="R1100" s="15">
        <v>0.12</v>
      </c>
      <c r="S1100" s="149" t="s">
        <v>110</v>
      </c>
      <c r="T1100" s="149"/>
      <c r="U1100" s="109" t="s">
        <v>767</v>
      </c>
      <c r="V1100" s="205" t="s">
        <v>121</v>
      </c>
      <c r="W1100" s="205"/>
      <c r="AE1100" s="2" t="e">
        <f>AD1100*#REF!</f>
        <v>#REF!</v>
      </c>
      <c r="AF1100" s="2" t="e">
        <f>Z1100/Y1100</f>
        <v>#DIV/0!</v>
      </c>
      <c r="AG1100" s="2" t="e">
        <f>AA1100/Z1100</f>
        <v>#DIV/0!</v>
      </c>
      <c r="AH1100" s="2" t="e">
        <f>AC1100/AA1100</f>
        <v>#DIV/0!</v>
      </c>
    </row>
    <row r="1101" spans="1:34">
      <c r="A1101" s="165" t="s">
        <v>1383</v>
      </c>
      <c r="B1101" s="36" t="s">
        <v>63</v>
      </c>
      <c r="C1101" s="41">
        <v>46196</v>
      </c>
      <c r="D1101" s="144" t="s">
        <v>115</v>
      </c>
      <c r="E1101" s="194">
        <v>64</v>
      </c>
      <c r="F1101" s="8" t="s">
        <v>1030</v>
      </c>
      <c r="G1101" s="2">
        <v>3</v>
      </c>
      <c r="H1101" s="2">
        <v>8</v>
      </c>
      <c r="I1101" s="45">
        <v>25000</v>
      </c>
      <c r="J1101" s="2" t="s">
        <v>762</v>
      </c>
      <c r="K1101" s="109" t="s">
        <v>601</v>
      </c>
      <c r="L1101" s="89">
        <v>150000</v>
      </c>
      <c r="M1101" s="202">
        <v>60</v>
      </c>
      <c r="N1101" s="39" t="s">
        <v>48</v>
      </c>
      <c r="O1101" s="39" t="s">
        <v>124</v>
      </c>
      <c r="P1101" s="210"/>
      <c r="Q1101" s="19">
        <f>R1101*I1101</f>
        <v>1500</v>
      </c>
      <c r="R1101" s="15">
        <v>0.06</v>
      </c>
      <c r="S1101" s="149" t="s">
        <v>110</v>
      </c>
      <c r="T1101" s="149"/>
      <c r="U1101" s="109" t="s">
        <v>767</v>
      </c>
      <c r="V1101" s="2" t="s">
        <v>121</v>
      </c>
      <c r="W1101" s="205"/>
      <c r="AE1101" s="2" t="e">
        <f>AD1101*#REF!</f>
        <v>#REF!</v>
      </c>
      <c r="AF1101" s="2" t="e">
        <f>Z1101/Y1101</f>
        <v>#DIV/0!</v>
      </c>
      <c r="AG1101" s="2" t="e">
        <f>AA1101/Z1101</f>
        <v>#DIV/0!</v>
      </c>
      <c r="AH1101" s="2" t="e">
        <f>AC1101/AA1101</f>
        <v>#DIV/0!</v>
      </c>
    </row>
    <row r="1102" spans="1:34">
      <c r="A1102" s="165" t="s">
        <v>1383</v>
      </c>
      <c r="B1102" s="36" t="s">
        <v>63</v>
      </c>
      <c r="C1102" s="41">
        <v>46196</v>
      </c>
      <c r="D1102" s="144" t="s">
        <v>116</v>
      </c>
      <c r="E1102" s="194">
        <v>65</v>
      </c>
      <c r="F1102" s="8" t="s">
        <v>988</v>
      </c>
      <c r="G1102" s="2">
        <v>3</v>
      </c>
      <c r="H1102" s="2">
        <v>9</v>
      </c>
      <c r="I1102" s="45">
        <v>1500</v>
      </c>
      <c r="J1102" s="2" t="s">
        <v>110</v>
      </c>
      <c r="K1102" s="109" t="s">
        <v>598</v>
      </c>
      <c r="L1102" s="89">
        <v>25000</v>
      </c>
      <c r="M1102" s="202" t="s">
        <v>97</v>
      </c>
      <c r="N1102" s="39" t="s">
        <v>48</v>
      </c>
      <c r="O1102" s="39" t="s">
        <v>49</v>
      </c>
      <c r="P1102" s="210"/>
      <c r="Q1102" s="19">
        <f>R1102*I1102</f>
        <v>172.5</v>
      </c>
      <c r="R1102" s="15">
        <v>0.115</v>
      </c>
      <c r="S1102" s="5">
        <f>($AC1102*$AD1102)/(($Z1102/$Y1102)+($AA1102/$Z1102)+($AB1102/$AA1102))</f>
        <v>93.913043478260875</v>
      </c>
      <c r="U1102" s="109" t="s">
        <v>853</v>
      </c>
      <c r="V1102" s="2" t="s">
        <v>121</v>
      </c>
      <c r="W1102" s="205"/>
      <c r="Y1102" s="2">
        <v>1.5</v>
      </c>
      <c r="Z1102" s="2">
        <v>4</v>
      </c>
      <c r="AA1102" s="2">
        <v>10</v>
      </c>
      <c r="AB1102" s="2">
        <v>25</v>
      </c>
      <c r="AC1102" s="2">
        <v>18</v>
      </c>
      <c r="AD1102" s="2">
        <v>40</v>
      </c>
      <c r="AE1102" s="2">
        <f>AC1102*AD1102</f>
        <v>720</v>
      </c>
      <c r="AF1102" s="2">
        <f>Z1102/Y1102</f>
        <v>2.6666666666666665</v>
      </c>
      <c r="AG1102" s="2">
        <f>AA1102/Z1102</f>
        <v>2.5</v>
      </c>
      <c r="AH1102" s="2">
        <f>AB1102/AA1102</f>
        <v>2.5</v>
      </c>
    </row>
    <row r="1103" spans="1:34">
      <c r="A1103" s="165" t="s">
        <v>1383</v>
      </c>
      <c r="B1103" s="36" t="s">
        <v>63</v>
      </c>
      <c r="C1103" s="41">
        <v>46196</v>
      </c>
      <c r="D1103" s="144" t="s">
        <v>876</v>
      </c>
      <c r="E1103" s="194">
        <v>59</v>
      </c>
      <c r="F1103" s="8" t="s">
        <v>1290</v>
      </c>
      <c r="G1103" s="2">
        <v>3</v>
      </c>
      <c r="H1103" s="2">
        <v>9</v>
      </c>
      <c r="I1103" s="45">
        <v>500</v>
      </c>
      <c r="J1103" s="2" t="s">
        <v>760</v>
      </c>
      <c r="K1103" s="109" t="s">
        <v>598</v>
      </c>
      <c r="L1103" s="89">
        <v>50000</v>
      </c>
      <c r="M1103" s="202">
        <v>40</v>
      </c>
      <c r="N1103" s="39" t="s">
        <v>48</v>
      </c>
      <c r="O1103" s="39" t="s">
        <v>49</v>
      </c>
      <c r="Q1103" s="19">
        <f>R1103*I1103</f>
        <v>50</v>
      </c>
      <c r="R1103" s="15">
        <v>0.1</v>
      </c>
      <c r="S1103" s="5">
        <f>($AC1103*$AD1103)/(($Z1103/$Y1103)+($AA1103/$Z1103)+($AB1103/$AA1103))</f>
        <v>107.99584631360334</v>
      </c>
      <c r="U1103" s="109" t="s">
        <v>767</v>
      </c>
      <c r="V1103" s="2" t="s">
        <v>121</v>
      </c>
      <c r="W1103" s="205"/>
      <c r="Y1103" s="2">
        <v>2</v>
      </c>
      <c r="Z1103" s="2">
        <v>5</v>
      </c>
      <c r="AA1103" s="2">
        <v>13</v>
      </c>
      <c r="AB1103" s="2">
        <v>30</v>
      </c>
      <c r="AC1103" s="2">
        <v>20</v>
      </c>
      <c r="AD1103" s="2">
        <v>40</v>
      </c>
      <c r="AE1103" s="2">
        <f>AC1103*AD1103</f>
        <v>800</v>
      </c>
      <c r="AF1103" s="2">
        <f>Z1103/Y1103</f>
        <v>2.5</v>
      </c>
      <c r="AG1103" s="2">
        <f>AA1103/Z1103</f>
        <v>2.6</v>
      </c>
      <c r="AH1103" s="2">
        <f>AB1103/AA1103</f>
        <v>2.3076923076923075</v>
      </c>
    </row>
    <row r="1104" spans="1:34">
      <c r="A1104" s="96" t="s">
        <v>461</v>
      </c>
      <c r="B1104" s="96" t="s">
        <v>462</v>
      </c>
      <c r="C1104" s="41">
        <v>46197</v>
      </c>
      <c r="D1104" s="42">
        <v>0.4236111111111111</v>
      </c>
      <c r="E1104" s="43"/>
      <c r="F1104" s="8" t="s">
        <v>471</v>
      </c>
      <c r="G1104" s="2">
        <v>2</v>
      </c>
      <c r="I1104" s="126">
        <v>300</v>
      </c>
      <c r="J1104" s="2" t="s">
        <v>766</v>
      </c>
      <c r="K1104" s="109" t="s">
        <v>598</v>
      </c>
      <c r="L1104" s="8">
        <v>30000</v>
      </c>
      <c r="M1104" s="202">
        <v>30</v>
      </c>
      <c r="N1104" s="39" t="s">
        <v>48</v>
      </c>
      <c r="O1104" s="39" t="s">
        <v>49</v>
      </c>
      <c r="P1104" s="135" t="s">
        <v>842</v>
      </c>
      <c r="Q1104" s="19">
        <v>65</v>
      </c>
      <c r="R1104" s="15">
        <f>Q1104/I1104</f>
        <v>0.21666666666666667</v>
      </c>
      <c r="S1104" s="5">
        <f>($AC1104*$AD1104)/(($Z1104/$Y1104)+($AA1104/$Z1104)+($AB1104/$AA1104))</f>
        <v>53.333333333333336</v>
      </c>
      <c r="U1104" s="109" t="s">
        <v>767</v>
      </c>
      <c r="V1104" s="205" t="s">
        <v>735</v>
      </c>
      <c r="W1104" s="205"/>
      <c r="Y1104" s="2">
        <v>2</v>
      </c>
      <c r="Z1104" s="2">
        <v>5</v>
      </c>
      <c r="AA1104" s="2">
        <v>20</v>
      </c>
      <c r="AB1104" s="2">
        <v>50</v>
      </c>
      <c r="AC1104" s="2">
        <v>16</v>
      </c>
      <c r="AD1104" s="2">
        <v>30</v>
      </c>
      <c r="AE1104" s="2">
        <f>AC1104*AD1104</f>
        <v>480</v>
      </c>
      <c r="AF1104" s="2">
        <f>Z1104/Y1104</f>
        <v>2.5</v>
      </c>
      <c r="AG1104" s="2">
        <f>AA1104/Z1104</f>
        <v>4</v>
      </c>
      <c r="AH1104" s="2">
        <f>AB1104/AA1104</f>
        <v>2.5</v>
      </c>
    </row>
    <row r="1105" spans="1:34">
      <c r="A1105" s="95" t="s">
        <v>447</v>
      </c>
      <c r="B1105" s="95" t="s">
        <v>448</v>
      </c>
      <c r="C1105" s="190">
        <v>46197</v>
      </c>
      <c r="D1105" s="42">
        <v>0.45833333333333331</v>
      </c>
      <c r="E1105" s="43"/>
      <c r="F1105" s="8" t="s">
        <v>440</v>
      </c>
      <c r="G1105" s="2">
        <v>1</v>
      </c>
      <c r="H1105" s="2">
        <v>9</v>
      </c>
      <c r="I1105" s="126">
        <v>1100</v>
      </c>
      <c r="J1105" s="2" t="s">
        <v>766</v>
      </c>
      <c r="K1105" s="109" t="s">
        <v>602</v>
      </c>
      <c r="L1105" s="8">
        <v>30000</v>
      </c>
      <c r="M1105" s="8">
        <v>30</v>
      </c>
      <c r="N1105" s="39" t="s">
        <v>48</v>
      </c>
      <c r="O1105" s="39" t="s">
        <v>49</v>
      </c>
      <c r="P1105" s="135" t="s">
        <v>841</v>
      </c>
      <c r="Q1105" s="19">
        <v>135</v>
      </c>
      <c r="R1105" s="15">
        <f>Q1105/I1105</f>
        <v>0.12272727272727273</v>
      </c>
      <c r="S1105" s="5">
        <f>($AC1105*$AD1105)/(($Z1105/$Y1105)+($AA1105/$Z1105)+($AB1105/$AA1105))</f>
        <v>72.897196261682254</v>
      </c>
      <c r="U1105" s="109" t="s">
        <v>767</v>
      </c>
      <c r="V1105" s="2" t="s">
        <v>741</v>
      </c>
      <c r="Y1105" s="2">
        <v>2</v>
      </c>
      <c r="Z1105" s="2">
        <v>5</v>
      </c>
      <c r="AA1105" s="2">
        <v>13</v>
      </c>
      <c r="AB1105" s="2">
        <v>30</v>
      </c>
      <c r="AC1105" s="2">
        <v>18</v>
      </c>
      <c r="AD1105" s="2">
        <v>30</v>
      </c>
      <c r="AE1105" s="2">
        <f>AC1105*AD1105</f>
        <v>540</v>
      </c>
      <c r="AF1105" s="2">
        <f>Z1105/Y1105</f>
        <v>2.5</v>
      </c>
      <c r="AG1105" s="2">
        <f>AA1105/Z1105</f>
        <v>2.6</v>
      </c>
      <c r="AH1105" s="2">
        <f>AB1105/AA1105</f>
        <v>2.3076923076923075</v>
      </c>
    </row>
    <row r="1106" spans="1:34">
      <c r="A1106" s="103" t="s">
        <v>539</v>
      </c>
      <c r="B1106" s="103" t="s">
        <v>540</v>
      </c>
      <c r="C1106" s="191">
        <v>46197</v>
      </c>
      <c r="D1106" s="42">
        <v>0.45833333333333331</v>
      </c>
      <c r="E1106">
        <v>75</v>
      </c>
      <c r="F1106" s="63" t="s">
        <v>575</v>
      </c>
      <c r="G1106" s="2">
        <v>2</v>
      </c>
      <c r="H1106" s="2">
        <v>9</v>
      </c>
      <c r="I1106" s="126">
        <v>600</v>
      </c>
      <c r="J1106" s="179" t="s">
        <v>766</v>
      </c>
      <c r="K1106" s="179" t="s">
        <v>601</v>
      </c>
      <c r="L1106" s="89">
        <v>30000</v>
      </c>
      <c r="M1106" s="207" t="s">
        <v>97</v>
      </c>
      <c r="N1106" s="39" t="s">
        <v>48</v>
      </c>
      <c r="O1106" s="39" t="s">
        <v>49</v>
      </c>
      <c r="P1106" s="135" t="s">
        <v>843</v>
      </c>
      <c r="Q1106" s="19">
        <v>92</v>
      </c>
      <c r="R1106" s="15">
        <f>Q1106/I1106</f>
        <v>0.15333333333333332</v>
      </c>
      <c r="S1106" s="5">
        <f>($AC1106*$AD1106)/(($Z1106/$Y1106)+($AA1106/$Z1106)+($AB1106/$AA1106))</f>
        <v>99.130434782608702</v>
      </c>
      <c r="U1106" s="109" t="s">
        <v>767</v>
      </c>
      <c r="V1106" s="71" t="s">
        <v>1395</v>
      </c>
      <c r="Y1106" s="2">
        <v>1.5</v>
      </c>
      <c r="Z1106" s="2">
        <v>4</v>
      </c>
      <c r="AA1106" s="2">
        <v>10</v>
      </c>
      <c r="AB1106" s="2">
        <v>25</v>
      </c>
      <c r="AC1106" s="2">
        <v>19</v>
      </c>
      <c r="AD1106" s="2">
        <v>40</v>
      </c>
      <c r="AE1106" s="2">
        <f>AC1106*AD1106</f>
        <v>760</v>
      </c>
      <c r="AF1106" s="2">
        <f>Z1106/Y1106</f>
        <v>2.6666666666666665</v>
      </c>
      <c r="AG1106" s="2">
        <f>AA1106/Z1106</f>
        <v>2.5</v>
      </c>
      <c r="AH1106" s="2">
        <f>AB1106/AA1106</f>
        <v>2.5</v>
      </c>
    </row>
    <row r="1107" spans="1:34">
      <c r="A1107" s="165" t="s">
        <v>1383</v>
      </c>
      <c r="B1107" s="36" t="s">
        <v>63</v>
      </c>
      <c r="C1107" s="41">
        <v>46197</v>
      </c>
      <c r="D1107" s="144">
        <v>0.45833333333333331</v>
      </c>
      <c r="E1107">
        <v>61</v>
      </c>
      <c r="F1107" s="8" t="s">
        <v>1376</v>
      </c>
      <c r="G1107" s="2">
        <v>4</v>
      </c>
      <c r="H1107" s="2">
        <v>9</v>
      </c>
      <c r="I1107" s="45">
        <v>1000</v>
      </c>
      <c r="J1107" s="2" t="s">
        <v>760</v>
      </c>
      <c r="K1107" s="109" t="s">
        <v>602</v>
      </c>
      <c r="L1107" s="89">
        <v>20000</v>
      </c>
      <c r="M1107" s="54">
        <v>60</v>
      </c>
      <c r="N1107" s="39" t="s">
        <v>48</v>
      </c>
      <c r="O1107" s="39" t="s">
        <v>49</v>
      </c>
      <c r="Q1107" s="19">
        <f>R1107*I1107</f>
        <v>120</v>
      </c>
      <c r="R1107" s="15">
        <v>0.12</v>
      </c>
      <c r="S1107" s="5">
        <f>($AC1107*$AD1107)/(($Z1107/$Y1107)+($AA1107/$Z1107)+($AB1107/$AA1107))</f>
        <v>133.04347826086956</v>
      </c>
      <c r="U1107" s="109" t="s">
        <v>54</v>
      </c>
      <c r="V1107" s="2" t="s">
        <v>121</v>
      </c>
      <c r="Y1107" s="2">
        <v>1.5</v>
      </c>
      <c r="Z1107" s="2">
        <v>4</v>
      </c>
      <c r="AA1107" s="2">
        <v>10</v>
      </c>
      <c r="AB1107" s="2">
        <v>25</v>
      </c>
      <c r="AC1107" s="2">
        <v>17</v>
      </c>
      <c r="AD1107" s="2">
        <v>60</v>
      </c>
      <c r="AE1107" s="2">
        <f>AC1107*AD1107</f>
        <v>1020</v>
      </c>
      <c r="AF1107" s="2">
        <f>Z1107/Y1107</f>
        <v>2.6666666666666665</v>
      </c>
      <c r="AG1107" s="2">
        <f>AA1107/Z1107</f>
        <v>2.5</v>
      </c>
      <c r="AH1107" s="2">
        <f>AB1107/AA1107</f>
        <v>2.5</v>
      </c>
    </row>
    <row r="1108" spans="1:34">
      <c r="A1108" s="102" t="s">
        <v>475</v>
      </c>
      <c r="B1108" s="102" t="s">
        <v>476</v>
      </c>
      <c r="C1108" s="190">
        <v>46197</v>
      </c>
      <c r="D1108" s="42">
        <v>0.45833333333333331</v>
      </c>
      <c r="E1108" s="194">
        <v>25</v>
      </c>
      <c r="F1108" s="8" t="s">
        <v>498</v>
      </c>
      <c r="G1108" s="2">
        <v>1</v>
      </c>
      <c r="H1108" s="2">
        <v>9</v>
      </c>
      <c r="I1108" s="126">
        <v>400</v>
      </c>
      <c r="J1108" s="2" t="s">
        <v>766</v>
      </c>
      <c r="K1108" s="109" t="s">
        <v>601</v>
      </c>
      <c r="L1108" s="105">
        <v>30000</v>
      </c>
      <c r="M1108" s="64">
        <v>30</v>
      </c>
      <c r="N1108" s="39" t="s">
        <v>48</v>
      </c>
      <c r="O1108" s="39" t="s">
        <v>49</v>
      </c>
      <c r="P1108" s="134" t="s">
        <v>834</v>
      </c>
      <c r="Q1108" s="19">
        <v>70</v>
      </c>
      <c r="R1108" s="15">
        <f>Q1108/I1108</f>
        <v>0.17499999999999999</v>
      </c>
      <c r="S1108" s="5">
        <f>($AC1108*$AD1108)/(($Z1108/$Y1108)+($AA1108/$Z1108)+($AB1108/$AA1108))</f>
        <v>72.897196261682254</v>
      </c>
      <c r="U1108" s="109" t="s">
        <v>55</v>
      </c>
      <c r="V1108" s="205" t="s">
        <v>632</v>
      </c>
      <c r="W1108" s="205"/>
      <c r="Y1108" s="2">
        <v>2</v>
      </c>
      <c r="Z1108" s="2">
        <v>5</v>
      </c>
      <c r="AA1108" s="2">
        <v>13</v>
      </c>
      <c r="AB1108" s="2">
        <v>30</v>
      </c>
      <c r="AC1108" s="2">
        <v>30</v>
      </c>
      <c r="AD1108" s="2">
        <v>18</v>
      </c>
      <c r="AE1108" s="2">
        <f>AC1108*AD1108</f>
        <v>540</v>
      </c>
      <c r="AF1108" s="2">
        <f>Z1108/Y1108</f>
        <v>2.5</v>
      </c>
      <c r="AG1108" s="2">
        <f>AA1108/Z1108</f>
        <v>2.6</v>
      </c>
      <c r="AH1108" s="2">
        <f>AB1108/AA1108</f>
        <v>2.3076923076923075</v>
      </c>
    </row>
    <row r="1109" spans="1:34">
      <c r="A1109" s="52" t="s">
        <v>229</v>
      </c>
      <c r="B1109" s="52" t="s">
        <v>230</v>
      </c>
      <c r="C1109" s="190">
        <v>46197</v>
      </c>
      <c r="D1109" s="42">
        <v>0.45833333333333331</v>
      </c>
      <c r="E1109" s="43"/>
      <c r="F1109" s="8" t="s">
        <v>242</v>
      </c>
      <c r="G1109" s="2">
        <v>1</v>
      </c>
      <c r="I1109" s="126">
        <v>200</v>
      </c>
      <c r="J1109" s="2" t="s">
        <v>766</v>
      </c>
      <c r="K1109" s="88" t="s">
        <v>775</v>
      </c>
      <c r="L1109" s="90">
        <v>25000</v>
      </c>
      <c r="M1109" s="46" t="s">
        <v>128</v>
      </c>
      <c r="N1109" s="39" t="s">
        <v>48</v>
      </c>
      <c r="O1109" s="39" t="s">
        <v>49</v>
      </c>
      <c r="P1109" s="135" t="s">
        <v>832</v>
      </c>
      <c r="Q1109" s="19">
        <v>40</v>
      </c>
      <c r="R1109" s="15">
        <f>IF(Q1109&gt;0,Q1109/I1109,"")</f>
        <v>0.2</v>
      </c>
      <c r="S1109" s="5">
        <f>($AC1109*$AD1109)/(($Z1109/$Y1109)+($AA1109/$Z1109)+($AB1109/$AA1109))</f>
        <v>28.333333333333332</v>
      </c>
      <c r="U1109" s="109" t="s">
        <v>767</v>
      </c>
      <c r="V1109" s="205" t="s">
        <v>719</v>
      </c>
      <c r="W1109" s="205"/>
      <c r="Y1109" s="2">
        <v>2</v>
      </c>
      <c r="Z1109" s="2">
        <v>5</v>
      </c>
      <c r="AA1109" s="2">
        <v>20</v>
      </c>
      <c r="AB1109" s="2">
        <v>50</v>
      </c>
      <c r="AC1109" s="2">
        <v>255</v>
      </c>
      <c r="AD1109" s="2">
        <v>1</v>
      </c>
      <c r="AE1109" s="2">
        <f>AC1109*AD1109</f>
        <v>255</v>
      </c>
      <c r="AF1109" s="2">
        <f>Z1109/Y1109</f>
        <v>2.5</v>
      </c>
      <c r="AG1109" s="2">
        <f>AA1109/Z1109</f>
        <v>4</v>
      </c>
      <c r="AH1109" s="2">
        <f>AB1109/AA1109</f>
        <v>2.5</v>
      </c>
    </row>
    <row r="1110" spans="1:34">
      <c r="A1110" s="52" t="s">
        <v>220</v>
      </c>
      <c r="B1110" s="52" t="s">
        <v>221</v>
      </c>
      <c r="C1110" s="51">
        <v>46197</v>
      </c>
      <c r="D1110" s="42">
        <v>0.45833333333333331</v>
      </c>
      <c r="E1110" s="43"/>
      <c r="F1110" s="8" t="s">
        <v>1060</v>
      </c>
      <c r="G1110" s="2">
        <v>1</v>
      </c>
      <c r="H1110" s="2">
        <v>9</v>
      </c>
      <c r="I1110" s="126">
        <v>1100</v>
      </c>
      <c r="J1110" s="2" t="s">
        <v>766</v>
      </c>
      <c r="K1110" s="88" t="s">
        <v>769</v>
      </c>
      <c r="L1110" s="90">
        <v>20000</v>
      </c>
      <c r="M1110" s="8">
        <v>15</v>
      </c>
      <c r="N1110" s="39" t="s">
        <v>61</v>
      </c>
      <c r="O1110" s="39" t="s">
        <v>49</v>
      </c>
      <c r="P1110" s="131" t="s">
        <v>228</v>
      </c>
      <c r="Q1110" s="19">
        <v>125</v>
      </c>
      <c r="R1110" s="15">
        <f>Q1110/I1110</f>
        <v>0.11363636363636363</v>
      </c>
      <c r="S1110" s="5">
        <f>($AC1110*$AD1110)/(($Z1110/$Y1110)+($AA1110/$Z1110)+($AB1110/$AA1110))</f>
        <v>23.333333333333332</v>
      </c>
      <c r="U1110" s="109" t="s">
        <v>767</v>
      </c>
      <c r="V1110" s="205" t="s">
        <v>738</v>
      </c>
      <c r="W1110" s="205"/>
      <c r="Y1110" s="2">
        <v>2</v>
      </c>
      <c r="Z1110" s="2">
        <v>5</v>
      </c>
      <c r="AA1110" s="2">
        <v>20</v>
      </c>
      <c r="AB1110" s="2">
        <v>50</v>
      </c>
      <c r="AC1110" s="2">
        <v>14</v>
      </c>
      <c r="AD1110" s="2">
        <v>15</v>
      </c>
      <c r="AE1110" s="2">
        <f>AC1110*AD1110</f>
        <v>210</v>
      </c>
      <c r="AF1110" s="2">
        <f>Z1110/Y1110</f>
        <v>2.5</v>
      </c>
      <c r="AG1110" s="2">
        <f>AA1110/Z1110</f>
        <v>4</v>
      </c>
      <c r="AH1110" s="2">
        <f>AB1110/AA1110</f>
        <v>2.5</v>
      </c>
    </row>
    <row r="1111" spans="1:34">
      <c r="A1111" s="68" t="s">
        <v>357</v>
      </c>
      <c r="B1111" s="68" t="s">
        <v>358</v>
      </c>
      <c r="C1111" s="191">
        <v>46197</v>
      </c>
      <c r="D1111" s="42">
        <v>0.46527777777777779</v>
      </c>
      <c r="E1111" s="194">
        <v>66</v>
      </c>
      <c r="F1111" s="63" t="s">
        <v>318</v>
      </c>
      <c r="G1111" s="2">
        <v>1</v>
      </c>
      <c r="H1111" s="2">
        <v>9</v>
      </c>
      <c r="I1111" s="126">
        <v>800</v>
      </c>
      <c r="J1111" s="2" t="s">
        <v>766</v>
      </c>
      <c r="K1111" s="137" t="s">
        <v>816</v>
      </c>
      <c r="L1111" s="89">
        <v>4000</v>
      </c>
      <c r="M1111" s="202">
        <v>30</v>
      </c>
      <c r="N1111" s="39" t="s">
        <v>48</v>
      </c>
      <c r="O1111" s="39" t="s">
        <v>49</v>
      </c>
      <c r="P1111" s="134" t="s">
        <v>839</v>
      </c>
      <c r="Q1111" s="19">
        <v>105</v>
      </c>
      <c r="R1111" s="15">
        <f>Q1111/I1111</f>
        <v>0.13125000000000001</v>
      </c>
      <c r="S1111" s="5">
        <f>($AC1111*$AD1111)/(($Z1111/$Y1111)+($AA1111/$Z1111)+($AB1111/$AA1111))</f>
        <v>71.293161814488826</v>
      </c>
      <c r="U1111" s="109" t="s">
        <v>125</v>
      </c>
      <c r="V1111" s="2" t="s">
        <v>682</v>
      </c>
      <c r="W1111" s="218" t="s">
        <v>683</v>
      </c>
      <c r="Y1111" s="2">
        <v>2.5</v>
      </c>
      <c r="Z1111" s="2">
        <v>6.5</v>
      </c>
      <c r="AA1111" s="2">
        <v>15</v>
      </c>
      <c r="AB1111" s="2">
        <v>40</v>
      </c>
      <c r="AC1111" s="2">
        <v>30</v>
      </c>
      <c r="AD1111" s="2">
        <v>18</v>
      </c>
      <c r="AE1111" s="2">
        <f>AC1111*AD1111</f>
        <v>540</v>
      </c>
      <c r="AF1111" s="2">
        <f>Z1111/Y1111</f>
        <v>2.6</v>
      </c>
      <c r="AG1111" s="2">
        <f>AA1111/Z1111</f>
        <v>2.3076923076923075</v>
      </c>
      <c r="AH1111" s="2">
        <f>AB1111/AA1111</f>
        <v>2.6666666666666665</v>
      </c>
    </row>
    <row r="1112" spans="1:34">
      <c r="A1112" s="103" t="s">
        <v>539</v>
      </c>
      <c r="B1112" s="103" t="s">
        <v>540</v>
      </c>
      <c r="C1112" s="191">
        <v>46197</v>
      </c>
      <c r="D1112" s="42">
        <v>0.5</v>
      </c>
      <c r="E1112" s="194">
        <v>76</v>
      </c>
      <c r="F1112" s="63" t="s">
        <v>579</v>
      </c>
      <c r="G1112" s="2">
        <v>1</v>
      </c>
      <c r="H1112" s="2">
        <v>6</v>
      </c>
      <c r="I1112" s="126">
        <v>500</v>
      </c>
      <c r="J1112" s="179" t="s">
        <v>766</v>
      </c>
      <c r="K1112" s="179" t="s">
        <v>602</v>
      </c>
      <c r="L1112" s="89">
        <v>35000</v>
      </c>
      <c r="M1112" s="207" t="s">
        <v>22</v>
      </c>
      <c r="N1112" s="39" t="s">
        <v>48</v>
      </c>
      <c r="O1112" s="39" t="s">
        <v>860</v>
      </c>
      <c r="P1112" s="63">
        <v>25000</v>
      </c>
      <c r="Q1112" s="2">
        <v>70</v>
      </c>
      <c r="R1112" s="15">
        <f>Q1112/I1112</f>
        <v>0.14000000000000001</v>
      </c>
      <c r="S1112" s="142"/>
      <c r="U1112" s="109" t="s">
        <v>767</v>
      </c>
      <c r="V1112" s="71" t="s">
        <v>1395</v>
      </c>
      <c r="W1112" s="205"/>
      <c r="AE1112" s="2">
        <f>AC1112*AD1112</f>
        <v>0</v>
      </c>
      <c r="AF1112" s="2" t="e">
        <f>Z1112/Y1112</f>
        <v>#DIV/0!</v>
      </c>
      <c r="AG1112" s="2" t="e">
        <f>AA1112/Z1112</f>
        <v>#DIV/0!</v>
      </c>
      <c r="AH1112" s="2" t="e">
        <f>AB1112/AA1112</f>
        <v>#DIV/0!</v>
      </c>
    </row>
    <row r="1113" spans="1:34">
      <c r="A1113" s="165" t="s">
        <v>1383</v>
      </c>
      <c r="B1113" s="39" t="s">
        <v>63</v>
      </c>
      <c r="C1113" s="47">
        <v>46197</v>
      </c>
      <c r="D1113" s="144">
        <v>0.5</v>
      </c>
      <c r="E1113" s="43"/>
      <c r="F1113" s="8" t="s">
        <v>135</v>
      </c>
      <c r="G1113" s="2">
        <v>1</v>
      </c>
      <c r="H1113" s="2">
        <v>9</v>
      </c>
      <c r="I1113" s="126">
        <v>130</v>
      </c>
      <c r="J1113" s="2" t="s">
        <v>766</v>
      </c>
      <c r="K1113" s="88" t="s">
        <v>773</v>
      </c>
      <c r="L1113" s="90">
        <v>10000</v>
      </c>
      <c r="M1113" s="8">
        <v>15</v>
      </c>
      <c r="N1113" s="132" t="s">
        <v>821</v>
      </c>
      <c r="O1113" s="39" t="s">
        <v>49</v>
      </c>
      <c r="P1113" s="210"/>
      <c r="Q1113" s="19">
        <v>30</v>
      </c>
      <c r="R1113" s="15">
        <f>Q1113/I1113</f>
        <v>0.23076923076923078</v>
      </c>
      <c r="S1113" s="5">
        <v>22</v>
      </c>
      <c r="U1113" s="109" t="s">
        <v>767</v>
      </c>
      <c r="V1113" s="71" t="s">
        <v>362</v>
      </c>
      <c r="W1113" s="8" t="s">
        <v>364</v>
      </c>
      <c r="Y1113" s="175"/>
      <c r="Z1113" s="175"/>
      <c r="AA1113" s="175"/>
      <c r="AB1113" s="175"/>
      <c r="AC1113" s="175"/>
      <c r="AD1113" s="175"/>
      <c r="AE1113" s="175"/>
      <c r="AF1113" s="175"/>
      <c r="AG1113" s="175"/>
      <c r="AH1113" s="175"/>
    </row>
    <row r="1114" spans="1:34">
      <c r="A1114" s="102" t="s">
        <v>475</v>
      </c>
      <c r="B1114" s="102" t="s">
        <v>476</v>
      </c>
      <c r="C1114" s="190">
        <v>46197</v>
      </c>
      <c r="D1114" s="42">
        <v>0.5</v>
      </c>
      <c r="E1114" s="194">
        <v>24</v>
      </c>
      <c r="F1114" s="8" t="s">
        <v>1343</v>
      </c>
      <c r="G1114" s="2">
        <v>2</v>
      </c>
      <c r="H1114" s="2">
        <v>9</v>
      </c>
      <c r="I1114" s="126">
        <v>400</v>
      </c>
      <c r="J1114" s="2" t="s">
        <v>766</v>
      </c>
      <c r="K1114" s="109" t="s">
        <v>601</v>
      </c>
      <c r="L1114" s="105">
        <v>30000</v>
      </c>
      <c r="M1114" s="64">
        <v>30</v>
      </c>
      <c r="N1114" s="39" t="s">
        <v>48</v>
      </c>
      <c r="O1114" s="39" t="s">
        <v>49</v>
      </c>
      <c r="P1114" s="134" t="s">
        <v>838</v>
      </c>
      <c r="Q1114" s="19">
        <v>70</v>
      </c>
      <c r="R1114" s="15">
        <f>Q1114/I1114</f>
        <v>0.17499999999999999</v>
      </c>
      <c r="S1114" s="5">
        <f>($AC1114*$AD1114)/(($Z1114/$Y1114)+($AA1114/$Z1114)+($AB1114/$AA1114))</f>
        <v>72.897196261682254</v>
      </c>
      <c r="U1114" s="109" t="s">
        <v>767</v>
      </c>
      <c r="V1114" s="205" t="s">
        <v>633</v>
      </c>
      <c r="W1114" s="205"/>
      <c r="Y1114" s="2">
        <v>2</v>
      </c>
      <c r="Z1114" s="2">
        <v>5</v>
      </c>
      <c r="AA1114" s="2">
        <v>13</v>
      </c>
      <c r="AB1114" s="2">
        <v>30</v>
      </c>
      <c r="AC1114" s="2">
        <v>30</v>
      </c>
      <c r="AD1114" s="2">
        <v>18</v>
      </c>
      <c r="AE1114" s="2">
        <f>AC1114*AD1114</f>
        <v>540</v>
      </c>
      <c r="AF1114" s="2">
        <f>Z1114/Y1114</f>
        <v>2.5</v>
      </c>
      <c r="AG1114" s="2">
        <f>AA1114/Z1114</f>
        <v>2.6</v>
      </c>
      <c r="AH1114" s="2">
        <f>AB1114/AA1114</f>
        <v>2.3076923076923075</v>
      </c>
    </row>
    <row r="1115" spans="1:34">
      <c r="A1115" s="52" t="s">
        <v>229</v>
      </c>
      <c r="B1115" s="52" t="s">
        <v>230</v>
      </c>
      <c r="C1115" s="190">
        <v>46197</v>
      </c>
      <c r="D1115" s="42">
        <v>0.5</v>
      </c>
      <c r="E1115" s="43"/>
      <c r="F1115" s="8" t="s">
        <v>271</v>
      </c>
      <c r="G1115" s="2">
        <v>1</v>
      </c>
      <c r="I1115" s="45">
        <v>600</v>
      </c>
      <c r="J1115" s="2" t="s">
        <v>766</v>
      </c>
      <c r="K1115" s="185" t="s">
        <v>601</v>
      </c>
      <c r="L1115" s="90">
        <v>40000</v>
      </c>
      <c r="M1115" s="46" t="s">
        <v>22</v>
      </c>
      <c r="N1115" s="39" t="s">
        <v>48</v>
      </c>
      <c r="O1115" s="39" t="s">
        <v>57</v>
      </c>
      <c r="P1115" s="19">
        <v>50000</v>
      </c>
      <c r="Q1115" s="2">
        <v>85</v>
      </c>
      <c r="R1115" s="15">
        <f>IF(Q1115&gt;0,Q1115/I1115,"")</f>
        <v>0.14166666666666666</v>
      </c>
      <c r="S1115" s="149" t="s">
        <v>110</v>
      </c>
      <c r="T1115" s="149"/>
      <c r="U1115" s="109" t="s">
        <v>767</v>
      </c>
      <c r="V1115" s="205" t="s">
        <v>719</v>
      </c>
      <c r="W1115" s="205"/>
      <c r="AE1115" s="2">
        <f>AC1115*AD1115</f>
        <v>0</v>
      </c>
      <c r="AF1115" s="2" t="e">
        <f>Z1115/Y1115</f>
        <v>#DIV/0!</v>
      </c>
      <c r="AG1115" s="2" t="e">
        <f>AA1115/Z1115</f>
        <v>#DIV/0!</v>
      </c>
      <c r="AH1115" s="2" t="e">
        <f>AB1115/AA1115</f>
        <v>#DIV/0!</v>
      </c>
    </row>
    <row r="1116" spans="1:34">
      <c r="A1116" s="52" t="s">
        <v>220</v>
      </c>
      <c r="B1116" s="52" t="s">
        <v>221</v>
      </c>
      <c r="C1116" s="191">
        <v>46197</v>
      </c>
      <c r="D1116" s="42">
        <v>0.5</v>
      </c>
      <c r="E1116" s="43"/>
      <c r="F1116" s="8" t="s">
        <v>1051</v>
      </c>
      <c r="G1116" s="2">
        <v>3</v>
      </c>
      <c r="H1116" s="2">
        <v>9</v>
      </c>
      <c r="I1116" s="126">
        <v>10400</v>
      </c>
      <c r="J1116" s="2" t="s">
        <v>766</v>
      </c>
      <c r="K1116" s="88" t="s">
        <v>803</v>
      </c>
      <c r="L1116" s="90">
        <v>50000</v>
      </c>
      <c r="M1116" s="64">
        <v>60</v>
      </c>
      <c r="N1116" s="39" t="s">
        <v>48</v>
      </c>
      <c r="O1116" s="39" t="s">
        <v>49</v>
      </c>
      <c r="P1116" s="135" t="s">
        <v>850</v>
      </c>
      <c r="Q1116" s="19">
        <v>600</v>
      </c>
      <c r="R1116" s="15">
        <f>Q1116/I1116</f>
        <v>5.7692307692307696E-2</v>
      </c>
      <c r="S1116" s="5">
        <f>($AC1116*$AD1116)/(($Z1116/$Y1116)+($AA1116/$Z1116)+($AB1116/$AA1116))</f>
        <v>161.993769470405</v>
      </c>
      <c r="U1116" s="109" t="s">
        <v>767</v>
      </c>
      <c r="V1116" s="2" t="s">
        <v>738</v>
      </c>
      <c r="W1116" s="205"/>
      <c r="Y1116" s="2">
        <v>2</v>
      </c>
      <c r="Z1116" s="2">
        <v>5</v>
      </c>
      <c r="AA1116" s="2">
        <v>13</v>
      </c>
      <c r="AB1116" s="2">
        <v>30</v>
      </c>
      <c r="AC1116" s="2">
        <v>20</v>
      </c>
      <c r="AD1116" s="2">
        <v>60</v>
      </c>
      <c r="AE1116" s="2">
        <f>AC1116*AD1116</f>
        <v>1200</v>
      </c>
      <c r="AF1116" s="2">
        <f>Z1116/Y1116</f>
        <v>2.5</v>
      </c>
      <c r="AG1116" s="2">
        <f>AA1116/Z1116</f>
        <v>2.6</v>
      </c>
      <c r="AH1116" s="2">
        <f>AB1116/AA1116</f>
        <v>2.3076923076923075</v>
      </c>
    </row>
    <row r="1117" spans="1:34">
      <c r="A1117" s="68" t="s">
        <v>357</v>
      </c>
      <c r="B1117" s="68" t="s">
        <v>358</v>
      </c>
      <c r="C1117" s="51">
        <v>46197</v>
      </c>
      <c r="D1117" s="42">
        <v>0.50694444444444442</v>
      </c>
      <c r="E1117" s="194">
        <v>67</v>
      </c>
      <c r="F1117" s="63" t="s">
        <v>312</v>
      </c>
      <c r="G1117" s="2">
        <v>1</v>
      </c>
      <c r="H1117" s="2">
        <v>8</v>
      </c>
      <c r="I1117" s="126">
        <v>1100</v>
      </c>
      <c r="J1117" s="2" t="s">
        <v>766</v>
      </c>
      <c r="K1117" s="137" t="s">
        <v>815</v>
      </c>
      <c r="L1117" s="89">
        <v>30000</v>
      </c>
      <c r="M1117" s="202">
        <v>30</v>
      </c>
      <c r="N1117" s="39" t="s">
        <v>48</v>
      </c>
      <c r="O1117" s="39" t="s">
        <v>57</v>
      </c>
      <c r="P1117" s="234">
        <v>150000</v>
      </c>
      <c r="Q1117" s="2">
        <v>130</v>
      </c>
      <c r="R1117" s="15">
        <f>Q1117/I1117</f>
        <v>0.11818181818181818</v>
      </c>
      <c r="S1117" s="149" t="s">
        <v>110</v>
      </c>
      <c r="T1117" s="149"/>
      <c r="U1117" s="109" t="s">
        <v>219</v>
      </c>
      <c r="V1117" s="2" t="s">
        <v>678</v>
      </c>
      <c r="W1117" s="218" t="s">
        <v>655</v>
      </c>
      <c r="AE1117" s="2">
        <f>AC1117*AD1117</f>
        <v>0</v>
      </c>
      <c r="AF1117" s="2" t="e">
        <f>Z1117/Y1117</f>
        <v>#DIV/0!</v>
      </c>
      <c r="AG1117" s="2" t="e">
        <f>AA1117/Z1117</f>
        <v>#DIV/0!</v>
      </c>
      <c r="AH1117" s="2" t="e">
        <f>AB1117/AA1117</f>
        <v>#DIV/0!</v>
      </c>
    </row>
    <row r="1118" spans="1:34">
      <c r="A1118" s="95" t="s">
        <v>447</v>
      </c>
      <c r="B1118" s="95" t="s">
        <v>448</v>
      </c>
      <c r="C1118" s="190">
        <v>46197</v>
      </c>
      <c r="D1118" s="42">
        <v>0.54166666666666663</v>
      </c>
      <c r="E1118" s="43"/>
      <c r="F1118" s="8" t="s">
        <v>426</v>
      </c>
      <c r="G1118" s="2">
        <v>1</v>
      </c>
      <c r="H1118" s="2">
        <v>8</v>
      </c>
      <c r="I1118" s="126">
        <v>800</v>
      </c>
      <c r="J1118" s="2" t="s">
        <v>766</v>
      </c>
      <c r="K1118" s="109" t="s">
        <v>602</v>
      </c>
      <c r="L1118" s="8">
        <v>30000</v>
      </c>
      <c r="M1118" s="8">
        <v>30</v>
      </c>
      <c r="N1118" s="39" t="s">
        <v>48</v>
      </c>
      <c r="O1118" s="39" t="s">
        <v>453</v>
      </c>
      <c r="P1118" s="63">
        <v>40000</v>
      </c>
      <c r="Q1118" s="2">
        <v>100</v>
      </c>
      <c r="R1118" s="15">
        <f>Q1118/I1118</f>
        <v>0.125</v>
      </c>
      <c r="S1118" s="176" t="s">
        <v>110</v>
      </c>
      <c r="T1118" s="176"/>
      <c r="U1118" s="109" t="s">
        <v>767</v>
      </c>
      <c r="V1118" s="205" t="s">
        <v>741</v>
      </c>
      <c r="W1118" s="205"/>
      <c r="AE1118" s="2">
        <f>AC1118*AD1118</f>
        <v>0</v>
      </c>
      <c r="AF1118" s="2" t="e">
        <f>Z1118/Y1118</f>
        <v>#DIV/0!</v>
      </c>
      <c r="AG1118" s="2" t="e">
        <f>AA1118/Z1118</f>
        <v>#DIV/0!</v>
      </c>
      <c r="AH1118" s="2" t="e">
        <f>AB1118/AA1118</f>
        <v>#DIV/0!</v>
      </c>
    </row>
    <row r="1119" spans="1:34">
      <c r="A1119" s="165" t="s">
        <v>1383</v>
      </c>
      <c r="B1119" s="36" t="s">
        <v>63</v>
      </c>
      <c r="C1119" s="41">
        <v>46197</v>
      </c>
      <c r="D1119" s="144">
        <v>0.54166666666666663</v>
      </c>
      <c r="E1119" s="194">
        <v>60</v>
      </c>
      <c r="F1119" s="8" t="s">
        <v>1190</v>
      </c>
      <c r="G1119" s="2">
        <v>5</v>
      </c>
      <c r="H1119" s="2">
        <v>7</v>
      </c>
      <c r="I1119" s="45">
        <v>50000</v>
      </c>
      <c r="J1119" s="2" t="s">
        <v>110</v>
      </c>
      <c r="K1119" s="109" t="s">
        <v>598</v>
      </c>
      <c r="L1119" s="89">
        <v>300000</v>
      </c>
      <c r="M1119" s="202">
        <v>100</v>
      </c>
      <c r="N1119" s="39" t="s">
        <v>48</v>
      </c>
      <c r="O1119" s="39" t="s">
        <v>863</v>
      </c>
      <c r="P1119" s="19"/>
      <c r="Q1119" s="38">
        <f>R1119*I1119</f>
        <v>2500</v>
      </c>
      <c r="R1119" s="15">
        <v>0.05</v>
      </c>
      <c r="S1119" s="149" t="s">
        <v>110</v>
      </c>
      <c r="T1119" s="149"/>
      <c r="U1119" s="109" t="s">
        <v>767</v>
      </c>
      <c r="V1119" s="2" t="s">
        <v>121</v>
      </c>
      <c r="AE1119" s="2" t="e">
        <f>AD1119*#REF!</f>
        <v>#REF!</v>
      </c>
      <c r="AF1119" s="2" t="e">
        <f>Z1119/Y1119</f>
        <v>#DIV/0!</v>
      </c>
      <c r="AG1119" s="2" t="e">
        <f>AA1119/Z1119</f>
        <v>#DIV/0!</v>
      </c>
      <c r="AH1119" s="2" t="e">
        <f>AC1119/AA1119</f>
        <v>#DIV/0!</v>
      </c>
    </row>
    <row r="1120" spans="1:34">
      <c r="A1120" s="165" t="s">
        <v>1383</v>
      </c>
      <c r="B1120" s="36" t="s">
        <v>63</v>
      </c>
      <c r="C1120" s="41">
        <v>46197</v>
      </c>
      <c r="D1120" s="144">
        <v>0.54166666666666663</v>
      </c>
      <c r="E1120" s="194">
        <v>65</v>
      </c>
      <c r="F1120" s="8" t="s">
        <v>1125</v>
      </c>
      <c r="G1120" s="2">
        <v>3</v>
      </c>
      <c r="H1120" s="2">
        <v>9</v>
      </c>
      <c r="I1120" s="45">
        <v>1500</v>
      </c>
      <c r="J1120" s="2" t="s">
        <v>110</v>
      </c>
      <c r="K1120" s="109" t="s">
        <v>598</v>
      </c>
      <c r="L1120" s="89">
        <v>25000</v>
      </c>
      <c r="M1120" s="202" t="s">
        <v>97</v>
      </c>
      <c r="N1120" s="39" t="s">
        <v>48</v>
      </c>
      <c r="O1120" s="39" t="s">
        <v>49</v>
      </c>
      <c r="P1120" s="210"/>
      <c r="Q1120" s="19">
        <f>R1120*I1120</f>
        <v>172.5</v>
      </c>
      <c r="R1120" s="15">
        <v>0.115</v>
      </c>
      <c r="S1120" s="5">
        <f>($AC1120*$AD1120)/(($Z1120/$Y1120)+($AA1120/$Z1120)+($AB1120/$AA1120))</f>
        <v>93.913043478260875</v>
      </c>
      <c r="U1120" s="109" t="s">
        <v>853</v>
      </c>
      <c r="V1120" s="205" t="s">
        <v>121</v>
      </c>
      <c r="W1120" s="205"/>
      <c r="Y1120" s="2">
        <v>1.5</v>
      </c>
      <c r="Z1120" s="2">
        <v>4</v>
      </c>
      <c r="AA1120" s="2">
        <v>10</v>
      </c>
      <c r="AB1120" s="2">
        <v>25</v>
      </c>
      <c r="AC1120" s="2">
        <v>18</v>
      </c>
      <c r="AD1120" s="2">
        <v>40</v>
      </c>
      <c r="AE1120" s="2">
        <f>AC1120*AD1120</f>
        <v>720</v>
      </c>
      <c r="AF1120" s="2">
        <f>Z1120/Y1120</f>
        <v>2.6666666666666665</v>
      </c>
      <c r="AG1120" s="2">
        <f>AA1120/Z1120</f>
        <v>2.5</v>
      </c>
      <c r="AH1120" s="2">
        <f>AB1120/AA1120</f>
        <v>2.5</v>
      </c>
    </row>
    <row r="1121" spans="1:34">
      <c r="A1121" s="165" t="s">
        <v>1383</v>
      </c>
      <c r="B1121" s="39" t="s">
        <v>63</v>
      </c>
      <c r="C1121" s="41">
        <v>46197</v>
      </c>
      <c r="D1121" s="144">
        <v>0.54166666666666663</v>
      </c>
      <c r="E1121" s="194"/>
      <c r="F1121" s="8" t="s">
        <v>881</v>
      </c>
      <c r="G1121" s="2">
        <v>1</v>
      </c>
      <c r="H1121" s="2">
        <v>9</v>
      </c>
      <c r="I1121" s="45">
        <v>250</v>
      </c>
      <c r="J1121" s="2" t="s">
        <v>766</v>
      </c>
      <c r="K1121" s="88" t="s">
        <v>787</v>
      </c>
      <c r="L1121" s="89">
        <v>25000</v>
      </c>
      <c r="M1121" s="205">
        <v>30</v>
      </c>
      <c r="N1121" s="39" t="s">
        <v>817</v>
      </c>
      <c r="O1121" s="39" t="s">
        <v>49</v>
      </c>
      <c r="P1121" s="210"/>
      <c r="Q1121" s="19">
        <v>50</v>
      </c>
      <c r="R1121" s="15">
        <f>Q1121/I1121</f>
        <v>0.2</v>
      </c>
      <c r="S1121" s="5">
        <v>44</v>
      </c>
      <c r="U1121" s="109" t="s">
        <v>767</v>
      </c>
      <c r="V1121" s="71" t="s">
        <v>360</v>
      </c>
      <c r="Y1121" s="175"/>
      <c r="Z1121" s="175"/>
      <c r="AA1121" s="175"/>
      <c r="AB1121" s="175"/>
      <c r="AC1121" s="175"/>
      <c r="AD1121" s="175"/>
      <c r="AE1121" s="175"/>
      <c r="AF1121" s="175"/>
      <c r="AG1121" s="175"/>
      <c r="AH1121" s="175"/>
    </row>
    <row r="1122" spans="1:34">
      <c r="A1122" s="165" t="s">
        <v>1383</v>
      </c>
      <c r="B1122" s="39" t="s">
        <v>63</v>
      </c>
      <c r="C1122" s="41">
        <v>46197</v>
      </c>
      <c r="D1122" s="144">
        <v>0.625</v>
      </c>
      <c r="E1122" s="194"/>
      <c r="F1122" s="8" t="s">
        <v>126</v>
      </c>
      <c r="G1122" s="2">
        <v>1</v>
      </c>
      <c r="I1122" s="45">
        <v>250</v>
      </c>
      <c r="J1122" s="2" t="s">
        <v>766</v>
      </c>
      <c r="K1122" s="88" t="s">
        <v>793</v>
      </c>
      <c r="L1122" s="89">
        <v>25000</v>
      </c>
      <c r="M1122" s="205">
        <v>30</v>
      </c>
      <c r="N1122" s="39" t="s">
        <v>822</v>
      </c>
      <c r="O1122" s="39" t="s">
        <v>57</v>
      </c>
      <c r="P1122" s="213"/>
      <c r="Q1122" s="2">
        <v>50</v>
      </c>
      <c r="R1122" s="15">
        <f>Q1122/I1122</f>
        <v>0.2</v>
      </c>
      <c r="S1122" s="149" t="s">
        <v>110</v>
      </c>
      <c r="T1122" s="149"/>
      <c r="U1122" s="109" t="s">
        <v>767</v>
      </c>
      <c r="V1122" s="21" t="s">
        <v>360</v>
      </c>
      <c r="W1122" s="205"/>
      <c r="AE1122" s="2" t="e">
        <f>AD1122*#REF!</f>
        <v>#REF!</v>
      </c>
      <c r="AF1122" s="2" t="e">
        <f>Z1122/Y1122</f>
        <v>#DIV/0!</v>
      </c>
      <c r="AG1122" s="2" t="e">
        <f>AA1122/Z1122</f>
        <v>#DIV/0!</v>
      </c>
      <c r="AH1122" s="2" t="e">
        <f>AC1122/AA1122</f>
        <v>#DIV/0!</v>
      </c>
    </row>
    <row r="1123" spans="1:34">
      <c r="A1123" s="165" t="s">
        <v>1383</v>
      </c>
      <c r="B1123" s="39" t="s">
        <v>63</v>
      </c>
      <c r="C1123" s="41">
        <v>46197</v>
      </c>
      <c r="D1123" s="144">
        <v>0.625</v>
      </c>
      <c r="E1123" s="43"/>
      <c r="F1123" s="8" t="s">
        <v>912</v>
      </c>
      <c r="G1123" s="2">
        <v>1</v>
      </c>
      <c r="H1123" s="2">
        <v>9</v>
      </c>
      <c r="I1123" s="45">
        <v>240</v>
      </c>
      <c r="J1123" s="2" t="s">
        <v>766</v>
      </c>
      <c r="K1123" s="88" t="s">
        <v>784</v>
      </c>
      <c r="L1123" s="89">
        <v>10000</v>
      </c>
      <c r="M1123" s="54">
        <v>20</v>
      </c>
      <c r="N1123" s="132" t="s">
        <v>821</v>
      </c>
      <c r="O1123" s="39" t="s">
        <v>49</v>
      </c>
      <c r="P1123" s="210"/>
      <c r="Q1123" s="19">
        <v>40</v>
      </c>
      <c r="R1123" s="15">
        <v>0.16666666666666666</v>
      </c>
      <c r="S1123" s="5">
        <v>29</v>
      </c>
      <c r="U1123" s="109" t="s">
        <v>767</v>
      </c>
      <c r="V1123" s="71" t="s">
        <v>362</v>
      </c>
      <c r="W1123" s="8" t="s">
        <v>367</v>
      </c>
      <c r="Y1123" s="175"/>
      <c r="Z1123" s="175"/>
      <c r="AA1123" s="175"/>
      <c r="AB1123" s="175"/>
      <c r="AC1123" s="175"/>
      <c r="AD1123" s="175"/>
      <c r="AE1123" s="175"/>
      <c r="AF1123" s="175"/>
      <c r="AG1123" s="175"/>
      <c r="AH1123" s="175"/>
    </row>
    <row r="1124" spans="1:34">
      <c r="A1124" s="165" t="s">
        <v>1383</v>
      </c>
      <c r="B1124" s="39" t="s">
        <v>63</v>
      </c>
      <c r="C1124" s="47">
        <v>46197</v>
      </c>
      <c r="D1124" s="144">
        <v>0.66666666666666663</v>
      </c>
      <c r="E1124" s="43"/>
      <c r="F1124" s="8" t="s">
        <v>366</v>
      </c>
      <c r="G1124" s="2">
        <v>1</v>
      </c>
      <c r="H1124" s="2">
        <v>9</v>
      </c>
      <c r="I1124" s="126">
        <v>240</v>
      </c>
      <c r="J1124" s="2" t="s">
        <v>766</v>
      </c>
      <c r="K1124" s="88" t="s">
        <v>790</v>
      </c>
      <c r="L1124" s="90">
        <v>10000</v>
      </c>
      <c r="M1124" s="8">
        <v>20</v>
      </c>
      <c r="N1124" s="132" t="s">
        <v>821</v>
      </c>
      <c r="O1124" s="39" t="s">
        <v>49</v>
      </c>
      <c r="P1124" s="210"/>
      <c r="Q1124" s="19">
        <v>40</v>
      </c>
      <c r="R1124" s="15">
        <f>Q1124/I1124</f>
        <v>0.16666666666666666</v>
      </c>
      <c r="S1124" s="5">
        <v>29</v>
      </c>
      <c r="U1124" s="109" t="s">
        <v>767</v>
      </c>
      <c r="V1124" s="71" t="s">
        <v>362</v>
      </c>
      <c r="W1124" s="8" t="s">
        <v>365</v>
      </c>
      <c r="Y1124" s="175"/>
      <c r="Z1124" s="175"/>
      <c r="AA1124" s="175"/>
      <c r="AB1124" s="175"/>
      <c r="AC1124" s="175"/>
      <c r="AD1124" s="175"/>
      <c r="AE1124" s="175"/>
      <c r="AF1124" s="175"/>
      <c r="AG1124" s="175"/>
      <c r="AH1124" s="175"/>
    </row>
    <row r="1125" spans="1:34">
      <c r="A1125" s="165" t="s">
        <v>1383</v>
      </c>
      <c r="B1125" s="39" t="s">
        <v>63</v>
      </c>
      <c r="C1125" s="41">
        <v>46197</v>
      </c>
      <c r="D1125" s="144">
        <v>0.66666666666666663</v>
      </c>
      <c r="E1125" s="194"/>
      <c r="F1125" s="8" t="s">
        <v>1024</v>
      </c>
      <c r="G1125" s="2">
        <v>1</v>
      </c>
      <c r="H1125" s="2">
        <v>9</v>
      </c>
      <c r="I1125" s="45">
        <v>400</v>
      </c>
      <c r="J1125" s="2" t="s">
        <v>766</v>
      </c>
      <c r="K1125" s="88" t="s">
        <v>794</v>
      </c>
      <c r="L1125" s="89">
        <v>30000</v>
      </c>
      <c r="M1125" s="205">
        <v>20</v>
      </c>
      <c r="N1125" s="39" t="s">
        <v>817</v>
      </c>
      <c r="O1125" s="39" t="s">
        <v>49</v>
      </c>
      <c r="P1125" s="210"/>
      <c r="Q1125" s="19">
        <v>70</v>
      </c>
      <c r="R1125" s="15">
        <f>Q1125/I1125</f>
        <v>0.17499999999999999</v>
      </c>
      <c r="S1125" s="5">
        <v>37</v>
      </c>
      <c r="U1125" s="109" t="s">
        <v>129</v>
      </c>
      <c r="V1125" s="71" t="s">
        <v>360</v>
      </c>
      <c r="Y1125" s="175"/>
      <c r="Z1125" s="175"/>
      <c r="AA1125" s="175"/>
      <c r="AB1125" s="175"/>
      <c r="AC1125" s="175"/>
      <c r="AD1125" s="175"/>
      <c r="AE1125" s="175"/>
      <c r="AF1125" s="175"/>
      <c r="AG1125" s="175"/>
      <c r="AH1125" s="175"/>
    </row>
    <row r="1126" spans="1:34">
      <c r="A1126" s="52" t="s">
        <v>229</v>
      </c>
      <c r="B1126" s="52" t="s">
        <v>230</v>
      </c>
      <c r="C1126" s="190">
        <v>46197</v>
      </c>
      <c r="D1126" s="42">
        <v>0.66666666666666663</v>
      </c>
      <c r="E1126" s="43"/>
      <c r="F1126" s="8" t="s">
        <v>123</v>
      </c>
      <c r="G1126" s="2">
        <v>1</v>
      </c>
      <c r="I1126" s="126">
        <v>240</v>
      </c>
      <c r="J1126" s="2" t="s">
        <v>766</v>
      </c>
      <c r="K1126" s="88" t="s">
        <v>795</v>
      </c>
      <c r="L1126" s="90">
        <v>30000</v>
      </c>
      <c r="M1126" s="8">
        <v>20</v>
      </c>
      <c r="N1126" s="39" t="s">
        <v>48</v>
      </c>
      <c r="O1126" s="39" t="s">
        <v>123</v>
      </c>
      <c r="P1126" s="19">
        <v>10000</v>
      </c>
      <c r="Q1126" s="2">
        <v>40</v>
      </c>
      <c r="R1126" s="15">
        <f>IF(Q1126&gt;0,Q1126/I1126,"")</f>
        <v>0.16666666666666666</v>
      </c>
      <c r="S1126" s="216" t="s">
        <v>110</v>
      </c>
      <c r="T1126" s="149"/>
      <c r="U1126" s="109" t="s">
        <v>767</v>
      </c>
      <c r="V1126" s="205" t="s">
        <v>719</v>
      </c>
      <c r="W1126" s="205"/>
      <c r="AE1126" s="2">
        <f>AC1126*AD1126</f>
        <v>0</v>
      </c>
      <c r="AF1126" s="2" t="e">
        <f>Z1126/Y1126</f>
        <v>#DIV/0!</v>
      </c>
      <c r="AG1126" s="2" t="e">
        <f>AA1126/Z1126</f>
        <v>#DIV/0!</v>
      </c>
      <c r="AH1126" s="2" t="e">
        <f>AB1126/AA1126</f>
        <v>#DIV/0!</v>
      </c>
    </row>
    <row r="1127" spans="1:34">
      <c r="A1127" s="103" t="s">
        <v>539</v>
      </c>
      <c r="B1127" s="103" t="s">
        <v>540</v>
      </c>
      <c r="C1127" s="191">
        <v>46197</v>
      </c>
      <c r="D1127" s="42">
        <v>0.70833333333333337</v>
      </c>
      <c r="E1127">
        <v>77</v>
      </c>
      <c r="F1127" s="198" t="s">
        <v>580</v>
      </c>
      <c r="G1127" s="2">
        <v>1</v>
      </c>
      <c r="H1127" s="2">
        <v>9</v>
      </c>
      <c r="I1127" s="126">
        <v>250</v>
      </c>
      <c r="J1127" s="179" t="s">
        <v>766</v>
      </c>
      <c r="K1127" s="179" t="s">
        <v>602</v>
      </c>
      <c r="L1127" s="89">
        <v>25000</v>
      </c>
      <c r="M1127" s="54">
        <v>20</v>
      </c>
      <c r="N1127" s="39" t="s">
        <v>48</v>
      </c>
      <c r="O1127" s="39" t="s">
        <v>57</v>
      </c>
      <c r="P1127" s="63">
        <v>7500</v>
      </c>
      <c r="Q1127" s="2">
        <v>56</v>
      </c>
      <c r="R1127" s="15">
        <f>Q1127/I1127</f>
        <v>0.224</v>
      </c>
      <c r="S1127" s="142"/>
      <c r="U1127" s="109" t="s">
        <v>219</v>
      </c>
      <c r="V1127" s="71" t="s">
        <v>1395</v>
      </c>
      <c r="W1127" s="103" t="s">
        <v>466</v>
      </c>
      <c r="AE1127" s="2">
        <f>AC1127*AD1127</f>
        <v>0</v>
      </c>
      <c r="AF1127" s="2" t="e">
        <f>Z1127/Y1127</f>
        <v>#DIV/0!</v>
      </c>
      <c r="AG1127" s="2" t="e">
        <f>AA1127/Z1127</f>
        <v>#DIV/0!</v>
      </c>
      <c r="AH1127" s="2" t="e">
        <f>AB1127/AA1127</f>
        <v>#DIV/0!</v>
      </c>
    </row>
    <row r="1128" spans="1:34">
      <c r="A1128" s="102" t="s">
        <v>475</v>
      </c>
      <c r="B1128" s="102" t="s">
        <v>476</v>
      </c>
      <c r="C1128" s="190">
        <v>46197</v>
      </c>
      <c r="D1128" s="42">
        <v>0.75</v>
      </c>
      <c r="E1128" s="194">
        <v>26</v>
      </c>
      <c r="F1128" s="8" t="s">
        <v>495</v>
      </c>
      <c r="G1128" s="2">
        <v>1</v>
      </c>
      <c r="H1128" s="2">
        <v>8</v>
      </c>
      <c r="I1128" s="126">
        <v>250</v>
      </c>
      <c r="J1128" s="2" t="s">
        <v>766</v>
      </c>
      <c r="K1128" s="109" t="s">
        <v>602</v>
      </c>
      <c r="L1128" s="105">
        <v>25000</v>
      </c>
      <c r="M1128" s="64">
        <v>30</v>
      </c>
      <c r="N1128" s="39" t="s">
        <v>48</v>
      </c>
      <c r="O1128" s="39" t="s">
        <v>359</v>
      </c>
      <c r="P1128" s="63">
        <v>10000</v>
      </c>
      <c r="Q1128" s="2">
        <v>45</v>
      </c>
      <c r="R1128" s="15">
        <f>Q1128/I1128</f>
        <v>0.18</v>
      </c>
      <c r="S1128" s="149" t="s">
        <v>110</v>
      </c>
      <c r="T1128" s="149"/>
      <c r="U1128" s="109" t="s">
        <v>767</v>
      </c>
      <c r="V1128" s="205" t="s">
        <v>631</v>
      </c>
      <c r="W1128" s="205"/>
      <c r="AE1128" s="2">
        <f>AC1128*AD1128</f>
        <v>0</v>
      </c>
      <c r="AF1128" s="2" t="e">
        <f>Z1128/Y1128</f>
        <v>#DIV/0!</v>
      </c>
      <c r="AG1128" s="2" t="e">
        <f>AA1128/Z1128</f>
        <v>#DIV/0!</v>
      </c>
      <c r="AH1128" s="2" t="e">
        <f>AB1128/AA1128</f>
        <v>#DIV/0!</v>
      </c>
    </row>
    <row r="1129" spans="1:34">
      <c r="A1129" s="52" t="s">
        <v>229</v>
      </c>
      <c r="B1129" s="52" t="s">
        <v>230</v>
      </c>
      <c r="C1129" s="190">
        <v>46197</v>
      </c>
      <c r="D1129" s="42">
        <v>0.75</v>
      </c>
      <c r="E1129" s="43"/>
      <c r="F1129" s="8" t="s">
        <v>244</v>
      </c>
      <c r="G1129" s="2">
        <v>1</v>
      </c>
      <c r="I1129" s="126">
        <v>200</v>
      </c>
      <c r="J1129" s="2" t="s">
        <v>766</v>
      </c>
      <c r="K1129" s="88" t="s">
        <v>804</v>
      </c>
      <c r="L1129" s="90">
        <v>30000</v>
      </c>
      <c r="M1129" s="8">
        <v>20</v>
      </c>
      <c r="N1129" s="39" t="s">
        <v>48</v>
      </c>
      <c r="O1129" s="39" t="s">
        <v>49</v>
      </c>
      <c r="P1129" s="135" t="s">
        <v>832</v>
      </c>
      <c r="Q1129" s="19">
        <v>40</v>
      </c>
      <c r="R1129" s="15">
        <f>IF(Q1129&gt;0,Q1129/I1129,"")</f>
        <v>0.2</v>
      </c>
      <c r="S1129" s="215">
        <f>($AC1129*$AD1129)/(($Z1129/$Y1129)+($AA1129/$Z1129)+($AB1129/$AA1129))</f>
        <v>35.555555555555557</v>
      </c>
      <c r="U1129" s="109" t="s">
        <v>767</v>
      </c>
      <c r="V1129" s="205" t="s">
        <v>719</v>
      </c>
      <c r="W1129" s="205"/>
      <c r="X1129" s="205"/>
      <c r="Y1129" s="2">
        <v>2</v>
      </c>
      <c r="Z1129" s="2">
        <v>5</v>
      </c>
      <c r="AA1129" s="2">
        <v>20</v>
      </c>
      <c r="AB1129" s="2">
        <v>50</v>
      </c>
      <c r="AC1129" s="2">
        <v>20</v>
      </c>
      <c r="AD1129" s="2">
        <v>16</v>
      </c>
      <c r="AE1129" s="2">
        <f>AC1129*AD1129</f>
        <v>320</v>
      </c>
      <c r="AF1129" s="2">
        <f>Z1129/Y1129</f>
        <v>2.5</v>
      </c>
      <c r="AG1129" s="2">
        <f>AA1129/Z1129</f>
        <v>4</v>
      </c>
      <c r="AH1129" s="2">
        <f>AB1129/AA1129</f>
        <v>2.5</v>
      </c>
    </row>
    <row r="1130" spans="1:34">
      <c r="A1130" s="52" t="s">
        <v>220</v>
      </c>
      <c r="B1130" s="52" t="s">
        <v>221</v>
      </c>
      <c r="C1130" s="191">
        <v>46197</v>
      </c>
      <c r="D1130" s="42">
        <v>0.75</v>
      </c>
      <c r="E1130" s="43"/>
      <c r="F1130" s="8" t="s">
        <v>1073</v>
      </c>
      <c r="G1130" s="2">
        <v>1</v>
      </c>
      <c r="H1130" s="2">
        <v>9</v>
      </c>
      <c r="I1130" s="126">
        <v>1100</v>
      </c>
      <c r="J1130" s="2" t="s">
        <v>766</v>
      </c>
      <c r="K1130" s="88" t="s">
        <v>799</v>
      </c>
      <c r="L1130" s="90">
        <v>30000</v>
      </c>
      <c r="M1130" s="64">
        <v>20</v>
      </c>
      <c r="N1130" s="39" t="s">
        <v>48</v>
      </c>
      <c r="O1130" s="39" t="s">
        <v>49</v>
      </c>
      <c r="P1130" s="212" t="s">
        <v>838</v>
      </c>
      <c r="Q1130" s="19">
        <v>125</v>
      </c>
      <c r="R1130" s="15">
        <f>Q1130/I1130</f>
        <v>0.11363636363636363</v>
      </c>
      <c r="S1130" s="5">
        <f>($AC1130*$AD1130)/(($Z1130/$Y1130)+($AA1130/$Z1130)+($AB1130/$AA1130))</f>
        <v>41.632653061224495</v>
      </c>
      <c r="U1130" s="109" t="s">
        <v>129</v>
      </c>
      <c r="V1130" s="205" t="s">
        <v>738</v>
      </c>
      <c r="W1130" s="205"/>
      <c r="Y1130" s="2">
        <v>2</v>
      </c>
      <c r="Z1130" s="2">
        <v>5</v>
      </c>
      <c r="AA1130" s="2">
        <v>15</v>
      </c>
      <c r="AB1130" s="2">
        <v>40</v>
      </c>
      <c r="AC1130" s="2">
        <v>17</v>
      </c>
      <c r="AD1130" s="115">
        <v>20</v>
      </c>
      <c r="AE1130" s="2">
        <f>AC1130*AD1130</f>
        <v>340</v>
      </c>
      <c r="AF1130" s="2">
        <f>Z1130/Y1130</f>
        <v>2.5</v>
      </c>
      <c r="AG1130" s="2">
        <f>AA1130/Z1130</f>
        <v>3</v>
      </c>
      <c r="AH1130" s="2">
        <f>AB1130/AA1130</f>
        <v>2.6666666666666665</v>
      </c>
    </row>
    <row r="1131" spans="1:34">
      <c r="A1131" s="96" t="s">
        <v>461</v>
      </c>
      <c r="B1131" s="96" t="s">
        <v>462</v>
      </c>
      <c r="C1131" s="41">
        <v>46197</v>
      </c>
      <c r="D1131" s="42">
        <v>0.75694444444444442</v>
      </c>
      <c r="E1131" s="43"/>
      <c r="F1131" s="8" t="s">
        <v>472</v>
      </c>
      <c r="G1131" s="2">
        <v>2</v>
      </c>
      <c r="I1131" s="126">
        <v>300</v>
      </c>
      <c r="J1131" s="2" t="s">
        <v>766</v>
      </c>
      <c r="K1131" s="109" t="s">
        <v>598</v>
      </c>
      <c r="L1131" s="8">
        <v>30000</v>
      </c>
      <c r="M1131" s="54">
        <v>30</v>
      </c>
      <c r="N1131" s="39" t="s">
        <v>48</v>
      </c>
      <c r="O1131" s="39" t="s">
        <v>49</v>
      </c>
      <c r="P1131" s="135" t="s">
        <v>842</v>
      </c>
      <c r="Q1131" s="19">
        <v>65</v>
      </c>
      <c r="R1131" s="15">
        <f>Q1131/I1131</f>
        <v>0.21666666666666667</v>
      </c>
      <c r="S1131" s="5">
        <f>($AC1131*$AD1131)/(($Z1131/$Y1131)+($AA1131/$Z1131)+($AB1131/$AA1131))</f>
        <v>53.333333333333336</v>
      </c>
      <c r="U1131" s="109" t="s">
        <v>767</v>
      </c>
      <c r="V1131" s="205" t="s">
        <v>735</v>
      </c>
      <c r="W1131" s="205"/>
      <c r="Y1131" s="2">
        <v>2</v>
      </c>
      <c r="Z1131" s="2">
        <v>5</v>
      </c>
      <c r="AA1131" s="2">
        <v>20</v>
      </c>
      <c r="AB1131" s="2">
        <v>50</v>
      </c>
      <c r="AC1131" s="2">
        <v>16</v>
      </c>
      <c r="AD1131" s="2">
        <v>30</v>
      </c>
      <c r="AE1131" s="2">
        <f>AC1131*AD1131</f>
        <v>480</v>
      </c>
      <c r="AF1131" s="2">
        <f>Z1131/Y1131</f>
        <v>2.5</v>
      </c>
      <c r="AG1131" s="2">
        <f>AA1131/Z1131</f>
        <v>4</v>
      </c>
      <c r="AH1131" s="2">
        <f>AB1131/AA1131</f>
        <v>2.5</v>
      </c>
    </row>
    <row r="1132" spans="1:34">
      <c r="A1132" s="95" t="s">
        <v>447</v>
      </c>
      <c r="B1132" s="95" t="s">
        <v>448</v>
      </c>
      <c r="C1132" s="190">
        <v>46197</v>
      </c>
      <c r="D1132" s="42">
        <v>0.79166666666666663</v>
      </c>
      <c r="E1132" s="43"/>
      <c r="F1132" s="8" t="s">
        <v>403</v>
      </c>
      <c r="G1132" s="2">
        <v>1</v>
      </c>
      <c r="H1132" s="2">
        <v>9</v>
      </c>
      <c r="I1132" s="126">
        <v>300</v>
      </c>
      <c r="J1132" s="2" t="s">
        <v>766</v>
      </c>
      <c r="K1132" s="109" t="s">
        <v>602</v>
      </c>
      <c r="L1132" s="8">
        <v>25000</v>
      </c>
      <c r="M1132" s="8">
        <v>25</v>
      </c>
      <c r="N1132" s="39" t="s">
        <v>48</v>
      </c>
      <c r="O1132" s="39" t="s">
        <v>49</v>
      </c>
      <c r="P1132" s="212" t="s">
        <v>834</v>
      </c>
      <c r="Q1132" s="19">
        <v>50</v>
      </c>
      <c r="R1132" s="15">
        <f>Q1132/I1132</f>
        <v>0.16666666666666666</v>
      </c>
      <c r="S1132" s="5">
        <f>($AC1132*$AD1132)/(($Z1132/$Y1132)+($AA1132/$Z1132)+($AB1132/$AA1132))</f>
        <v>37.5</v>
      </c>
      <c r="U1132" s="109" t="s">
        <v>767</v>
      </c>
      <c r="V1132" s="2" t="s">
        <v>741</v>
      </c>
      <c r="Y1132" s="2">
        <v>2.5</v>
      </c>
      <c r="Z1132" s="2">
        <v>7.5</v>
      </c>
      <c r="AA1132" s="2">
        <v>25</v>
      </c>
      <c r="AB1132" s="2">
        <v>75</v>
      </c>
      <c r="AC1132" s="2">
        <v>14</v>
      </c>
      <c r="AD1132" s="2">
        <v>25</v>
      </c>
      <c r="AE1132" s="2">
        <f>AC1132*AD1132</f>
        <v>350</v>
      </c>
      <c r="AF1132" s="2">
        <f>Z1132/Y1132</f>
        <v>3</v>
      </c>
      <c r="AG1132" s="2">
        <f>AA1132/Z1132</f>
        <v>3.3333333333333335</v>
      </c>
      <c r="AH1132" s="2">
        <f>AB1132/AA1132</f>
        <v>3</v>
      </c>
    </row>
    <row r="1133" spans="1:34">
      <c r="A1133" s="103" t="s">
        <v>539</v>
      </c>
      <c r="B1133" s="103" t="s">
        <v>540</v>
      </c>
      <c r="C1133" s="191">
        <v>46197</v>
      </c>
      <c r="D1133" s="42">
        <v>0.79166666666666663</v>
      </c>
      <c r="E1133" s="194">
        <v>78</v>
      </c>
      <c r="F1133" s="63" t="s">
        <v>544</v>
      </c>
      <c r="G1133" s="2">
        <v>1</v>
      </c>
      <c r="H1133" s="2">
        <v>9</v>
      </c>
      <c r="I1133" s="126">
        <v>150</v>
      </c>
      <c r="J1133" s="179" t="s">
        <v>766</v>
      </c>
      <c r="K1133" s="179" t="s">
        <v>602</v>
      </c>
      <c r="L1133" s="89">
        <v>30000</v>
      </c>
      <c r="M1133" s="202">
        <v>15</v>
      </c>
      <c r="N1133" s="39" t="s">
        <v>48</v>
      </c>
      <c r="O1133" s="39" t="s">
        <v>49</v>
      </c>
      <c r="P1133" s="135" t="s">
        <v>828</v>
      </c>
      <c r="Q1133" s="19">
        <v>46</v>
      </c>
      <c r="R1133" s="15">
        <f>Q1133/I1133</f>
        <v>0.30666666666666664</v>
      </c>
      <c r="S1133" s="5">
        <f>($AC1133*$AD1133)/(($Z1133/$Y1133)+($AA1133/$Z1133)+($AB1133/$AA1133))</f>
        <v>19.534883720930232</v>
      </c>
      <c r="U1133" s="109" t="s">
        <v>129</v>
      </c>
      <c r="V1133" s="71" t="s">
        <v>1395</v>
      </c>
      <c r="W1133" s="179" t="s">
        <v>1389</v>
      </c>
      <c r="Y1133" s="2">
        <v>4</v>
      </c>
      <c r="Z1133" s="2">
        <v>8</v>
      </c>
      <c r="AA1133" s="2">
        <v>30</v>
      </c>
      <c r="AB1133" s="2">
        <v>150</v>
      </c>
      <c r="AC1133" s="2">
        <v>14</v>
      </c>
      <c r="AD1133" s="2">
        <v>15</v>
      </c>
      <c r="AE1133" s="2">
        <f>AC1133*AD1133</f>
        <v>210</v>
      </c>
      <c r="AF1133" s="2">
        <f>Z1133/Y1133</f>
        <v>2</v>
      </c>
      <c r="AG1133" s="2">
        <f>AA1133/Z1133</f>
        <v>3.75</v>
      </c>
      <c r="AH1133" s="2">
        <f>AB1133/AA1133</f>
        <v>5</v>
      </c>
    </row>
    <row r="1134" spans="1:34">
      <c r="A1134" s="165" t="s">
        <v>1383</v>
      </c>
      <c r="B1134" s="39" t="s">
        <v>63</v>
      </c>
      <c r="C1134" s="41">
        <v>46197</v>
      </c>
      <c r="D1134" s="144">
        <v>0.79166666666666663</v>
      </c>
      <c r="E1134" s="43"/>
      <c r="F1134" s="8" t="s">
        <v>917</v>
      </c>
      <c r="G1134" s="2">
        <v>1</v>
      </c>
      <c r="H1134" s="2">
        <v>9</v>
      </c>
      <c r="I1134" s="81">
        <v>585</v>
      </c>
      <c r="J1134" s="2" t="s">
        <v>766</v>
      </c>
      <c r="K1134" s="88" t="s">
        <v>800</v>
      </c>
      <c r="L1134" s="89">
        <v>10000</v>
      </c>
      <c r="M1134" s="202">
        <v>20</v>
      </c>
      <c r="N1134" s="132" t="s">
        <v>821</v>
      </c>
      <c r="O1134" s="39" t="s">
        <v>49</v>
      </c>
      <c r="P1134" s="210"/>
      <c r="Q1134" s="19">
        <v>89</v>
      </c>
      <c r="R1134" s="59">
        <f>Q1134/I1134</f>
        <v>0.15213675213675212</v>
      </c>
      <c r="S1134" s="5">
        <v>29</v>
      </c>
      <c r="U1134" s="109" t="s">
        <v>767</v>
      </c>
      <c r="V1134" s="83" t="s">
        <v>362</v>
      </c>
      <c r="W1134" s="8" t="s">
        <v>368</v>
      </c>
      <c r="Y1134" s="175"/>
      <c r="Z1134" s="175"/>
      <c r="AA1134" s="175"/>
      <c r="AB1134" s="175"/>
      <c r="AC1134" s="175"/>
      <c r="AD1134" s="175"/>
      <c r="AE1134" s="175"/>
      <c r="AF1134" s="175"/>
      <c r="AG1134" s="175"/>
      <c r="AH1134" s="175"/>
    </row>
    <row r="1135" spans="1:34">
      <c r="A1135" s="165" t="s">
        <v>1383</v>
      </c>
      <c r="B1135" s="39" t="s">
        <v>63</v>
      </c>
      <c r="C1135" s="41">
        <v>46197</v>
      </c>
      <c r="D1135" s="144">
        <v>0.83333333333333337</v>
      </c>
      <c r="E1135" s="194"/>
      <c r="F1135" s="8" t="s">
        <v>1023</v>
      </c>
      <c r="G1135" s="2">
        <v>1</v>
      </c>
      <c r="H1135" s="2">
        <v>9</v>
      </c>
      <c r="I1135" s="45">
        <v>200</v>
      </c>
      <c r="J1135" s="2" t="s">
        <v>766</v>
      </c>
      <c r="K1135" s="88" t="s">
        <v>806</v>
      </c>
      <c r="L1135" s="89">
        <v>20000</v>
      </c>
      <c r="M1135" s="2">
        <v>20</v>
      </c>
      <c r="N1135" s="39" t="s">
        <v>817</v>
      </c>
      <c r="O1135" s="39" t="s">
        <v>49</v>
      </c>
      <c r="P1135" s="210"/>
      <c r="Q1135" s="19">
        <v>45</v>
      </c>
      <c r="R1135" s="15">
        <f>Q1135/I1135</f>
        <v>0.22500000000000001</v>
      </c>
      <c r="S1135" s="5">
        <v>23</v>
      </c>
      <c r="U1135" s="109" t="s">
        <v>129</v>
      </c>
      <c r="V1135" s="71" t="s">
        <v>360</v>
      </c>
      <c r="Y1135" s="175"/>
      <c r="Z1135" s="175"/>
      <c r="AA1135" s="175"/>
      <c r="AB1135" s="175"/>
      <c r="AC1135" s="175"/>
      <c r="AD1135" s="175"/>
      <c r="AE1135" s="175"/>
      <c r="AF1135" s="175"/>
      <c r="AG1135" s="175"/>
      <c r="AH1135" s="175"/>
    </row>
    <row r="1136" spans="1:34">
      <c r="A1136" s="102" t="s">
        <v>475</v>
      </c>
      <c r="B1136" s="102" t="s">
        <v>476</v>
      </c>
      <c r="C1136" s="41">
        <v>46197</v>
      </c>
      <c r="D1136" s="42">
        <v>0.88194444444444442</v>
      </c>
      <c r="E1136" s="43"/>
      <c r="F1136" s="8" t="s">
        <v>483</v>
      </c>
      <c r="G1136" s="2">
        <v>1</v>
      </c>
      <c r="H1136" s="2">
        <v>9</v>
      </c>
      <c r="I1136" s="126">
        <v>160</v>
      </c>
      <c r="J1136" s="2" t="s">
        <v>766</v>
      </c>
      <c r="K1136" s="109" t="s">
        <v>603</v>
      </c>
      <c r="L1136" s="105">
        <v>20000</v>
      </c>
      <c r="M1136" s="64">
        <v>20</v>
      </c>
      <c r="N1136" s="39" t="s">
        <v>48</v>
      </c>
      <c r="O1136" s="39" t="s">
        <v>49</v>
      </c>
      <c r="P1136" s="135" t="s">
        <v>828</v>
      </c>
      <c r="Q1136" s="19">
        <v>30</v>
      </c>
      <c r="R1136" s="15">
        <f>Q1136/I1136</f>
        <v>0.1875</v>
      </c>
      <c r="S1136" s="5">
        <f>($AC1136*$AD1136)/(($Z1136/$Y1136)+($AA1136/$Z1136)+($AB1136/$AA1136))</f>
        <v>20</v>
      </c>
      <c r="U1136" s="109" t="s">
        <v>767</v>
      </c>
      <c r="V1136" s="71" t="s">
        <v>595</v>
      </c>
      <c r="W1136" s="107" t="s">
        <v>604</v>
      </c>
      <c r="Y1136" s="2">
        <v>2</v>
      </c>
      <c r="Z1136" s="2">
        <v>5</v>
      </c>
      <c r="AA1136" s="2">
        <v>40</v>
      </c>
      <c r="AB1136" s="2">
        <v>100</v>
      </c>
      <c r="AC1136" s="2">
        <v>20</v>
      </c>
      <c r="AD1136" s="2">
        <v>13</v>
      </c>
      <c r="AE1136" s="2">
        <f>AC1136*AD1136</f>
        <v>260</v>
      </c>
      <c r="AF1136" s="2">
        <f>Z1136/Y1136</f>
        <v>2.5</v>
      </c>
      <c r="AG1136" s="2">
        <f>AA1136/Z1136</f>
        <v>8</v>
      </c>
      <c r="AH1136" s="2">
        <f>AB1136/AA1136</f>
        <v>2.5</v>
      </c>
    </row>
    <row r="1137" spans="1:34">
      <c r="A1137" s="165" t="s">
        <v>1383</v>
      </c>
      <c r="B1137" s="39" t="s">
        <v>63</v>
      </c>
      <c r="C1137" s="41">
        <v>46197</v>
      </c>
      <c r="D1137" s="144">
        <v>0.91666666666666663</v>
      </c>
      <c r="E1137" s="43"/>
      <c r="F1137" s="8" t="s">
        <v>909</v>
      </c>
      <c r="G1137" s="2">
        <v>1</v>
      </c>
      <c r="H1137" s="2">
        <v>9</v>
      </c>
      <c r="I1137" s="45">
        <v>135</v>
      </c>
      <c r="J1137" s="2" t="s">
        <v>766</v>
      </c>
      <c r="K1137" s="88" t="s">
        <v>813</v>
      </c>
      <c r="L1137" s="89">
        <v>10000</v>
      </c>
      <c r="M1137" s="202">
        <v>15</v>
      </c>
      <c r="N1137" s="132" t="s">
        <v>821</v>
      </c>
      <c r="O1137" s="39" t="s">
        <v>49</v>
      </c>
      <c r="P1137" s="210"/>
      <c r="Q1137" s="19">
        <v>35</v>
      </c>
      <c r="R1137" s="15">
        <f>Q1137/I1137</f>
        <v>0.25925925925925924</v>
      </c>
      <c r="S1137" s="5">
        <v>22</v>
      </c>
      <c r="U1137" s="109" t="s">
        <v>767</v>
      </c>
      <c r="V1137" s="71" t="s">
        <v>362</v>
      </c>
      <c r="W1137" s="8" t="s">
        <v>369</v>
      </c>
      <c r="Y1137" s="175"/>
      <c r="Z1137" s="175"/>
      <c r="AA1137" s="175"/>
      <c r="AB1137" s="175"/>
      <c r="AC1137" s="175"/>
      <c r="AD1137" s="175"/>
      <c r="AE1137" s="175"/>
      <c r="AF1137" s="175"/>
      <c r="AG1137" s="175"/>
      <c r="AH1137" s="175"/>
    </row>
    <row r="1138" spans="1:34">
      <c r="A1138" s="165" t="s">
        <v>1383</v>
      </c>
      <c r="B1138" s="36" t="s">
        <v>63</v>
      </c>
      <c r="C1138" s="41">
        <v>46197</v>
      </c>
      <c r="D1138" s="144" t="s">
        <v>117</v>
      </c>
      <c r="E1138" s="228">
        <v>63</v>
      </c>
      <c r="F1138" s="8" t="s">
        <v>984</v>
      </c>
      <c r="G1138" s="2">
        <v>3</v>
      </c>
      <c r="H1138" s="2">
        <v>9</v>
      </c>
      <c r="I1138" s="45">
        <v>1000</v>
      </c>
      <c r="J1138" s="2" t="s">
        <v>763</v>
      </c>
      <c r="K1138" s="109" t="s">
        <v>601</v>
      </c>
      <c r="L1138" s="89">
        <v>40000</v>
      </c>
      <c r="M1138" s="202" t="s">
        <v>22</v>
      </c>
      <c r="N1138" s="39" t="s">
        <v>48</v>
      </c>
      <c r="O1138" s="39" t="s">
        <v>49</v>
      </c>
      <c r="P1138" s="210"/>
      <c r="Q1138" s="19">
        <f>R1138*I1138</f>
        <v>120</v>
      </c>
      <c r="R1138" s="15">
        <v>0.12</v>
      </c>
      <c r="S1138" s="5">
        <f>($AC1138*$AD1138)/(($Z1138/$Y1138)+($AA1138/$Z1138)+($AB1138/$AA1138))</f>
        <v>76.947040498442377</v>
      </c>
      <c r="U1138" s="109" t="s">
        <v>767</v>
      </c>
      <c r="V1138" s="205" t="s">
        <v>121</v>
      </c>
      <c r="W1138" s="205"/>
      <c r="Y1138" s="2">
        <v>2</v>
      </c>
      <c r="Z1138" s="2">
        <v>5</v>
      </c>
      <c r="AA1138" s="2">
        <v>13</v>
      </c>
      <c r="AB1138" s="2">
        <v>30</v>
      </c>
      <c r="AC1138" s="2">
        <v>19</v>
      </c>
      <c r="AD1138" s="2">
        <v>30</v>
      </c>
      <c r="AE1138" s="2">
        <f>AC1138*AD1138</f>
        <v>570</v>
      </c>
      <c r="AF1138" s="2">
        <f>Z1138/Y1138</f>
        <v>2.5</v>
      </c>
      <c r="AG1138" s="2">
        <f>AA1138/Z1138</f>
        <v>2.6</v>
      </c>
      <c r="AH1138" s="2">
        <f>AB1138/AA1138</f>
        <v>2.3076923076923075</v>
      </c>
    </row>
    <row r="1139" spans="1:34">
      <c r="A1139" s="165" t="s">
        <v>1383</v>
      </c>
      <c r="B1139" s="36" t="s">
        <v>63</v>
      </c>
      <c r="C1139" s="41">
        <v>46197</v>
      </c>
      <c r="D1139" s="144" t="s">
        <v>115</v>
      </c>
      <c r="E1139" s="194">
        <v>64</v>
      </c>
      <c r="F1139" s="8" t="s">
        <v>1171</v>
      </c>
      <c r="G1139" s="2">
        <v>3</v>
      </c>
      <c r="H1139" s="2">
        <v>8</v>
      </c>
      <c r="I1139" s="45">
        <v>25000</v>
      </c>
      <c r="J1139" s="2" t="s">
        <v>762</v>
      </c>
      <c r="K1139" s="109" t="s">
        <v>601</v>
      </c>
      <c r="L1139" s="89">
        <v>150000</v>
      </c>
      <c r="M1139" s="202">
        <v>60</v>
      </c>
      <c r="N1139" s="39" t="s">
        <v>48</v>
      </c>
      <c r="O1139" s="39" t="s">
        <v>124</v>
      </c>
      <c r="P1139" s="210"/>
      <c r="Q1139" s="19">
        <f>R1139*I1139</f>
        <v>1500</v>
      </c>
      <c r="R1139" s="15">
        <v>0.06</v>
      </c>
      <c r="S1139" s="149" t="s">
        <v>110</v>
      </c>
      <c r="T1139" s="149"/>
      <c r="U1139" s="109" t="s">
        <v>767</v>
      </c>
      <c r="V1139" s="2" t="s">
        <v>121</v>
      </c>
      <c r="W1139" s="205"/>
      <c r="AE1139" s="2" t="e">
        <f>AD1139*#REF!</f>
        <v>#REF!</v>
      </c>
      <c r="AF1139" s="2" t="e">
        <f>Z1139/Y1139</f>
        <v>#DIV/0!</v>
      </c>
      <c r="AG1139" s="2" t="e">
        <f>AA1139/Z1139</f>
        <v>#DIV/0!</v>
      </c>
      <c r="AH1139" s="2" t="e">
        <f>AC1139/AA1139</f>
        <v>#DIV/0!</v>
      </c>
    </row>
    <row r="1140" spans="1:34">
      <c r="A1140" s="165" t="s">
        <v>1383</v>
      </c>
      <c r="B1140" s="36" t="s">
        <v>63</v>
      </c>
      <c r="C1140" s="41">
        <v>46197</v>
      </c>
      <c r="D1140" s="144" t="s">
        <v>115</v>
      </c>
      <c r="E1140" s="194">
        <v>66</v>
      </c>
      <c r="F1140" s="8" t="s">
        <v>989</v>
      </c>
      <c r="G1140" s="2">
        <v>3</v>
      </c>
      <c r="H1140" s="2">
        <v>9</v>
      </c>
      <c r="I1140" s="45">
        <v>1000</v>
      </c>
      <c r="J1140" s="2" t="s">
        <v>110</v>
      </c>
      <c r="K1140" s="109" t="s">
        <v>602</v>
      </c>
      <c r="L1140" s="89">
        <v>20000</v>
      </c>
      <c r="M1140" s="202">
        <v>60</v>
      </c>
      <c r="N1140" s="39" t="s">
        <v>48</v>
      </c>
      <c r="O1140" s="39" t="s">
        <v>49</v>
      </c>
      <c r="P1140" s="210"/>
      <c r="Q1140" s="19">
        <f>R1140*I1140</f>
        <v>120</v>
      </c>
      <c r="R1140" s="15">
        <v>0.12</v>
      </c>
      <c r="S1140" s="5">
        <f>($AC1140*$AD1140)/(($Z1140/$Y1140)+($AA1140/$Z1140)+($AB1140/$AA1140))</f>
        <v>133.04347826086956</v>
      </c>
      <c r="U1140" s="109" t="s">
        <v>155</v>
      </c>
      <c r="V1140" s="2" t="s">
        <v>121</v>
      </c>
      <c r="W1140" s="205"/>
      <c r="Y1140" s="2">
        <v>1.5</v>
      </c>
      <c r="Z1140" s="2">
        <v>4</v>
      </c>
      <c r="AA1140" s="2">
        <v>10</v>
      </c>
      <c r="AB1140" s="2">
        <v>25</v>
      </c>
      <c r="AC1140" s="2">
        <v>17</v>
      </c>
      <c r="AD1140" s="2">
        <v>60</v>
      </c>
      <c r="AE1140" s="2">
        <f>AC1140*AD1140</f>
        <v>1020</v>
      </c>
      <c r="AF1140" s="2">
        <f>Z1140/Y1140</f>
        <v>2.6666666666666665</v>
      </c>
      <c r="AG1140" s="2">
        <f>AA1140/Z1140</f>
        <v>2.5</v>
      </c>
      <c r="AH1140" s="2">
        <f>AB1140/AA1140</f>
        <v>2.5</v>
      </c>
    </row>
    <row r="1141" spans="1:34">
      <c r="A1141" s="165" t="s">
        <v>1383</v>
      </c>
      <c r="B1141" s="36" t="s">
        <v>63</v>
      </c>
      <c r="C1141" s="41">
        <v>46197</v>
      </c>
      <c r="D1141" s="144" t="s">
        <v>116</v>
      </c>
      <c r="E1141" s="194">
        <v>67</v>
      </c>
      <c r="F1141" s="8" t="s">
        <v>172</v>
      </c>
      <c r="G1141" s="2">
        <v>3</v>
      </c>
      <c r="H1141" s="2">
        <v>9</v>
      </c>
      <c r="I1141" s="37">
        <v>10000</v>
      </c>
      <c r="J1141" s="2" t="s">
        <v>110</v>
      </c>
      <c r="K1141" s="109" t="s">
        <v>816</v>
      </c>
      <c r="L1141" s="89">
        <v>60000</v>
      </c>
      <c r="M1141" s="202" t="s">
        <v>111</v>
      </c>
      <c r="N1141" s="39" t="s">
        <v>48</v>
      </c>
      <c r="O1141" s="39" t="s">
        <v>871</v>
      </c>
      <c r="P1141" s="213"/>
      <c r="Q1141" s="38">
        <f>R1141*I1141</f>
        <v>700.00000000000011</v>
      </c>
      <c r="R1141" s="15">
        <v>7.0000000000000007E-2</v>
      </c>
      <c r="S1141" s="149" t="s">
        <v>110</v>
      </c>
      <c r="T1141" s="149"/>
      <c r="U1141" s="109" t="s">
        <v>767</v>
      </c>
      <c r="V1141" s="205" t="s">
        <v>121</v>
      </c>
      <c r="W1141" s="205"/>
      <c r="AE1141" s="2" t="e">
        <f>AD1141*#REF!</f>
        <v>#REF!</v>
      </c>
      <c r="AF1141" s="2" t="e">
        <f>Z1141/Y1141</f>
        <v>#DIV/0!</v>
      </c>
      <c r="AG1141" s="2" t="e">
        <f>AA1141/Z1141</f>
        <v>#DIV/0!</v>
      </c>
      <c r="AH1141" s="2" t="e">
        <f>AC1141/AA1141</f>
        <v>#DIV/0!</v>
      </c>
    </row>
    <row r="1142" spans="1:34">
      <c r="A1142" s="165" t="s">
        <v>1383</v>
      </c>
      <c r="B1142" s="36" t="s">
        <v>63</v>
      </c>
      <c r="C1142" s="41">
        <v>46197</v>
      </c>
      <c r="D1142" s="144" t="s">
        <v>876</v>
      </c>
      <c r="E1142" s="228">
        <v>57</v>
      </c>
      <c r="F1142" s="8" t="s">
        <v>1215</v>
      </c>
      <c r="G1142" s="2">
        <v>3</v>
      </c>
      <c r="H1142" s="2">
        <v>8</v>
      </c>
      <c r="I1142" s="45">
        <v>1000</v>
      </c>
      <c r="J1142" s="2" t="s">
        <v>762</v>
      </c>
      <c r="K1142" s="109" t="s">
        <v>598</v>
      </c>
      <c r="L1142" s="89">
        <v>20000</v>
      </c>
      <c r="M1142" s="202" t="s">
        <v>97</v>
      </c>
      <c r="N1142" s="39" t="s">
        <v>48</v>
      </c>
      <c r="O1142" s="39" t="s">
        <v>57</v>
      </c>
      <c r="P1142" s="213"/>
      <c r="Q1142" s="38">
        <f>R1142*I1142</f>
        <v>120</v>
      </c>
      <c r="R1142" s="15">
        <v>0.12</v>
      </c>
      <c r="S1142" s="149" t="s">
        <v>110</v>
      </c>
      <c r="T1142" s="149"/>
      <c r="U1142" s="109" t="s">
        <v>767</v>
      </c>
      <c r="V1142" s="205" t="s">
        <v>121</v>
      </c>
      <c r="W1142" s="205"/>
      <c r="AE1142" s="2" t="e">
        <f>AD1142*#REF!</f>
        <v>#REF!</v>
      </c>
      <c r="AF1142" s="2" t="e">
        <f>Z1142/Y1142</f>
        <v>#DIV/0!</v>
      </c>
      <c r="AG1142" s="2" t="e">
        <f>AA1142/Z1142</f>
        <v>#DIV/0!</v>
      </c>
      <c r="AH1142" s="2" t="e">
        <f>AC1142/AA1142</f>
        <v>#DIV/0!</v>
      </c>
    </row>
    <row r="1143" spans="1:34">
      <c r="A1143" s="165" t="s">
        <v>1383</v>
      </c>
      <c r="B1143" s="36" t="s">
        <v>63</v>
      </c>
      <c r="C1143" s="41">
        <v>46197</v>
      </c>
      <c r="D1143" s="144" t="s">
        <v>876</v>
      </c>
      <c r="E1143" s="228">
        <v>50</v>
      </c>
      <c r="F1143" s="8" t="s">
        <v>1131</v>
      </c>
      <c r="G1143" s="2">
        <v>5</v>
      </c>
      <c r="H1143" s="2">
        <v>9</v>
      </c>
      <c r="I1143" s="45">
        <v>1500</v>
      </c>
      <c r="J1143" s="2" t="s">
        <v>761</v>
      </c>
      <c r="K1143" s="109" t="s">
        <v>602</v>
      </c>
      <c r="L1143" s="89">
        <v>25000</v>
      </c>
      <c r="M1143" s="202">
        <v>60</v>
      </c>
      <c r="N1143" s="39" t="s">
        <v>48</v>
      </c>
      <c r="O1143" s="39" t="s">
        <v>49</v>
      </c>
      <c r="Q1143" s="19">
        <f>R1143*I1143</f>
        <v>172.5</v>
      </c>
      <c r="R1143" s="15">
        <v>0.115</v>
      </c>
      <c r="S1143" s="5">
        <f>($AC1143*$AD1143)/(($Z1143/$Y1143)+($AA1143/$Z1143)+($AB1143/$AA1143))</f>
        <v>140.86956521739131</v>
      </c>
      <c r="U1143" s="109" t="s">
        <v>767</v>
      </c>
      <c r="V1143" s="205" t="s">
        <v>121</v>
      </c>
      <c r="W1143" s="205"/>
      <c r="Y1143" s="2">
        <v>1.5</v>
      </c>
      <c r="Z1143" s="2">
        <v>4</v>
      </c>
      <c r="AA1143" s="2">
        <v>10</v>
      </c>
      <c r="AB1143" s="2">
        <v>25</v>
      </c>
      <c r="AC1143" s="2">
        <v>18</v>
      </c>
      <c r="AD1143" s="2">
        <v>60</v>
      </c>
      <c r="AE1143" s="2">
        <f>AC1143*AD1143</f>
        <v>1080</v>
      </c>
      <c r="AF1143" s="2">
        <f>Z1143/Y1143</f>
        <v>2.6666666666666665</v>
      </c>
      <c r="AG1143" s="2">
        <f>AA1143/Z1143</f>
        <v>2.5</v>
      </c>
      <c r="AH1143" s="2">
        <f>AB1143/AA1143</f>
        <v>2.5</v>
      </c>
    </row>
    <row r="1144" spans="1:34">
      <c r="A1144" s="165" t="s">
        <v>1383</v>
      </c>
      <c r="B1144" s="36" t="s">
        <v>63</v>
      </c>
      <c r="C1144" s="41">
        <v>46197</v>
      </c>
      <c r="D1144" s="144" t="s">
        <v>876</v>
      </c>
      <c r="E1144" s="194">
        <v>62</v>
      </c>
      <c r="F1144" s="8" t="s">
        <v>1263</v>
      </c>
      <c r="G1144" s="2">
        <v>3</v>
      </c>
      <c r="H1144" s="2">
        <v>9</v>
      </c>
      <c r="I1144" s="45">
        <v>2500</v>
      </c>
      <c r="J1144" s="2" t="s">
        <v>760</v>
      </c>
      <c r="K1144" s="109" t="s">
        <v>601</v>
      </c>
      <c r="L1144" s="89">
        <v>35000</v>
      </c>
      <c r="M1144" s="202" t="s">
        <v>97</v>
      </c>
      <c r="N1144" s="39" t="s">
        <v>48</v>
      </c>
      <c r="O1144" s="39" t="s">
        <v>49</v>
      </c>
      <c r="Q1144" s="19">
        <f>R1144*I1144</f>
        <v>275</v>
      </c>
      <c r="R1144" s="15">
        <v>0.11</v>
      </c>
      <c r="S1144" s="5">
        <f>($AC1144*$AD1144)/(($Z1144/$Y1144)+($AA1144/$Z1144)+($AB1144/$AA1144))</f>
        <v>99.130434782608702</v>
      </c>
      <c r="U1144" s="109" t="s">
        <v>767</v>
      </c>
      <c r="V1144" s="205" t="s">
        <v>121</v>
      </c>
      <c r="W1144" s="205"/>
      <c r="Y1144" s="2">
        <v>1.5</v>
      </c>
      <c r="Z1144" s="2">
        <v>4</v>
      </c>
      <c r="AA1144" s="2">
        <v>10</v>
      </c>
      <c r="AB1144" s="2">
        <v>25</v>
      </c>
      <c r="AC1144" s="2">
        <v>19</v>
      </c>
      <c r="AD1144" s="2">
        <v>40</v>
      </c>
      <c r="AE1144" s="2">
        <f>AC1144*AD1144</f>
        <v>760</v>
      </c>
      <c r="AF1144" s="2">
        <f>Z1144/Y1144</f>
        <v>2.6666666666666665</v>
      </c>
      <c r="AG1144" s="2">
        <f>AA1144/Z1144</f>
        <v>2.5</v>
      </c>
      <c r="AH1144" s="2">
        <f>AB1144/AA1144</f>
        <v>2.5</v>
      </c>
    </row>
    <row r="1145" spans="1:34">
      <c r="A1145" s="165" t="s">
        <v>1383</v>
      </c>
      <c r="B1145" s="39" t="s">
        <v>63</v>
      </c>
      <c r="C1145" s="41">
        <v>46198</v>
      </c>
      <c r="D1145" s="144">
        <v>0.375</v>
      </c>
      <c r="E1145" s="194"/>
      <c r="F1145" s="8" t="s">
        <v>925</v>
      </c>
      <c r="G1145" s="2">
        <v>1</v>
      </c>
      <c r="H1145" s="2">
        <v>9</v>
      </c>
      <c r="I1145" s="45">
        <v>250</v>
      </c>
      <c r="J1145" s="2" t="s">
        <v>766</v>
      </c>
      <c r="K1145" s="88" t="s">
        <v>772</v>
      </c>
      <c r="L1145" s="89">
        <v>25000</v>
      </c>
      <c r="M1145" s="205">
        <v>30</v>
      </c>
      <c r="N1145" s="39" t="s">
        <v>823</v>
      </c>
      <c r="O1145" s="39" t="s">
        <v>49</v>
      </c>
      <c r="P1145" s="210"/>
      <c r="Q1145" s="19">
        <v>50</v>
      </c>
      <c r="R1145" s="15">
        <v>0.2</v>
      </c>
      <c r="S1145" s="5">
        <v>44</v>
      </c>
      <c r="U1145" s="109" t="s">
        <v>54</v>
      </c>
      <c r="V1145" s="71" t="s">
        <v>360</v>
      </c>
      <c r="Y1145" s="175"/>
      <c r="Z1145" s="175"/>
      <c r="AA1145" s="175"/>
      <c r="AB1145" s="175"/>
      <c r="AC1145" s="175"/>
      <c r="AD1145" s="175"/>
      <c r="AE1145" s="175"/>
      <c r="AF1145" s="175"/>
      <c r="AG1145" s="175"/>
      <c r="AH1145" s="175"/>
    </row>
    <row r="1146" spans="1:34">
      <c r="A1146" s="96" t="s">
        <v>461</v>
      </c>
      <c r="B1146" s="96" t="s">
        <v>462</v>
      </c>
      <c r="C1146" s="41">
        <v>46198</v>
      </c>
      <c r="D1146" s="42">
        <v>0.4236111111111111</v>
      </c>
      <c r="E1146" s="43"/>
      <c r="F1146" s="8" t="s">
        <v>457</v>
      </c>
      <c r="G1146" s="2">
        <v>1</v>
      </c>
      <c r="I1146" s="126">
        <v>120</v>
      </c>
      <c r="J1146" s="2" t="s">
        <v>766</v>
      </c>
      <c r="K1146" s="109" t="s">
        <v>602</v>
      </c>
      <c r="L1146" s="8">
        <v>20000</v>
      </c>
      <c r="M1146" s="202">
        <v>20</v>
      </c>
      <c r="N1146" s="39" t="s">
        <v>48</v>
      </c>
      <c r="O1146" s="39" t="s">
        <v>49</v>
      </c>
      <c r="P1146" s="135" t="s">
        <v>832</v>
      </c>
      <c r="Q1146" s="19">
        <v>24</v>
      </c>
      <c r="R1146" s="15">
        <f>Q1146/I1146</f>
        <v>0.2</v>
      </c>
      <c r="S1146" s="5">
        <f>($AC1146*$AD1146)/(($Z1146/$Y1146)+($AA1146/$Z1146)+($AB1146/$AA1146))</f>
        <v>25.161290322580644</v>
      </c>
      <c r="U1146" s="109" t="s">
        <v>767</v>
      </c>
      <c r="V1146" s="2" t="s">
        <v>735</v>
      </c>
      <c r="Y1146" s="2">
        <v>2.5</v>
      </c>
      <c r="Z1146" s="2">
        <v>7.5</v>
      </c>
      <c r="AA1146" s="2">
        <v>30</v>
      </c>
      <c r="AB1146" s="2">
        <v>100</v>
      </c>
      <c r="AC1146" s="2">
        <v>13</v>
      </c>
      <c r="AD1146" s="2">
        <v>20</v>
      </c>
      <c r="AE1146" s="2">
        <f>AC1146*AD1146</f>
        <v>260</v>
      </c>
      <c r="AF1146" s="2">
        <f>Z1146/Y1146</f>
        <v>3</v>
      </c>
      <c r="AG1146" s="2">
        <f>AA1146/Z1146</f>
        <v>4</v>
      </c>
      <c r="AH1146" s="2">
        <f>AB1146/AA1146</f>
        <v>3.3333333333333335</v>
      </c>
    </row>
    <row r="1147" spans="1:34">
      <c r="A1147" s="68" t="s">
        <v>357</v>
      </c>
      <c r="B1147" s="68" t="s">
        <v>358</v>
      </c>
      <c r="C1147" s="191">
        <v>46198</v>
      </c>
      <c r="D1147" s="42">
        <v>0.4236111111111111</v>
      </c>
      <c r="E1147" s="194">
        <v>68</v>
      </c>
      <c r="F1147" s="63" t="s">
        <v>319</v>
      </c>
      <c r="G1147" s="2">
        <v>2</v>
      </c>
      <c r="H1147" s="2">
        <v>9</v>
      </c>
      <c r="I1147" s="126">
        <v>1100</v>
      </c>
      <c r="J1147" s="2" t="s">
        <v>766</v>
      </c>
      <c r="K1147" s="137" t="s">
        <v>603</v>
      </c>
      <c r="L1147" s="89">
        <v>40000</v>
      </c>
      <c r="M1147" s="202">
        <v>40</v>
      </c>
      <c r="N1147" s="39" t="s">
        <v>48</v>
      </c>
      <c r="O1147" s="39" t="s">
        <v>49</v>
      </c>
      <c r="P1147" s="135" t="s">
        <v>843</v>
      </c>
      <c r="Q1147" s="19">
        <v>140</v>
      </c>
      <c r="R1147" s="15">
        <f>Q1147/I1147</f>
        <v>0.12727272727272726</v>
      </c>
      <c r="S1147" s="5">
        <f>($AC1147*$AD1147)/(($Z1147/$Y1147)+($AA1147/$Z1147)+($AB1147/$AA1147))</f>
        <v>102.59605399792316</v>
      </c>
      <c r="U1147" s="109" t="s">
        <v>767</v>
      </c>
      <c r="V1147" s="2" t="s">
        <v>684</v>
      </c>
      <c r="Y1147" s="2">
        <v>2</v>
      </c>
      <c r="Z1147" s="2">
        <v>5</v>
      </c>
      <c r="AA1147" s="2">
        <v>13</v>
      </c>
      <c r="AB1147" s="2">
        <v>30</v>
      </c>
      <c r="AC1147" s="2">
        <v>40</v>
      </c>
      <c r="AD1147" s="2">
        <v>19</v>
      </c>
      <c r="AE1147" s="2">
        <f>AC1147*AD1147</f>
        <v>760</v>
      </c>
      <c r="AF1147" s="2">
        <f>Z1147/Y1147</f>
        <v>2.5</v>
      </c>
      <c r="AG1147" s="2">
        <f>AA1147/Z1147</f>
        <v>2.6</v>
      </c>
      <c r="AH1147" s="2">
        <f>AB1147/AA1147</f>
        <v>2.3076923076923075</v>
      </c>
    </row>
    <row r="1148" spans="1:34">
      <c r="A1148" s="95" t="s">
        <v>447</v>
      </c>
      <c r="B1148" s="95" t="s">
        <v>448</v>
      </c>
      <c r="C1148" s="190">
        <v>46198</v>
      </c>
      <c r="D1148" s="42">
        <v>0.45833333333333331</v>
      </c>
      <c r="E1148" s="43"/>
      <c r="F1148" s="8" t="s">
        <v>405</v>
      </c>
      <c r="G1148" s="2">
        <v>1</v>
      </c>
      <c r="H1148" s="2">
        <v>9</v>
      </c>
      <c r="I1148" s="126">
        <v>800</v>
      </c>
      <c r="J1148" s="2" t="s">
        <v>766</v>
      </c>
      <c r="K1148" s="109" t="s">
        <v>602</v>
      </c>
      <c r="L1148" s="8">
        <v>30000</v>
      </c>
      <c r="M1148" s="8">
        <v>30</v>
      </c>
      <c r="N1148" s="39" t="s">
        <v>48</v>
      </c>
      <c r="O1148" s="39" t="s">
        <v>49</v>
      </c>
      <c r="P1148" s="135" t="s">
        <v>840</v>
      </c>
      <c r="Q1148" s="19">
        <v>100</v>
      </c>
      <c r="R1148" s="15">
        <f>Q1148/I1148</f>
        <v>0.125</v>
      </c>
      <c r="S1148" s="5">
        <f>($AC1148*$AD1148)/(($Z1148/$Y1148)+($AA1148/$Z1148)+($AB1148/$AA1148))</f>
        <v>72.897196261682254</v>
      </c>
      <c r="U1148" s="109" t="s">
        <v>767</v>
      </c>
      <c r="V1148" s="205" t="s">
        <v>741</v>
      </c>
      <c r="W1148" s="205"/>
      <c r="Y1148" s="2">
        <v>2</v>
      </c>
      <c r="Z1148" s="2">
        <v>5</v>
      </c>
      <c r="AA1148" s="2">
        <v>13</v>
      </c>
      <c r="AB1148" s="2">
        <v>30</v>
      </c>
      <c r="AC1148" s="2">
        <v>18</v>
      </c>
      <c r="AD1148" s="2">
        <v>30</v>
      </c>
      <c r="AE1148" s="2">
        <f>AC1148*AD1148</f>
        <v>540</v>
      </c>
      <c r="AF1148" s="2">
        <f>Z1148/Y1148</f>
        <v>2.5</v>
      </c>
      <c r="AG1148" s="2">
        <f>AA1148/Z1148</f>
        <v>2.6</v>
      </c>
      <c r="AH1148" s="2">
        <f>AB1148/AA1148</f>
        <v>2.3076923076923075</v>
      </c>
    </row>
    <row r="1149" spans="1:34">
      <c r="A1149" s="103" t="s">
        <v>539</v>
      </c>
      <c r="B1149" s="103" t="s">
        <v>540</v>
      </c>
      <c r="C1149" s="191">
        <v>46198</v>
      </c>
      <c r="D1149" s="42">
        <v>0.45833333333333331</v>
      </c>
      <c r="E1149">
        <v>75</v>
      </c>
      <c r="F1149" s="63" t="s">
        <v>576</v>
      </c>
      <c r="G1149" s="2">
        <v>2</v>
      </c>
      <c r="H1149" s="2">
        <v>9</v>
      </c>
      <c r="I1149" s="126">
        <v>600</v>
      </c>
      <c r="J1149" s="179" t="s">
        <v>766</v>
      </c>
      <c r="K1149" s="179" t="s">
        <v>601</v>
      </c>
      <c r="L1149" s="89">
        <v>30000</v>
      </c>
      <c r="M1149" s="207" t="s">
        <v>97</v>
      </c>
      <c r="N1149" s="39" t="s">
        <v>48</v>
      </c>
      <c r="O1149" s="39" t="s">
        <v>49</v>
      </c>
      <c r="P1149" s="135" t="s">
        <v>843</v>
      </c>
      <c r="Q1149" s="19">
        <v>92</v>
      </c>
      <c r="R1149" s="15">
        <f>Q1149/I1149</f>
        <v>0.15333333333333332</v>
      </c>
      <c r="S1149" s="5">
        <f>($AC1149*$AD1149)/(($Z1149/$Y1149)+($AA1149/$Z1149)+($AB1149/$AA1149))</f>
        <v>99.130434782608702</v>
      </c>
      <c r="U1149" s="109" t="s">
        <v>767</v>
      </c>
      <c r="V1149" s="71" t="s">
        <v>1395</v>
      </c>
      <c r="Y1149" s="2">
        <v>1.5</v>
      </c>
      <c r="Z1149" s="2">
        <v>4</v>
      </c>
      <c r="AA1149" s="2">
        <v>10</v>
      </c>
      <c r="AB1149" s="2">
        <v>25</v>
      </c>
      <c r="AC1149" s="2">
        <v>19</v>
      </c>
      <c r="AD1149" s="2">
        <v>40</v>
      </c>
      <c r="AE1149" s="2">
        <f>AC1149*AD1149</f>
        <v>760</v>
      </c>
      <c r="AF1149" s="2">
        <f>Z1149/Y1149</f>
        <v>2.6666666666666665</v>
      </c>
      <c r="AG1149" s="2">
        <f>AA1149/Z1149</f>
        <v>2.5</v>
      </c>
      <c r="AH1149" s="2">
        <f>AB1149/AA1149</f>
        <v>2.5</v>
      </c>
    </row>
    <row r="1150" spans="1:34">
      <c r="A1150" s="102" t="s">
        <v>475</v>
      </c>
      <c r="B1150" s="102" t="s">
        <v>476</v>
      </c>
      <c r="C1150" s="190">
        <v>46198</v>
      </c>
      <c r="D1150" s="42">
        <v>0.45833333333333331</v>
      </c>
      <c r="E1150" s="194">
        <v>27</v>
      </c>
      <c r="F1150" s="8" t="s">
        <v>496</v>
      </c>
      <c r="G1150" s="2">
        <v>1</v>
      </c>
      <c r="H1150" s="2">
        <v>9</v>
      </c>
      <c r="I1150" s="126">
        <v>400</v>
      </c>
      <c r="J1150" s="2" t="s">
        <v>766</v>
      </c>
      <c r="K1150" s="109" t="s">
        <v>601</v>
      </c>
      <c r="L1150" s="105">
        <v>30000</v>
      </c>
      <c r="M1150" s="64">
        <v>30</v>
      </c>
      <c r="N1150" s="39" t="s">
        <v>48</v>
      </c>
      <c r="O1150" s="39" t="s">
        <v>49</v>
      </c>
      <c r="P1150" s="134" t="s">
        <v>834</v>
      </c>
      <c r="Q1150" s="19">
        <v>70</v>
      </c>
      <c r="R1150" s="15">
        <f>Q1150/I1150</f>
        <v>0.17499999999999999</v>
      </c>
      <c r="S1150" s="5">
        <f>($AC1150*$AD1150)/(($Z1150/$Y1150)+($AA1150/$Z1150)+($AB1150/$AA1150))</f>
        <v>72.897196261682254</v>
      </c>
      <c r="U1150" s="109" t="s">
        <v>767</v>
      </c>
      <c r="V1150" s="205" t="s">
        <v>630</v>
      </c>
      <c r="W1150" s="205"/>
      <c r="Y1150" s="2">
        <v>2</v>
      </c>
      <c r="Z1150" s="2">
        <v>5</v>
      </c>
      <c r="AA1150" s="2">
        <v>13</v>
      </c>
      <c r="AB1150" s="2">
        <v>30</v>
      </c>
      <c r="AC1150" s="2">
        <v>30</v>
      </c>
      <c r="AD1150" s="2">
        <v>18</v>
      </c>
      <c r="AE1150" s="2">
        <f>AC1150*AD1150</f>
        <v>540</v>
      </c>
      <c r="AF1150" s="2">
        <f>Z1150/Y1150</f>
        <v>2.5</v>
      </c>
      <c r="AG1150" s="2">
        <f>AA1150/Z1150</f>
        <v>2.6</v>
      </c>
      <c r="AH1150" s="2">
        <f>AB1150/AA1150</f>
        <v>2.3076923076923075</v>
      </c>
    </row>
    <row r="1151" spans="1:34">
      <c r="A1151" s="52" t="s">
        <v>229</v>
      </c>
      <c r="B1151" s="52" t="s">
        <v>230</v>
      </c>
      <c r="C1151" s="190">
        <v>46198</v>
      </c>
      <c r="D1151" s="42">
        <v>0.45833333333333331</v>
      </c>
      <c r="E1151" s="43"/>
      <c r="F1151" s="8" t="s">
        <v>249</v>
      </c>
      <c r="G1151" s="2">
        <v>1</v>
      </c>
      <c r="I1151" s="126">
        <v>300</v>
      </c>
      <c r="J1151" s="2" t="s">
        <v>766</v>
      </c>
      <c r="K1151" s="88" t="s">
        <v>788</v>
      </c>
      <c r="L1151" s="90">
        <v>30000</v>
      </c>
      <c r="M1151" s="8">
        <v>30</v>
      </c>
      <c r="N1151" s="39" t="s">
        <v>48</v>
      </c>
      <c r="O1151" s="39" t="s">
        <v>49</v>
      </c>
      <c r="P1151" s="134" t="s">
        <v>835</v>
      </c>
      <c r="Q1151" s="19">
        <v>45</v>
      </c>
      <c r="R1151" s="15">
        <f>IF(Q1151&gt;0,Q1151/I1151,"")</f>
        <v>0.15</v>
      </c>
      <c r="S1151" s="215">
        <f>($AC1151*$AD1151)/(($Z1151/$Y1151)+($AA1151/$Z1151)+($AB1151/$AA1151))</f>
        <v>72.897196261682254</v>
      </c>
      <c r="U1151" s="109" t="s">
        <v>767</v>
      </c>
      <c r="V1151" s="10" t="s">
        <v>719</v>
      </c>
      <c r="W1151" s="205"/>
      <c r="Y1151" s="2">
        <v>2</v>
      </c>
      <c r="Z1151" s="2">
        <v>5</v>
      </c>
      <c r="AA1151" s="2">
        <v>13</v>
      </c>
      <c r="AB1151" s="2">
        <v>30</v>
      </c>
      <c r="AC1151" s="2">
        <v>18</v>
      </c>
      <c r="AD1151" s="2">
        <v>30</v>
      </c>
      <c r="AE1151" s="2">
        <f>AC1151*AD1151</f>
        <v>540</v>
      </c>
      <c r="AF1151" s="2">
        <f>Z1151/Y1151</f>
        <v>2.5</v>
      </c>
      <c r="AG1151" s="2">
        <f>AA1151/Z1151</f>
        <v>2.6</v>
      </c>
      <c r="AH1151" s="2">
        <f>AB1151/AA1151</f>
        <v>2.3076923076923075</v>
      </c>
    </row>
    <row r="1152" spans="1:34">
      <c r="A1152" s="103" t="s">
        <v>539</v>
      </c>
      <c r="B1152" s="103" t="s">
        <v>540</v>
      </c>
      <c r="C1152" s="191">
        <v>46198</v>
      </c>
      <c r="D1152" s="42">
        <v>0.5</v>
      </c>
      <c r="E1152" s="194">
        <v>79</v>
      </c>
      <c r="F1152" s="63" t="s">
        <v>581</v>
      </c>
      <c r="G1152" s="2">
        <v>1</v>
      </c>
      <c r="H1152" s="2">
        <v>6</v>
      </c>
      <c r="I1152" s="126">
        <v>400</v>
      </c>
      <c r="J1152" s="179" t="s">
        <v>766</v>
      </c>
      <c r="K1152" s="179" t="s">
        <v>602</v>
      </c>
      <c r="L1152" s="89">
        <v>30000</v>
      </c>
      <c r="M1152" s="207" t="s">
        <v>22</v>
      </c>
      <c r="N1152" s="39" t="s">
        <v>48</v>
      </c>
      <c r="O1152" s="39" t="s">
        <v>394</v>
      </c>
      <c r="P1152" s="63">
        <v>20000</v>
      </c>
      <c r="Q1152" s="2">
        <v>65</v>
      </c>
      <c r="R1152" s="15">
        <f>Q1152/I1152</f>
        <v>0.16250000000000001</v>
      </c>
      <c r="S1152" s="142"/>
      <c r="U1152" s="109" t="s">
        <v>767</v>
      </c>
      <c r="V1152" s="71" t="s">
        <v>1395</v>
      </c>
      <c r="W1152" s="10"/>
      <c r="AE1152" s="2">
        <f>AC1152*AD1152</f>
        <v>0</v>
      </c>
      <c r="AF1152" s="2" t="e">
        <f>Z1152/Y1152</f>
        <v>#DIV/0!</v>
      </c>
      <c r="AG1152" s="2" t="e">
        <f>AA1152/Z1152</f>
        <v>#DIV/0!</v>
      </c>
      <c r="AH1152" s="2" t="e">
        <f>AB1152/AA1152</f>
        <v>#DIV/0!</v>
      </c>
    </row>
    <row r="1153" spans="1:34">
      <c r="A1153" s="165" t="s">
        <v>1383</v>
      </c>
      <c r="B1153" s="39" t="s">
        <v>63</v>
      </c>
      <c r="C1153" s="190">
        <v>46198</v>
      </c>
      <c r="D1153" s="144">
        <v>0.5</v>
      </c>
      <c r="E1153" s="43"/>
      <c r="F1153" s="8" t="s">
        <v>135</v>
      </c>
      <c r="G1153" s="2">
        <v>1</v>
      </c>
      <c r="H1153" s="2">
        <v>9</v>
      </c>
      <c r="I1153" s="126">
        <v>130</v>
      </c>
      <c r="J1153" s="2" t="s">
        <v>766</v>
      </c>
      <c r="K1153" s="88" t="s">
        <v>773</v>
      </c>
      <c r="L1153" s="90">
        <v>10000</v>
      </c>
      <c r="M1153" s="8">
        <v>15</v>
      </c>
      <c r="N1153" s="132" t="s">
        <v>821</v>
      </c>
      <c r="O1153" s="39" t="s">
        <v>49</v>
      </c>
      <c r="P1153" s="210"/>
      <c r="Q1153" s="19">
        <v>30</v>
      </c>
      <c r="R1153" s="15">
        <f>Q1153/I1153</f>
        <v>0.23076923076923078</v>
      </c>
      <c r="S1153" s="5">
        <v>22</v>
      </c>
      <c r="U1153" s="109" t="s">
        <v>767</v>
      </c>
      <c r="V1153" s="21" t="s">
        <v>362</v>
      </c>
      <c r="W1153" s="8" t="s">
        <v>364</v>
      </c>
      <c r="Y1153" s="175"/>
      <c r="Z1153" s="175"/>
      <c r="AA1153" s="175"/>
      <c r="AB1153" s="175"/>
      <c r="AC1153" s="175"/>
      <c r="AD1153" s="175"/>
      <c r="AE1153" s="175"/>
      <c r="AF1153" s="175"/>
      <c r="AG1153" s="175"/>
      <c r="AH1153" s="175"/>
    </row>
    <row r="1154" spans="1:34">
      <c r="A1154" s="52" t="s">
        <v>229</v>
      </c>
      <c r="B1154" s="52" t="s">
        <v>230</v>
      </c>
      <c r="C1154" s="190">
        <v>46198</v>
      </c>
      <c r="D1154" s="42">
        <v>0.5</v>
      </c>
      <c r="E1154" s="43"/>
      <c r="F1154" s="8" t="s">
        <v>473</v>
      </c>
      <c r="G1154" s="2">
        <v>1</v>
      </c>
      <c r="I1154" s="45">
        <v>600</v>
      </c>
      <c r="J1154" s="2" t="s">
        <v>766</v>
      </c>
      <c r="K1154" s="185" t="s">
        <v>601</v>
      </c>
      <c r="L1154" s="90">
        <v>40000</v>
      </c>
      <c r="M1154" s="46" t="s">
        <v>22</v>
      </c>
      <c r="N1154" s="39" t="s">
        <v>48</v>
      </c>
      <c r="O1154" s="39" t="s">
        <v>373</v>
      </c>
      <c r="P1154" s="19">
        <v>50000</v>
      </c>
      <c r="Q1154" s="2">
        <v>85</v>
      </c>
      <c r="R1154" s="15">
        <f>IF(Q1154&gt;0,Q1154/I1154,"")</f>
        <v>0.14166666666666666</v>
      </c>
      <c r="S1154" s="149" t="s">
        <v>110</v>
      </c>
      <c r="T1154" s="149"/>
      <c r="U1154" s="109" t="s">
        <v>767</v>
      </c>
      <c r="V1154" s="205" t="s">
        <v>719</v>
      </c>
      <c r="W1154" s="10"/>
      <c r="X1154" s="10"/>
      <c r="AE1154" s="2">
        <f>AC1154*AD1154</f>
        <v>0</v>
      </c>
      <c r="AF1154" s="2" t="e">
        <f>Z1154/Y1154</f>
        <v>#DIV/0!</v>
      </c>
      <c r="AG1154" s="2" t="e">
        <f>AA1154/Z1154</f>
        <v>#DIV/0!</v>
      </c>
      <c r="AH1154" s="2" t="e">
        <f>AB1154/AA1154</f>
        <v>#DIV/0!</v>
      </c>
    </row>
    <row r="1155" spans="1:34">
      <c r="A1155" s="52" t="s">
        <v>220</v>
      </c>
      <c r="B1155" s="52" t="s">
        <v>221</v>
      </c>
      <c r="C1155" s="191">
        <v>46198</v>
      </c>
      <c r="D1155" s="42">
        <v>0.5</v>
      </c>
      <c r="E1155" s="43"/>
      <c r="F1155" s="8" t="s">
        <v>1306</v>
      </c>
      <c r="G1155" s="2">
        <v>3</v>
      </c>
      <c r="H1155" s="2">
        <v>9</v>
      </c>
      <c r="I1155" s="126">
        <v>10400</v>
      </c>
      <c r="J1155" s="2" t="s">
        <v>766</v>
      </c>
      <c r="K1155" s="109" t="s">
        <v>767</v>
      </c>
      <c r="L1155" s="90">
        <v>50000</v>
      </c>
      <c r="M1155" s="64">
        <v>60</v>
      </c>
      <c r="N1155" s="39" t="s">
        <v>48</v>
      </c>
      <c r="O1155" s="39" t="s">
        <v>49</v>
      </c>
      <c r="P1155" s="135" t="s">
        <v>850</v>
      </c>
      <c r="Q1155" s="19">
        <v>600</v>
      </c>
      <c r="R1155" s="15">
        <f>Q1155/I1155</f>
        <v>5.7692307692307696E-2</v>
      </c>
      <c r="S1155" s="5">
        <f>($AC1155*$AD1155)/(($Z1155/$Y1155)+($AA1155/$Z1155)+($AB1155/$AA1155))</f>
        <v>161.993769470405</v>
      </c>
      <c r="U1155" s="109" t="s">
        <v>767</v>
      </c>
      <c r="V1155" s="10" t="s">
        <v>738</v>
      </c>
      <c r="W1155" s="205"/>
      <c r="Y1155" s="2">
        <v>2</v>
      </c>
      <c r="Z1155" s="2">
        <v>5</v>
      </c>
      <c r="AA1155" s="2">
        <v>13</v>
      </c>
      <c r="AB1155" s="2">
        <v>30</v>
      </c>
      <c r="AC1155" s="2">
        <v>20</v>
      </c>
      <c r="AD1155" s="2">
        <v>60</v>
      </c>
      <c r="AE1155" s="2">
        <f>AC1155*AD1155</f>
        <v>1200</v>
      </c>
      <c r="AF1155" s="2">
        <f>Z1155/Y1155</f>
        <v>2.5</v>
      </c>
      <c r="AG1155" s="2">
        <f>AA1155/Z1155</f>
        <v>2.6</v>
      </c>
      <c r="AH1155" s="2">
        <f>AB1155/AA1155</f>
        <v>2.3076923076923075</v>
      </c>
    </row>
    <row r="1156" spans="1:34">
      <c r="A1156" s="68" t="s">
        <v>357</v>
      </c>
      <c r="B1156" s="68" t="s">
        <v>358</v>
      </c>
      <c r="C1156" s="51">
        <v>46198</v>
      </c>
      <c r="D1156" s="42">
        <v>0.50694444444444442</v>
      </c>
      <c r="E1156" s="194">
        <v>69</v>
      </c>
      <c r="F1156" s="63" t="s">
        <v>320</v>
      </c>
      <c r="G1156" s="2">
        <v>1</v>
      </c>
      <c r="H1156" s="2">
        <v>8</v>
      </c>
      <c r="I1156" s="126">
        <v>1100</v>
      </c>
      <c r="J1156" s="2" t="s">
        <v>766</v>
      </c>
      <c r="K1156" s="137" t="s">
        <v>815</v>
      </c>
      <c r="L1156" s="89">
        <v>30000</v>
      </c>
      <c r="M1156" s="202">
        <v>30</v>
      </c>
      <c r="N1156" s="39" t="s">
        <v>48</v>
      </c>
      <c r="O1156" s="39" t="s">
        <v>57</v>
      </c>
      <c r="P1156" s="234">
        <v>100000</v>
      </c>
      <c r="Q1156" s="2">
        <v>130</v>
      </c>
      <c r="R1156" s="15">
        <f>Q1156/I1156</f>
        <v>0.11818181818181818</v>
      </c>
      <c r="S1156" s="149" t="s">
        <v>110</v>
      </c>
      <c r="T1156" s="149"/>
      <c r="U1156" s="109" t="s">
        <v>852</v>
      </c>
      <c r="V1156" s="205" t="s">
        <v>685</v>
      </c>
      <c r="W1156" s="10"/>
      <c r="AE1156" s="2">
        <f>AC1156*AD1156</f>
        <v>0</v>
      </c>
      <c r="AF1156" s="2" t="e">
        <f>Z1156/Y1156</f>
        <v>#DIV/0!</v>
      </c>
      <c r="AG1156" s="2" t="e">
        <f>AA1156/Z1156</f>
        <v>#DIV/0!</v>
      </c>
      <c r="AH1156" s="2" t="e">
        <f>AB1156/AA1156</f>
        <v>#DIV/0!</v>
      </c>
    </row>
    <row r="1157" spans="1:34">
      <c r="A1157" s="165" t="s">
        <v>1383</v>
      </c>
      <c r="B1157" s="36" t="s">
        <v>63</v>
      </c>
      <c r="C1157" s="41">
        <v>46198</v>
      </c>
      <c r="D1157" s="144">
        <v>0.54166666666666663</v>
      </c>
      <c r="E1157" s="194">
        <v>67</v>
      </c>
      <c r="F1157" s="8" t="s">
        <v>1145</v>
      </c>
      <c r="G1157" s="2">
        <v>3</v>
      </c>
      <c r="H1157" s="2">
        <v>9</v>
      </c>
      <c r="I1157" s="45">
        <v>10000</v>
      </c>
      <c r="J1157" s="2" t="s">
        <v>110</v>
      </c>
      <c r="K1157" s="109" t="s">
        <v>816</v>
      </c>
      <c r="L1157" s="89">
        <v>60000</v>
      </c>
      <c r="M1157" s="202" t="s">
        <v>111</v>
      </c>
      <c r="N1157" s="39" t="s">
        <v>48</v>
      </c>
      <c r="O1157" s="39" t="s">
        <v>871</v>
      </c>
      <c r="P1157" s="19"/>
      <c r="Q1157" s="38">
        <f>R1157*I1157</f>
        <v>700.00000000000011</v>
      </c>
      <c r="R1157" s="15">
        <v>7.0000000000000007E-2</v>
      </c>
      <c r="S1157" s="149" t="s">
        <v>110</v>
      </c>
      <c r="T1157" s="149"/>
      <c r="U1157" s="109" t="s">
        <v>767</v>
      </c>
      <c r="V1157" s="2" t="s">
        <v>121</v>
      </c>
      <c r="W1157" s="205"/>
      <c r="AE1157" s="2" t="e">
        <f>AD1157*#REF!</f>
        <v>#REF!</v>
      </c>
      <c r="AF1157" s="2" t="e">
        <f>Z1157/Y1157</f>
        <v>#DIV/0!</v>
      </c>
      <c r="AG1157" s="2" t="e">
        <f>AA1157/Z1157</f>
        <v>#DIV/0!</v>
      </c>
      <c r="AH1157" s="2" t="e">
        <f>AC1157/AA1157</f>
        <v>#DIV/0!</v>
      </c>
    </row>
    <row r="1158" spans="1:34">
      <c r="A1158" s="165" t="s">
        <v>1383</v>
      </c>
      <c r="B1158" s="39" t="s">
        <v>63</v>
      </c>
      <c r="C1158" s="41">
        <v>46198</v>
      </c>
      <c r="D1158" s="144">
        <v>0.54166666666666663</v>
      </c>
      <c r="E1158" s="194"/>
      <c r="F1158" s="8" t="s">
        <v>881</v>
      </c>
      <c r="G1158" s="2">
        <v>1</v>
      </c>
      <c r="H1158" s="2">
        <v>9</v>
      </c>
      <c r="I1158" s="45">
        <v>250</v>
      </c>
      <c r="J1158" s="2" t="s">
        <v>766</v>
      </c>
      <c r="K1158" s="88" t="s">
        <v>787</v>
      </c>
      <c r="L1158" s="89">
        <v>25000</v>
      </c>
      <c r="M1158" s="205">
        <v>30</v>
      </c>
      <c r="N1158" s="39" t="s">
        <v>817</v>
      </c>
      <c r="O1158" s="39" t="s">
        <v>49</v>
      </c>
      <c r="P1158" s="210"/>
      <c r="Q1158" s="19">
        <v>50</v>
      </c>
      <c r="R1158" s="15">
        <f>Q1158/I1158</f>
        <v>0.2</v>
      </c>
      <c r="S1158" s="5">
        <v>44</v>
      </c>
      <c r="U1158" s="109" t="s">
        <v>767</v>
      </c>
      <c r="V1158" s="71" t="s">
        <v>360</v>
      </c>
      <c r="W1158" s="10"/>
      <c r="Y1158" s="175"/>
      <c r="Z1158" s="175"/>
      <c r="AA1158" s="175"/>
      <c r="AB1158" s="175"/>
      <c r="AC1158" s="175"/>
      <c r="AD1158" s="175"/>
      <c r="AE1158" s="175"/>
      <c r="AF1158" s="175"/>
      <c r="AG1158" s="175"/>
      <c r="AH1158" s="175"/>
    </row>
    <row r="1159" spans="1:34">
      <c r="A1159" s="52" t="s">
        <v>220</v>
      </c>
      <c r="B1159" s="52" t="s">
        <v>221</v>
      </c>
      <c r="C1159" s="191">
        <v>46198</v>
      </c>
      <c r="D1159" s="42">
        <v>0.54166666666666663</v>
      </c>
      <c r="E1159" s="43"/>
      <c r="F1159" s="8" t="s">
        <v>1053</v>
      </c>
      <c r="G1159" s="2">
        <v>1</v>
      </c>
      <c r="H1159" s="2">
        <v>9</v>
      </c>
      <c r="I1159" s="126">
        <v>1100</v>
      </c>
      <c r="J1159" s="2" t="s">
        <v>766</v>
      </c>
      <c r="K1159" s="88" t="s">
        <v>786</v>
      </c>
      <c r="L1159" s="90">
        <v>30000</v>
      </c>
      <c r="M1159" s="64">
        <v>30</v>
      </c>
      <c r="N1159" s="39" t="s">
        <v>48</v>
      </c>
      <c r="O1159" s="39" t="s">
        <v>49</v>
      </c>
      <c r="P1159" s="135" t="s">
        <v>841</v>
      </c>
      <c r="Q1159" s="19">
        <v>125</v>
      </c>
      <c r="R1159" s="15">
        <f>Q1159/I1159</f>
        <v>0.11363636363636363</v>
      </c>
      <c r="S1159" s="5">
        <f>($AC1159*$AD1159)/(($Z1159/$Y1159)+($AA1159/$Z1159)+($AB1159/$AA1159))</f>
        <v>62.448979591836739</v>
      </c>
      <c r="U1159" s="109" t="s">
        <v>767</v>
      </c>
      <c r="V1159" s="205" t="s">
        <v>738</v>
      </c>
      <c r="Y1159" s="2">
        <v>2</v>
      </c>
      <c r="Z1159" s="2">
        <v>5</v>
      </c>
      <c r="AA1159" s="2">
        <v>15</v>
      </c>
      <c r="AB1159" s="2">
        <v>40</v>
      </c>
      <c r="AC1159" s="2">
        <v>17</v>
      </c>
      <c r="AD1159" s="2">
        <v>30</v>
      </c>
      <c r="AE1159" s="2">
        <f>AC1159*AD1159</f>
        <v>510</v>
      </c>
      <c r="AF1159" s="2">
        <f>Z1159/Y1159</f>
        <v>2.5</v>
      </c>
      <c r="AG1159" s="2">
        <f>AA1159/Z1159</f>
        <v>3</v>
      </c>
      <c r="AH1159" s="2">
        <f>AB1159/AA1159</f>
        <v>2.6666666666666665</v>
      </c>
    </row>
    <row r="1160" spans="1:34">
      <c r="A1160" s="52" t="s">
        <v>220</v>
      </c>
      <c r="B1160" s="52" t="s">
        <v>221</v>
      </c>
      <c r="C1160" s="51">
        <v>46198</v>
      </c>
      <c r="D1160" s="42">
        <v>0.58333333333333337</v>
      </c>
      <c r="E1160" s="43"/>
      <c r="F1160" s="8" t="s">
        <v>1092</v>
      </c>
      <c r="G1160" s="2">
        <v>2</v>
      </c>
      <c r="H1160" s="2">
        <v>8</v>
      </c>
      <c r="I1160" s="126">
        <v>25800</v>
      </c>
      <c r="J1160" s="2" t="s">
        <v>766</v>
      </c>
      <c r="K1160" s="88" t="s">
        <v>801</v>
      </c>
      <c r="L1160" s="90">
        <v>200000</v>
      </c>
      <c r="M1160" s="64" t="s">
        <v>97</v>
      </c>
      <c r="N1160" s="39" t="s">
        <v>48</v>
      </c>
      <c r="O1160" s="39" t="s">
        <v>49</v>
      </c>
      <c r="P1160" s="131"/>
      <c r="Q1160" s="19">
        <v>800</v>
      </c>
      <c r="R1160" s="15">
        <f>Q1160/I1160</f>
        <v>3.1007751937984496E-2</v>
      </c>
      <c r="S1160" s="5">
        <f>($AC1160*$AD1160)/(($Z1160/$Y1160)+($AA1160/$Z1160)+($AB1160/$AA1160))</f>
        <v>102.59605399792316</v>
      </c>
      <c r="U1160" s="109" t="s">
        <v>767</v>
      </c>
      <c r="V1160" s="205" t="s">
        <v>738</v>
      </c>
      <c r="Y1160" s="2">
        <v>10</v>
      </c>
      <c r="Z1160" s="2">
        <v>25</v>
      </c>
      <c r="AA1160" s="2">
        <v>65</v>
      </c>
      <c r="AB1160" s="2">
        <v>150</v>
      </c>
      <c r="AC1160" s="2">
        <v>19</v>
      </c>
      <c r="AD1160" s="2">
        <v>40</v>
      </c>
      <c r="AE1160" s="2">
        <f>AC1160*AD1160</f>
        <v>760</v>
      </c>
      <c r="AF1160" s="2">
        <f>Z1160/Y1160</f>
        <v>2.5</v>
      </c>
      <c r="AG1160" s="2">
        <f>AA1160/Z1160</f>
        <v>2.6</v>
      </c>
      <c r="AH1160" s="2">
        <f>AB1160/AA1160</f>
        <v>2.3076923076923075</v>
      </c>
    </row>
    <row r="1161" spans="1:34">
      <c r="A1161" s="96" t="s">
        <v>461</v>
      </c>
      <c r="B1161" s="96" t="s">
        <v>462</v>
      </c>
      <c r="C1161" s="41">
        <v>46198</v>
      </c>
      <c r="D1161" s="42">
        <v>0.59027777777777779</v>
      </c>
      <c r="E1161" s="43"/>
      <c r="F1161" s="8" t="s">
        <v>1334</v>
      </c>
      <c r="G1161" s="2">
        <v>2</v>
      </c>
      <c r="I1161" s="126">
        <v>300</v>
      </c>
      <c r="J1161" s="2" t="s">
        <v>766</v>
      </c>
      <c r="K1161" s="109" t="s">
        <v>598</v>
      </c>
      <c r="L1161" s="8">
        <v>30000</v>
      </c>
      <c r="M1161" s="202">
        <v>30</v>
      </c>
      <c r="N1161" s="39" t="s">
        <v>48</v>
      </c>
      <c r="O1161" s="39" t="s">
        <v>49</v>
      </c>
      <c r="P1161" s="135" t="s">
        <v>842</v>
      </c>
      <c r="Q1161" s="19">
        <v>65</v>
      </c>
      <c r="R1161" s="15">
        <f>Q1161/I1161</f>
        <v>0.21666666666666667</v>
      </c>
      <c r="S1161" s="5">
        <f>($AC1161*$AD1161)/(($Z1161/$Y1161)+($AA1161/$Z1161)+($AB1161/$AA1161))</f>
        <v>53.333333333333336</v>
      </c>
      <c r="U1161" s="109" t="s">
        <v>767</v>
      </c>
      <c r="V1161" s="2" t="s">
        <v>735</v>
      </c>
      <c r="Y1161" s="2">
        <v>2</v>
      </c>
      <c r="Z1161" s="2">
        <v>5</v>
      </c>
      <c r="AA1161" s="2">
        <v>20</v>
      </c>
      <c r="AB1161" s="2">
        <v>50</v>
      </c>
      <c r="AC1161" s="2">
        <v>16</v>
      </c>
      <c r="AD1161" s="2">
        <v>30</v>
      </c>
      <c r="AE1161" s="2">
        <f>AC1161*AD1161</f>
        <v>480</v>
      </c>
      <c r="AF1161" s="2">
        <f>Z1161/Y1161</f>
        <v>2.5</v>
      </c>
      <c r="AG1161" s="2">
        <f>AA1161/Z1161</f>
        <v>4</v>
      </c>
      <c r="AH1161" s="2">
        <f>AB1161/AA1161</f>
        <v>2.5</v>
      </c>
    </row>
    <row r="1162" spans="1:34">
      <c r="A1162" s="165" t="s">
        <v>1383</v>
      </c>
      <c r="B1162" s="39" t="s">
        <v>63</v>
      </c>
      <c r="C1162" s="41">
        <v>46198</v>
      </c>
      <c r="D1162" s="144">
        <v>0.625</v>
      </c>
      <c r="E1162" s="43"/>
      <c r="F1162" s="8" t="s">
        <v>912</v>
      </c>
      <c r="G1162" s="2">
        <v>1</v>
      </c>
      <c r="H1162" s="2">
        <v>9</v>
      </c>
      <c r="I1162" s="45">
        <v>240</v>
      </c>
      <c r="J1162" s="2" t="s">
        <v>766</v>
      </c>
      <c r="K1162" s="88" t="s">
        <v>784</v>
      </c>
      <c r="L1162" s="89">
        <v>10000</v>
      </c>
      <c r="M1162" s="54">
        <v>20</v>
      </c>
      <c r="N1162" s="132" t="s">
        <v>821</v>
      </c>
      <c r="O1162" s="39" t="s">
        <v>49</v>
      </c>
      <c r="P1162" s="210"/>
      <c r="Q1162" s="19">
        <v>40</v>
      </c>
      <c r="R1162" s="15">
        <v>0.16666666666666666</v>
      </c>
      <c r="S1162" s="5">
        <v>29</v>
      </c>
      <c r="U1162" s="109" t="s">
        <v>767</v>
      </c>
      <c r="V1162" s="71" t="s">
        <v>362</v>
      </c>
      <c r="W1162" s="8" t="s">
        <v>367</v>
      </c>
      <c r="Y1162" s="175"/>
      <c r="Z1162" s="175"/>
      <c r="AA1162" s="175"/>
      <c r="AB1162" s="175"/>
      <c r="AC1162" s="175"/>
      <c r="AD1162" s="175"/>
      <c r="AE1162" s="175"/>
      <c r="AF1162" s="175"/>
      <c r="AG1162" s="175"/>
      <c r="AH1162" s="175"/>
    </row>
    <row r="1163" spans="1:34">
      <c r="A1163" s="165" t="s">
        <v>1383</v>
      </c>
      <c r="B1163" s="39" t="s">
        <v>63</v>
      </c>
      <c r="C1163" s="47">
        <v>46198</v>
      </c>
      <c r="D1163" s="144">
        <v>0.66666666666666663</v>
      </c>
      <c r="E1163" s="43"/>
      <c r="F1163" s="8" t="s">
        <v>366</v>
      </c>
      <c r="G1163" s="2">
        <v>1</v>
      </c>
      <c r="H1163" s="2">
        <v>9</v>
      </c>
      <c r="I1163" s="126">
        <v>240</v>
      </c>
      <c r="J1163" s="2" t="s">
        <v>766</v>
      </c>
      <c r="K1163" s="88" t="s">
        <v>790</v>
      </c>
      <c r="L1163" s="90">
        <v>10000</v>
      </c>
      <c r="M1163" s="8">
        <v>20</v>
      </c>
      <c r="N1163" s="132" t="s">
        <v>821</v>
      </c>
      <c r="O1163" s="39" t="s">
        <v>49</v>
      </c>
      <c r="P1163" s="210"/>
      <c r="Q1163" s="19">
        <v>40</v>
      </c>
      <c r="R1163" s="15">
        <f>Q1163/I1163</f>
        <v>0.16666666666666666</v>
      </c>
      <c r="S1163" s="5">
        <v>29</v>
      </c>
      <c r="U1163" s="109" t="s">
        <v>767</v>
      </c>
      <c r="V1163" s="71" t="s">
        <v>362</v>
      </c>
      <c r="W1163" s="194" t="s">
        <v>365</v>
      </c>
      <c r="Y1163" s="175"/>
      <c r="Z1163" s="175"/>
      <c r="AA1163" s="175"/>
      <c r="AB1163" s="175"/>
      <c r="AC1163" s="175"/>
      <c r="AD1163" s="175"/>
      <c r="AE1163" s="175"/>
      <c r="AF1163" s="175"/>
      <c r="AG1163" s="175"/>
      <c r="AH1163" s="175"/>
    </row>
    <row r="1164" spans="1:34">
      <c r="A1164" s="165" t="s">
        <v>1383</v>
      </c>
      <c r="B1164" s="39" t="s">
        <v>63</v>
      </c>
      <c r="C1164" s="41">
        <v>46198</v>
      </c>
      <c r="D1164" s="144">
        <v>0.66666666666666663</v>
      </c>
      <c r="E1164" s="194"/>
      <c r="F1164" s="8" t="s">
        <v>1024</v>
      </c>
      <c r="G1164" s="2">
        <v>1</v>
      </c>
      <c r="H1164" s="2">
        <v>9</v>
      </c>
      <c r="I1164" s="45">
        <v>400</v>
      </c>
      <c r="J1164" s="2" t="s">
        <v>766</v>
      </c>
      <c r="K1164" s="88" t="s">
        <v>794</v>
      </c>
      <c r="L1164" s="89">
        <v>30000</v>
      </c>
      <c r="M1164" s="205">
        <v>20</v>
      </c>
      <c r="N1164" s="39" t="s">
        <v>817</v>
      </c>
      <c r="O1164" s="39" t="s">
        <v>49</v>
      </c>
      <c r="Q1164" s="19">
        <v>70</v>
      </c>
      <c r="R1164" s="15">
        <f>Q1164/I1164</f>
        <v>0.17499999999999999</v>
      </c>
      <c r="S1164" s="5">
        <v>37</v>
      </c>
      <c r="U1164" s="109" t="s">
        <v>129</v>
      </c>
      <c r="V1164" s="71" t="s">
        <v>360</v>
      </c>
      <c r="Y1164" s="175"/>
      <c r="Z1164" s="175"/>
      <c r="AA1164" s="175"/>
      <c r="AB1164" s="175"/>
      <c r="AC1164" s="175"/>
      <c r="AD1164" s="175"/>
      <c r="AE1164" s="175"/>
      <c r="AF1164" s="175"/>
      <c r="AG1164" s="175"/>
      <c r="AH1164" s="175"/>
    </row>
    <row r="1165" spans="1:34">
      <c r="A1165" s="52" t="s">
        <v>229</v>
      </c>
      <c r="B1165" s="52" t="s">
        <v>230</v>
      </c>
      <c r="C1165" s="40">
        <v>46198</v>
      </c>
      <c r="D1165" s="42">
        <v>0.66666666666666663</v>
      </c>
      <c r="E1165" s="193"/>
      <c r="F1165" s="8" t="s">
        <v>267</v>
      </c>
      <c r="G1165" s="2">
        <v>1</v>
      </c>
      <c r="I1165" s="125">
        <v>240</v>
      </c>
      <c r="J1165" s="2" t="s">
        <v>766</v>
      </c>
      <c r="K1165" s="88" t="s">
        <v>795</v>
      </c>
      <c r="L1165" s="90">
        <v>30000</v>
      </c>
      <c r="M1165" s="8">
        <v>20</v>
      </c>
      <c r="N1165" s="39" t="s">
        <v>48</v>
      </c>
      <c r="O1165" s="39" t="s">
        <v>451</v>
      </c>
      <c r="P1165" s="19">
        <v>10000</v>
      </c>
      <c r="Q1165" s="2">
        <v>40</v>
      </c>
      <c r="R1165" s="15">
        <f>IF(Q1165&gt;0,Q1165/I1165,"")</f>
        <v>0.16666666666666666</v>
      </c>
      <c r="S1165" s="149" t="s">
        <v>110</v>
      </c>
      <c r="T1165" s="149"/>
      <c r="U1165" s="109" t="s">
        <v>767</v>
      </c>
      <c r="V1165" s="10" t="s">
        <v>719</v>
      </c>
      <c r="W1165" s="10"/>
      <c r="AE1165" s="2">
        <f>AC1165*AD1165</f>
        <v>0</v>
      </c>
      <c r="AF1165" s="2" t="e">
        <f>Z1165/Y1165</f>
        <v>#DIV/0!</v>
      </c>
      <c r="AG1165" s="2" t="e">
        <f>AA1165/Z1165</f>
        <v>#DIV/0!</v>
      </c>
      <c r="AH1165" s="2" t="e">
        <f>AB1165/AA1165</f>
        <v>#DIV/0!</v>
      </c>
    </row>
    <row r="1166" spans="1:34">
      <c r="A1166" s="68" t="s">
        <v>357</v>
      </c>
      <c r="B1166" s="68" t="s">
        <v>358</v>
      </c>
      <c r="C1166" s="48">
        <v>46198</v>
      </c>
      <c r="D1166" s="42">
        <v>0.67361111111111116</v>
      </c>
      <c r="E1166" s="8">
        <v>68</v>
      </c>
      <c r="F1166" s="63" t="s">
        <v>321</v>
      </c>
      <c r="G1166" s="2">
        <v>2</v>
      </c>
      <c r="H1166" s="2">
        <v>9</v>
      </c>
      <c r="I1166" s="125">
        <v>1100</v>
      </c>
      <c r="J1166" s="2" t="s">
        <v>766</v>
      </c>
      <c r="K1166" s="137" t="s">
        <v>603</v>
      </c>
      <c r="L1166" s="89">
        <v>40000</v>
      </c>
      <c r="M1166" s="54">
        <v>30</v>
      </c>
      <c r="N1166" s="39" t="s">
        <v>48</v>
      </c>
      <c r="O1166" s="39" t="s">
        <v>49</v>
      </c>
      <c r="P1166" s="135" t="s">
        <v>843</v>
      </c>
      <c r="Q1166" s="19">
        <v>140</v>
      </c>
      <c r="R1166" s="15">
        <f>Q1166/I1166</f>
        <v>0.12727272727272726</v>
      </c>
      <c r="S1166" s="5">
        <f>($AC1166*$AD1166)/(($Z1166/$Y1166)+($AA1166/$Z1166)+($AB1166/$AA1166))</f>
        <v>76.947040498442377</v>
      </c>
      <c r="U1166" s="109" t="s">
        <v>767</v>
      </c>
      <c r="V1166" s="21" t="s">
        <v>1415</v>
      </c>
      <c r="W1166" s="10"/>
      <c r="Y1166" s="2">
        <v>2</v>
      </c>
      <c r="Z1166" s="2">
        <v>5</v>
      </c>
      <c r="AA1166" s="2">
        <v>13</v>
      </c>
      <c r="AB1166" s="2">
        <v>30</v>
      </c>
      <c r="AC1166" s="2">
        <v>30</v>
      </c>
      <c r="AD1166" s="2">
        <v>19</v>
      </c>
      <c r="AE1166" s="2">
        <f>AC1166*AD1166</f>
        <v>570</v>
      </c>
      <c r="AF1166" s="2">
        <f>Z1166/Y1166</f>
        <v>2.5</v>
      </c>
      <c r="AG1166" s="2">
        <f>AA1166/Z1166</f>
        <v>2.6</v>
      </c>
      <c r="AH1166" s="2">
        <f>AB1166/AA1166</f>
        <v>2.3076923076923075</v>
      </c>
    </row>
    <row r="1167" spans="1:34" ht="13.8" customHeight="1">
      <c r="A1167" s="103" t="s">
        <v>539</v>
      </c>
      <c r="B1167" s="103" t="s">
        <v>540</v>
      </c>
      <c r="C1167" s="48">
        <v>46198</v>
      </c>
      <c r="D1167" s="42">
        <v>0.70833333333333337</v>
      </c>
      <c r="E1167" s="8">
        <v>80</v>
      </c>
      <c r="F1167" s="63" t="s">
        <v>542</v>
      </c>
      <c r="G1167" s="2">
        <v>1</v>
      </c>
      <c r="H1167" s="2">
        <v>9</v>
      </c>
      <c r="I1167" s="180">
        <v>170</v>
      </c>
      <c r="J1167" s="179" t="s">
        <v>766</v>
      </c>
      <c r="K1167" s="179" t="s">
        <v>598</v>
      </c>
      <c r="L1167" s="112">
        <v>30000</v>
      </c>
      <c r="M1167" s="54">
        <v>20</v>
      </c>
      <c r="N1167" s="39" t="s">
        <v>48</v>
      </c>
      <c r="O1167" s="39" t="s">
        <v>49</v>
      </c>
      <c r="P1167" s="135" t="s">
        <v>830</v>
      </c>
      <c r="Q1167" s="19">
        <v>49</v>
      </c>
      <c r="R1167" s="59">
        <f>Q1167/I1167</f>
        <v>0.28823529411764703</v>
      </c>
      <c r="S1167" s="5">
        <f>($AC1167*$AD1167)/(($Z1167/$Y1167)+($AA1167/$Z1167)+($AB1167/$AA1167))</f>
        <v>26.046511627906977</v>
      </c>
      <c r="U1167" s="109" t="s">
        <v>767</v>
      </c>
      <c r="V1167" s="21" t="s">
        <v>1395</v>
      </c>
      <c r="W1167" s="182" t="s">
        <v>1389</v>
      </c>
      <c r="Y1167" s="2">
        <v>4</v>
      </c>
      <c r="Z1167" s="2">
        <v>8</v>
      </c>
      <c r="AA1167" s="2">
        <v>30</v>
      </c>
      <c r="AB1167" s="2">
        <v>150</v>
      </c>
      <c r="AC1167" s="2">
        <v>14</v>
      </c>
      <c r="AD1167" s="2">
        <v>20</v>
      </c>
      <c r="AE1167" s="2">
        <f>AC1167*AD1167</f>
        <v>280</v>
      </c>
      <c r="AF1167" s="2">
        <f>Z1167/Y1167</f>
        <v>2</v>
      </c>
      <c r="AG1167" s="2">
        <f>AA1167/Z1167</f>
        <v>3.75</v>
      </c>
      <c r="AH1167" s="2">
        <f>AB1167/AA1167</f>
        <v>5</v>
      </c>
    </row>
    <row r="1168" spans="1:34">
      <c r="A1168" s="102" t="s">
        <v>475</v>
      </c>
      <c r="B1168" s="102" t="s">
        <v>476</v>
      </c>
      <c r="C1168" s="40">
        <v>46198</v>
      </c>
      <c r="D1168" s="42">
        <v>0.75</v>
      </c>
      <c r="E1168" s="8">
        <v>28</v>
      </c>
      <c r="F1168" s="8" t="s">
        <v>495</v>
      </c>
      <c r="G1168" s="2">
        <v>1</v>
      </c>
      <c r="H1168" s="2">
        <v>8</v>
      </c>
      <c r="I1168" s="125">
        <v>250</v>
      </c>
      <c r="J1168" s="2" t="s">
        <v>766</v>
      </c>
      <c r="K1168" s="109" t="s">
        <v>602</v>
      </c>
      <c r="L1168" s="105">
        <v>25000</v>
      </c>
      <c r="M1168" s="64">
        <v>30</v>
      </c>
      <c r="N1168" s="39" t="s">
        <v>48</v>
      </c>
      <c r="O1168" s="39" t="s">
        <v>359</v>
      </c>
      <c r="P1168" s="63">
        <v>10000</v>
      </c>
      <c r="Q1168" s="2">
        <v>45</v>
      </c>
      <c r="R1168" s="15">
        <f>Q1168/I1168</f>
        <v>0.18</v>
      </c>
      <c r="S1168" s="149" t="s">
        <v>110</v>
      </c>
      <c r="T1168" s="149"/>
      <c r="U1168" s="109" t="s">
        <v>767</v>
      </c>
      <c r="V1168" s="10" t="s">
        <v>629</v>
      </c>
      <c r="W1168" s="10"/>
      <c r="AE1168" s="2">
        <f>AC1168*AD1168</f>
        <v>0</v>
      </c>
      <c r="AF1168" s="2" t="e">
        <f>Z1168/Y1168</f>
        <v>#DIV/0!</v>
      </c>
      <c r="AG1168" s="2" t="e">
        <f>AA1168/Z1168</f>
        <v>#DIV/0!</v>
      </c>
      <c r="AH1168" s="2" t="e">
        <f>AB1168/AA1168</f>
        <v>#DIV/0!</v>
      </c>
    </row>
    <row r="1169" spans="1:34">
      <c r="A1169" s="52" t="s">
        <v>229</v>
      </c>
      <c r="B1169" s="52" t="s">
        <v>230</v>
      </c>
      <c r="C1169" s="40">
        <v>46198</v>
      </c>
      <c r="D1169" s="42">
        <v>0.75</v>
      </c>
      <c r="E1169" s="193"/>
      <c r="F1169" s="8" t="s">
        <v>244</v>
      </c>
      <c r="G1169" s="2">
        <v>1</v>
      </c>
      <c r="I1169" s="125">
        <v>200</v>
      </c>
      <c r="J1169" s="2" t="s">
        <v>766</v>
      </c>
      <c r="K1169" s="88" t="s">
        <v>804</v>
      </c>
      <c r="L1169" s="90">
        <v>30000</v>
      </c>
      <c r="M1169" s="8">
        <v>20</v>
      </c>
      <c r="N1169" s="39" t="s">
        <v>48</v>
      </c>
      <c r="O1169" s="39" t="s">
        <v>49</v>
      </c>
      <c r="P1169" s="135" t="s">
        <v>832</v>
      </c>
      <c r="Q1169" s="19">
        <v>40</v>
      </c>
      <c r="R1169" s="15">
        <f>IF(Q1169&gt;0,Q1169/I1169,"")</f>
        <v>0.2</v>
      </c>
      <c r="S1169" s="5">
        <f>($AC1169*$AD1169)/(($Z1169/$Y1169)+($AA1169/$Z1169)+($AB1169/$AA1169))</f>
        <v>35.555555555555557</v>
      </c>
      <c r="U1169" s="109" t="s">
        <v>767</v>
      </c>
      <c r="V1169" s="10" t="s">
        <v>719</v>
      </c>
      <c r="W1169" s="10"/>
      <c r="Y1169" s="2">
        <v>2</v>
      </c>
      <c r="Z1169" s="2">
        <v>5</v>
      </c>
      <c r="AA1169" s="2">
        <v>20</v>
      </c>
      <c r="AB1169" s="2">
        <v>50</v>
      </c>
      <c r="AC1169" s="2">
        <v>20</v>
      </c>
      <c r="AD1169" s="2">
        <v>16</v>
      </c>
      <c r="AE1169" s="2">
        <f>AC1169*AD1169</f>
        <v>320</v>
      </c>
      <c r="AF1169" s="2">
        <f>Z1169/Y1169</f>
        <v>2.5</v>
      </c>
      <c r="AG1169" s="2">
        <f>AA1169/Z1169</f>
        <v>4</v>
      </c>
      <c r="AH1169" s="2">
        <f>AB1169/AA1169</f>
        <v>2.5</v>
      </c>
    </row>
    <row r="1170" spans="1:34">
      <c r="A1170" s="52" t="s">
        <v>220</v>
      </c>
      <c r="B1170" s="52" t="s">
        <v>221</v>
      </c>
      <c r="C1170" s="48">
        <v>46198</v>
      </c>
      <c r="D1170" s="42">
        <v>0.75</v>
      </c>
      <c r="E1170" s="193"/>
      <c r="F1170" s="194" t="s">
        <v>1073</v>
      </c>
      <c r="G1170" s="2">
        <v>1</v>
      </c>
      <c r="H1170" s="2">
        <v>9</v>
      </c>
      <c r="I1170" s="125">
        <v>1100</v>
      </c>
      <c r="J1170" s="2" t="s">
        <v>766</v>
      </c>
      <c r="K1170" s="88" t="s">
        <v>799</v>
      </c>
      <c r="L1170" s="90">
        <v>30000</v>
      </c>
      <c r="M1170" s="64">
        <v>20</v>
      </c>
      <c r="N1170" s="39" t="s">
        <v>48</v>
      </c>
      <c r="O1170" s="39" t="s">
        <v>49</v>
      </c>
      <c r="P1170" s="212" t="s">
        <v>838</v>
      </c>
      <c r="Q1170" s="19">
        <v>125</v>
      </c>
      <c r="R1170" s="15">
        <f>Q1170/I1170</f>
        <v>0.11363636363636363</v>
      </c>
      <c r="S1170" s="5">
        <f>($AC1170*$AD1170)/(($Z1170/$Y1170)+($AA1170/$Z1170)+($AB1170/$AA1170))</f>
        <v>41.632653061224495</v>
      </c>
      <c r="U1170" s="109" t="s">
        <v>129</v>
      </c>
      <c r="V1170" s="10" t="s">
        <v>738</v>
      </c>
      <c r="W1170" s="10"/>
      <c r="Y1170" s="2">
        <v>2</v>
      </c>
      <c r="Z1170" s="2">
        <v>5</v>
      </c>
      <c r="AA1170" s="2">
        <v>15</v>
      </c>
      <c r="AB1170" s="2">
        <v>40</v>
      </c>
      <c r="AC1170" s="2">
        <v>17</v>
      </c>
      <c r="AD1170" s="115">
        <v>20</v>
      </c>
      <c r="AE1170" s="2">
        <f>AC1170*AD1170</f>
        <v>340</v>
      </c>
      <c r="AF1170" s="2">
        <f>Z1170/Y1170</f>
        <v>2.5</v>
      </c>
      <c r="AG1170" s="2">
        <f>AA1170/Z1170</f>
        <v>3</v>
      </c>
      <c r="AH1170" s="2">
        <f>AB1170/AA1170</f>
        <v>2.6666666666666665</v>
      </c>
    </row>
    <row r="1171" spans="1:34">
      <c r="A1171" s="96" t="s">
        <v>461</v>
      </c>
      <c r="B1171" s="96" t="s">
        <v>462</v>
      </c>
      <c r="C1171" s="192">
        <v>46198</v>
      </c>
      <c r="D1171" s="42">
        <v>0.75694444444444442</v>
      </c>
      <c r="F1171" s="194" t="s">
        <v>458</v>
      </c>
      <c r="G1171" s="2">
        <v>1</v>
      </c>
      <c r="I1171" s="125">
        <v>200</v>
      </c>
      <c r="J1171" s="2" t="s">
        <v>766</v>
      </c>
      <c r="K1171" s="109" t="s">
        <v>602</v>
      </c>
      <c r="L1171" s="8">
        <v>30000</v>
      </c>
      <c r="M1171" s="202">
        <v>20</v>
      </c>
      <c r="N1171" s="39" t="s">
        <v>48</v>
      </c>
      <c r="O1171" s="39" t="s">
        <v>49</v>
      </c>
      <c r="P1171" s="212" t="s">
        <v>833</v>
      </c>
      <c r="Q1171" s="19">
        <v>40</v>
      </c>
      <c r="R1171" s="15">
        <f>Q1171/I1171</f>
        <v>0.2</v>
      </c>
      <c r="S1171" s="5">
        <f>($AC1171*$AD1171)/(($Z1171/$Y1171)+($AA1171/$Z1171)+($AB1171/$AA1171))</f>
        <v>41.632653061224495</v>
      </c>
      <c r="U1171" s="109" t="s">
        <v>767</v>
      </c>
      <c r="V1171" s="10" t="s">
        <v>735</v>
      </c>
      <c r="W1171" s="10"/>
      <c r="Y1171" s="2">
        <v>2</v>
      </c>
      <c r="Z1171" s="2">
        <v>5</v>
      </c>
      <c r="AA1171" s="2">
        <v>15</v>
      </c>
      <c r="AB1171" s="2">
        <v>40</v>
      </c>
      <c r="AC1171" s="2">
        <v>17</v>
      </c>
      <c r="AD1171" s="2">
        <v>20</v>
      </c>
      <c r="AE1171" s="2">
        <f>AC1171*AD1171</f>
        <v>340</v>
      </c>
      <c r="AF1171" s="2">
        <f>Z1171/Y1171</f>
        <v>2.5</v>
      </c>
      <c r="AG1171" s="2">
        <f>AA1171/Z1171</f>
        <v>3</v>
      </c>
      <c r="AH1171" s="2">
        <f>AB1171/AA1171</f>
        <v>2.6666666666666665</v>
      </c>
    </row>
    <row r="1172" spans="1:34">
      <c r="A1172" s="95" t="s">
        <v>447</v>
      </c>
      <c r="B1172" s="95" t="s">
        <v>448</v>
      </c>
      <c r="C1172" s="40">
        <v>46198</v>
      </c>
      <c r="D1172" s="42">
        <v>0.79166666666666663</v>
      </c>
      <c r="E1172" s="193"/>
      <c r="F1172" s="194" t="s">
        <v>403</v>
      </c>
      <c r="G1172" s="2">
        <v>1</v>
      </c>
      <c r="H1172" s="2">
        <v>9</v>
      </c>
      <c r="I1172" s="125">
        <v>300</v>
      </c>
      <c r="J1172" s="2" t="s">
        <v>766</v>
      </c>
      <c r="K1172" s="109" t="s">
        <v>602</v>
      </c>
      <c r="L1172" s="8">
        <v>25000</v>
      </c>
      <c r="M1172" s="8">
        <v>25</v>
      </c>
      <c r="N1172" s="39" t="s">
        <v>48</v>
      </c>
      <c r="O1172" s="39" t="s">
        <v>49</v>
      </c>
      <c r="P1172" s="212" t="s">
        <v>834</v>
      </c>
      <c r="Q1172" s="19">
        <v>50</v>
      </c>
      <c r="R1172" s="15">
        <f>Q1172/I1172</f>
        <v>0.16666666666666666</v>
      </c>
      <c r="S1172" s="5">
        <f>($AC1172*$AD1172)/(($Z1172/$Y1172)+($AA1172/$Z1172)+($AB1172/$AA1172))</f>
        <v>37.5</v>
      </c>
      <c r="U1172" s="109" t="s">
        <v>767</v>
      </c>
      <c r="V1172" s="10" t="s">
        <v>741</v>
      </c>
      <c r="W1172" s="10"/>
      <c r="Y1172" s="2">
        <v>2.5</v>
      </c>
      <c r="Z1172" s="2">
        <v>7.5</v>
      </c>
      <c r="AA1172" s="2">
        <v>25</v>
      </c>
      <c r="AB1172" s="2">
        <v>75</v>
      </c>
      <c r="AC1172" s="2">
        <v>14</v>
      </c>
      <c r="AD1172" s="2">
        <v>25</v>
      </c>
      <c r="AE1172" s="2">
        <f>AC1172*AD1172</f>
        <v>350</v>
      </c>
      <c r="AF1172" s="2">
        <f>Z1172/Y1172</f>
        <v>3</v>
      </c>
      <c r="AG1172" s="2">
        <f>AA1172/Z1172</f>
        <v>3.3333333333333335</v>
      </c>
      <c r="AH1172" s="2">
        <f>AB1172/AA1172</f>
        <v>3</v>
      </c>
    </row>
    <row r="1173" spans="1:34">
      <c r="A1173" s="165" t="s">
        <v>1383</v>
      </c>
      <c r="B1173" s="39" t="s">
        <v>63</v>
      </c>
      <c r="C1173" s="192">
        <v>46198</v>
      </c>
      <c r="D1173" s="144">
        <v>0.79166666666666663</v>
      </c>
      <c r="F1173" s="194" t="s">
        <v>893</v>
      </c>
      <c r="G1173" s="2">
        <v>1</v>
      </c>
      <c r="I1173" s="37">
        <v>1100</v>
      </c>
      <c r="J1173" s="2" t="s">
        <v>766</v>
      </c>
      <c r="K1173" s="88" t="s">
        <v>809</v>
      </c>
      <c r="L1173" s="89">
        <v>15000</v>
      </c>
      <c r="M1173" s="209">
        <v>30</v>
      </c>
      <c r="N1173" s="132" t="s">
        <v>821</v>
      </c>
      <c r="O1173" s="39" t="s">
        <v>57</v>
      </c>
      <c r="P1173" s="213"/>
      <c r="Q1173" s="2">
        <f>88+37</f>
        <v>125</v>
      </c>
      <c r="R1173" s="15">
        <f>Q1173/I1173</f>
        <v>0.11363636363636363</v>
      </c>
      <c r="S1173" s="149" t="s">
        <v>110</v>
      </c>
      <c r="T1173" s="149"/>
      <c r="U1173" s="109" t="s">
        <v>767</v>
      </c>
      <c r="V1173" s="21" t="s">
        <v>362</v>
      </c>
      <c r="W1173" s="194" t="s">
        <v>370</v>
      </c>
      <c r="AC1173" s="70"/>
      <c r="AD1173" s="70"/>
      <c r="AE1173" s="2" t="e">
        <f>AD1173*#REF!</f>
        <v>#REF!</v>
      </c>
      <c r="AF1173" s="2" t="e">
        <f>Z1173/Y1173</f>
        <v>#DIV/0!</v>
      </c>
      <c r="AG1173" s="2" t="e">
        <f>AA1173/Z1173</f>
        <v>#DIV/0!</v>
      </c>
      <c r="AH1173" s="2" t="e">
        <f>AC1173/AA1173</f>
        <v>#DIV/0!</v>
      </c>
    </row>
    <row r="1174" spans="1:34">
      <c r="A1174" s="165" t="s">
        <v>1383</v>
      </c>
      <c r="B1174" s="39" t="s">
        <v>63</v>
      </c>
      <c r="C1174" s="192">
        <v>46198</v>
      </c>
      <c r="D1174" s="144">
        <v>0.83333333333333337</v>
      </c>
      <c r="E1174" s="8"/>
      <c r="F1174" s="194" t="s">
        <v>1023</v>
      </c>
      <c r="G1174" s="2">
        <v>1</v>
      </c>
      <c r="H1174" s="2">
        <v>9</v>
      </c>
      <c r="I1174" s="37">
        <v>200</v>
      </c>
      <c r="J1174" s="2" t="s">
        <v>766</v>
      </c>
      <c r="K1174" s="88" t="s">
        <v>806</v>
      </c>
      <c r="L1174" s="89">
        <v>20000</v>
      </c>
      <c r="M1174" s="205">
        <v>20</v>
      </c>
      <c r="N1174" s="39" t="s">
        <v>817</v>
      </c>
      <c r="O1174" s="39" t="s">
        <v>49</v>
      </c>
      <c r="Q1174" s="19">
        <v>45</v>
      </c>
      <c r="R1174" s="15">
        <f>Q1174/I1174</f>
        <v>0.22500000000000001</v>
      </c>
      <c r="S1174" s="5">
        <v>23</v>
      </c>
      <c r="U1174" s="109" t="s">
        <v>129</v>
      </c>
      <c r="V1174" s="21" t="s">
        <v>360</v>
      </c>
      <c r="W1174" s="10"/>
      <c r="Y1174" s="175"/>
      <c r="Z1174" s="175"/>
      <c r="AA1174" s="175"/>
      <c r="AB1174" s="175"/>
      <c r="AC1174" s="175"/>
      <c r="AD1174" s="175"/>
      <c r="AE1174" s="175"/>
      <c r="AF1174" s="175"/>
      <c r="AG1174" s="175"/>
      <c r="AH1174" s="175"/>
    </row>
    <row r="1175" spans="1:34">
      <c r="A1175" s="103" t="s">
        <v>539</v>
      </c>
      <c r="B1175" s="103" t="s">
        <v>540</v>
      </c>
      <c r="C1175" s="48">
        <v>46198</v>
      </c>
      <c r="D1175" s="42">
        <v>0.875</v>
      </c>
      <c r="E1175" s="8">
        <v>81</v>
      </c>
      <c r="F1175" s="197" t="s">
        <v>544</v>
      </c>
      <c r="G1175" s="2">
        <v>1</v>
      </c>
      <c r="H1175" s="2">
        <v>9</v>
      </c>
      <c r="I1175" s="125">
        <v>150</v>
      </c>
      <c r="J1175" s="179" t="s">
        <v>766</v>
      </c>
      <c r="K1175" s="179" t="s">
        <v>602</v>
      </c>
      <c r="L1175" s="89">
        <v>30000</v>
      </c>
      <c r="M1175" s="54">
        <v>15</v>
      </c>
      <c r="N1175" s="39" t="s">
        <v>48</v>
      </c>
      <c r="O1175" s="39" t="s">
        <v>49</v>
      </c>
      <c r="P1175" s="135" t="s">
        <v>828</v>
      </c>
      <c r="Q1175" s="19">
        <v>46</v>
      </c>
      <c r="R1175" s="15">
        <f>Q1175/I1175</f>
        <v>0.30666666666666664</v>
      </c>
      <c r="S1175" s="5">
        <f>($AC1175*$AD1175)/(($Z1175/$Y1175)+($AA1175/$Z1175)+($AB1175/$AA1175))</f>
        <v>19.534883720930232</v>
      </c>
      <c r="U1175" s="109" t="s">
        <v>129</v>
      </c>
      <c r="V1175" s="21" t="s">
        <v>1395</v>
      </c>
      <c r="W1175" s="182" t="s">
        <v>1389</v>
      </c>
      <c r="Y1175" s="2">
        <v>4</v>
      </c>
      <c r="Z1175" s="2">
        <v>8</v>
      </c>
      <c r="AA1175" s="2">
        <v>30</v>
      </c>
      <c r="AB1175" s="2">
        <v>150</v>
      </c>
      <c r="AC1175" s="2">
        <v>14</v>
      </c>
      <c r="AD1175" s="2">
        <v>15</v>
      </c>
      <c r="AE1175" s="2">
        <f>AC1175*AD1175</f>
        <v>210</v>
      </c>
      <c r="AF1175" s="2">
        <f>Z1175/Y1175</f>
        <v>2</v>
      </c>
      <c r="AG1175" s="2">
        <f>AA1175/Z1175</f>
        <v>3.75</v>
      </c>
      <c r="AH1175" s="2">
        <f>AB1175/AA1175</f>
        <v>5</v>
      </c>
    </row>
    <row r="1176" spans="1:34">
      <c r="A1176" s="165" t="s">
        <v>1383</v>
      </c>
      <c r="B1176" s="39" t="s">
        <v>63</v>
      </c>
      <c r="C1176" s="192">
        <v>46198</v>
      </c>
      <c r="D1176" s="144">
        <v>0.91666666666666663</v>
      </c>
      <c r="F1176" s="8" t="s">
        <v>909</v>
      </c>
      <c r="G1176" s="2">
        <v>1</v>
      </c>
      <c r="H1176" s="2">
        <v>9</v>
      </c>
      <c r="I1176" s="37">
        <v>135</v>
      </c>
      <c r="J1176" s="2" t="s">
        <v>766</v>
      </c>
      <c r="K1176" s="88" t="s">
        <v>813</v>
      </c>
      <c r="L1176" s="89">
        <v>10000</v>
      </c>
      <c r="M1176" s="202">
        <v>15</v>
      </c>
      <c r="N1176" s="132" t="s">
        <v>821</v>
      </c>
      <c r="O1176" s="39" t="s">
        <v>49</v>
      </c>
      <c r="Q1176" s="19">
        <v>35</v>
      </c>
      <c r="R1176" s="15">
        <f>Q1176/I1176</f>
        <v>0.25925925925925924</v>
      </c>
      <c r="S1176" s="5">
        <v>22</v>
      </c>
      <c r="U1176" s="109" t="s">
        <v>767</v>
      </c>
      <c r="V1176" s="21" t="s">
        <v>362</v>
      </c>
      <c r="W1176" s="194" t="s">
        <v>369</v>
      </c>
      <c r="Y1176" s="175"/>
      <c r="Z1176" s="175"/>
      <c r="AA1176" s="175"/>
      <c r="AB1176" s="175"/>
      <c r="AC1176" s="175"/>
      <c r="AD1176" s="175"/>
      <c r="AE1176" s="175"/>
      <c r="AF1176" s="175"/>
      <c r="AG1176" s="175"/>
      <c r="AH1176" s="175"/>
    </row>
    <row r="1177" spans="1:34">
      <c r="A1177" s="96" t="s">
        <v>461</v>
      </c>
      <c r="B1177" s="96" t="s">
        <v>462</v>
      </c>
      <c r="C1177" s="192">
        <v>46198</v>
      </c>
      <c r="D1177" s="42">
        <v>0.92361111111111116</v>
      </c>
      <c r="F1177" s="8" t="s">
        <v>456</v>
      </c>
      <c r="G1177" s="2">
        <v>1</v>
      </c>
      <c r="I1177" s="126">
        <v>120</v>
      </c>
      <c r="J1177" s="2" t="s">
        <v>766</v>
      </c>
      <c r="K1177" s="109" t="s">
        <v>737</v>
      </c>
      <c r="L1177" s="8">
        <v>20000</v>
      </c>
      <c r="M1177" s="202">
        <v>15</v>
      </c>
      <c r="N1177" s="39" t="s">
        <v>48</v>
      </c>
      <c r="O1177" s="39" t="s">
        <v>49</v>
      </c>
      <c r="P1177" s="135" t="s">
        <v>827</v>
      </c>
      <c r="Q1177" s="19">
        <v>24</v>
      </c>
      <c r="R1177" s="15">
        <f>Q1177/I1177</f>
        <v>0.2</v>
      </c>
      <c r="S1177" s="5">
        <f>($AC1177*$AD1177)/(($Z1177/$Y1177)+($AA1177/$Z1177)+($AB1177/$AA1177))</f>
        <v>25.161290322580644</v>
      </c>
      <c r="U1177" s="109" t="s">
        <v>463</v>
      </c>
      <c r="V1177" s="2" t="s">
        <v>735</v>
      </c>
      <c r="W1177" s="2" t="s">
        <v>464</v>
      </c>
      <c r="Y1177" s="2">
        <v>2.5</v>
      </c>
      <c r="Z1177" s="2">
        <v>7.5</v>
      </c>
      <c r="AA1177" s="2">
        <v>30</v>
      </c>
      <c r="AB1177" s="2">
        <v>100</v>
      </c>
      <c r="AC1177" s="2">
        <v>13</v>
      </c>
      <c r="AD1177" s="2">
        <v>20</v>
      </c>
      <c r="AE1177" s="2">
        <f>AC1177*AD1177</f>
        <v>260</v>
      </c>
      <c r="AF1177" s="2">
        <f>Z1177/Y1177</f>
        <v>3</v>
      </c>
      <c r="AG1177" s="2">
        <f>AA1177/Z1177</f>
        <v>4</v>
      </c>
      <c r="AH1177" s="2">
        <f>AB1177/AA1177</f>
        <v>3.3333333333333335</v>
      </c>
    </row>
    <row r="1178" spans="1:34">
      <c r="A1178" s="165" t="s">
        <v>1383</v>
      </c>
      <c r="B1178" s="36" t="s">
        <v>63</v>
      </c>
      <c r="C1178" s="192">
        <v>46198</v>
      </c>
      <c r="D1178" s="144" t="s">
        <v>117</v>
      </c>
      <c r="E1178" s="14">
        <v>63</v>
      </c>
      <c r="F1178" s="8" t="s">
        <v>985</v>
      </c>
      <c r="G1178" s="2">
        <v>3</v>
      </c>
      <c r="H1178" s="2">
        <v>9</v>
      </c>
      <c r="I1178" s="37">
        <v>1000</v>
      </c>
      <c r="J1178" s="2" t="s">
        <v>763</v>
      </c>
      <c r="K1178" s="109" t="s">
        <v>601</v>
      </c>
      <c r="L1178" s="89">
        <v>40000</v>
      </c>
      <c r="M1178" s="202" t="s">
        <v>22</v>
      </c>
      <c r="N1178" s="39" t="s">
        <v>48</v>
      </c>
      <c r="O1178" s="39" t="s">
        <v>49</v>
      </c>
      <c r="P1178" s="210"/>
      <c r="Q1178" s="19">
        <f>R1178*I1178</f>
        <v>120</v>
      </c>
      <c r="R1178" s="15">
        <v>0.12</v>
      </c>
      <c r="S1178" s="5">
        <f>($AC1178*$AD1178)/(($Z1178/$Y1178)+($AA1178/$Z1178)+($AB1178/$AA1178))</f>
        <v>76.947040498442377</v>
      </c>
      <c r="U1178" s="109" t="s">
        <v>767</v>
      </c>
      <c r="V1178" s="10" t="s">
        <v>121</v>
      </c>
      <c r="W1178" s="10"/>
      <c r="Y1178" s="2">
        <v>2</v>
      </c>
      <c r="Z1178" s="2">
        <v>5</v>
      </c>
      <c r="AA1178" s="2">
        <v>13</v>
      </c>
      <c r="AB1178" s="2">
        <v>30</v>
      </c>
      <c r="AC1178" s="2">
        <v>19</v>
      </c>
      <c r="AD1178" s="2">
        <v>30</v>
      </c>
      <c r="AE1178" s="2">
        <f>AC1178*AD1178</f>
        <v>570</v>
      </c>
      <c r="AF1178" s="2">
        <f>Z1178/Y1178</f>
        <v>2.5</v>
      </c>
      <c r="AG1178" s="2">
        <f>AA1178/Z1178</f>
        <v>2.6</v>
      </c>
      <c r="AH1178" s="2">
        <f>AB1178/AA1178</f>
        <v>2.3076923076923075</v>
      </c>
    </row>
    <row r="1179" spans="1:34" s="85" customFormat="1">
      <c r="A1179" s="165" t="s">
        <v>1383</v>
      </c>
      <c r="B1179" s="36" t="s">
        <v>63</v>
      </c>
      <c r="C1179" s="192">
        <v>46198</v>
      </c>
      <c r="D1179" s="144" t="s">
        <v>115</v>
      </c>
      <c r="E1179" s="8">
        <v>68</v>
      </c>
      <c r="F1179" s="8" t="s">
        <v>990</v>
      </c>
      <c r="G1179" s="2">
        <v>4</v>
      </c>
      <c r="H1179" s="2">
        <v>9</v>
      </c>
      <c r="I1179" s="37">
        <v>1000</v>
      </c>
      <c r="J1179" s="2" t="s">
        <v>760</v>
      </c>
      <c r="K1179" s="109" t="s">
        <v>602</v>
      </c>
      <c r="L1179" s="89">
        <v>20000</v>
      </c>
      <c r="M1179" s="202">
        <v>60</v>
      </c>
      <c r="N1179" s="39" t="s">
        <v>48</v>
      </c>
      <c r="O1179" s="39" t="s">
        <v>49</v>
      </c>
      <c r="P1179" s="210"/>
      <c r="Q1179" s="19">
        <f>R1179*I1179</f>
        <v>120</v>
      </c>
      <c r="R1179" s="15">
        <v>0.12</v>
      </c>
      <c r="S1179" s="5">
        <f>($AC1179*$AD1179)/(($Z1179/$Y1179)+($AA1179/$Z1179)+($AB1179/$AA1179))</f>
        <v>133.04347826086956</v>
      </c>
      <c r="T1179" s="5"/>
      <c r="U1179" s="109" t="s">
        <v>125</v>
      </c>
      <c r="V1179" s="21" t="s">
        <v>121</v>
      </c>
      <c r="W1179" s="10"/>
      <c r="X1179" s="2"/>
      <c r="Y1179" s="2">
        <v>1.5</v>
      </c>
      <c r="Z1179" s="2">
        <v>4</v>
      </c>
      <c r="AA1179" s="2">
        <v>10</v>
      </c>
      <c r="AB1179" s="2">
        <v>25</v>
      </c>
      <c r="AC1179" s="2">
        <v>17</v>
      </c>
      <c r="AD1179" s="2">
        <v>60</v>
      </c>
      <c r="AE1179" s="2">
        <f>AC1179*AD1179</f>
        <v>1020</v>
      </c>
      <c r="AF1179" s="2">
        <f>Z1179/Y1179</f>
        <v>2.6666666666666665</v>
      </c>
      <c r="AG1179" s="2">
        <f>AA1179/Z1179</f>
        <v>2.5</v>
      </c>
      <c r="AH1179" s="2">
        <f>AB1179/AA1179</f>
        <v>2.5</v>
      </c>
    </row>
    <row r="1180" spans="1:34">
      <c r="A1180" s="165" t="s">
        <v>1383</v>
      </c>
      <c r="B1180" s="36" t="s">
        <v>63</v>
      </c>
      <c r="C1180" s="192">
        <v>46198</v>
      </c>
      <c r="D1180" s="144" t="s">
        <v>115</v>
      </c>
      <c r="E1180" s="8">
        <v>66</v>
      </c>
      <c r="F1180" s="8" t="s">
        <v>1115</v>
      </c>
      <c r="G1180" s="2">
        <v>3</v>
      </c>
      <c r="H1180" s="2">
        <v>9</v>
      </c>
      <c r="I1180" s="37">
        <v>1000</v>
      </c>
      <c r="J1180" s="2" t="s">
        <v>110</v>
      </c>
      <c r="K1180" s="109" t="s">
        <v>602</v>
      </c>
      <c r="L1180" s="89">
        <v>20000</v>
      </c>
      <c r="M1180" s="202">
        <v>60</v>
      </c>
      <c r="N1180" s="39" t="s">
        <v>48</v>
      </c>
      <c r="O1180" s="39" t="s">
        <v>49</v>
      </c>
      <c r="P1180" s="210"/>
      <c r="Q1180" s="19">
        <f>R1180*I1180</f>
        <v>120</v>
      </c>
      <c r="R1180" s="15">
        <v>0.12</v>
      </c>
      <c r="S1180" s="5">
        <f>($AC1180*$AD1180)/(($Z1180/$Y1180)+($AA1180/$Z1180)+($AB1180/$AA1180))</f>
        <v>133.04347826086956</v>
      </c>
      <c r="U1180" s="109" t="s">
        <v>155</v>
      </c>
      <c r="V1180" s="10" t="s">
        <v>121</v>
      </c>
      <c r="W1180" s="10"/>
      <c r="Y1180" s="2">
        <v>1.5</v>
      </c>
      <c r="Z1180" s="2">
        <v>4</v>
      </c>
      <c r="AA1180" s="2">
        <v>10</v>
      </c>
      <c r="AB1180" s="2">
        <v>25</v>
      </c>
      <c r="AC1180" s="2">
        <v>17</v>
      </c>
      <c r="AD1180" s="2">
        <v>60</v>
      </c>
      <c r="AE1180" s="2">
        <f>AC1180*AD1180</f>
        <v>1020</v>
      </c>
      <c r="AF1180" s="2">
        <f>Z1180/Y1180</f>
        <v>2.6666666666666665</v>
      </c>
      <c r="AG1180" s="2">
        <f>AA1180/Z1180</f>
        <v>2.5</v>
      </c>
      <c r="AH1180" s="2">
        <f>AB1180/AA1180</f>
        <v>2.5</v>
      </c>
    </row>
    <row r="1181" spans="1:34">
      <c r="A1181" s="165" t="s">
        <v>1383</v>
      </c>
      <c r="B1181" s="36" t="s">
        <v>63</v>
      </c>
      <c r="C1181" s="192">
        <v>46198</v>
      </c>
      <c r="D1181" s="144" t="s">
        <v>116</v>
      </c>
      <c r="E1181" s="8">
        <v>69</v>
      </c>
      <c r="F1181" s="8" t="s">
        <v>991</v>
      </c>
      <c r="G1181" s="2">
        <v>3</v>
      </c>
      <c r="H1181" s="2">
        <v>9</v>
      </c>
      <c r="I1181" s="37">
        <v>1500</v>
      </c>
      <c r="J1181" s="2" t="s">
        <v>110</v>
      </c>
      <c r="K1181" s="109" t="s">
        <v>598</v>
      </c>
      <c r="L1181" s="89">
        <v>25000</v>
      </c>
      <c r="M1181" s="202" t="s">
        <v>97</v>
      </c>
      <c r="N1181" s="39" t="s">
        <v>48</v>
      </c>
      <c r="O1181" s="39" t="s">
        <v>376</v>
      </c>
      <c r="P1181" s="213"/>
      <c r="Q1181" s="38">
        <f>R1181*I1181</f>
        <v>172.5</v>
      </c>
      <c r="R1181" s="15">
        <v>0.115</v>
      </c>
      <c r="S1181" s="149" t="s">
        <v>110</v>
      </c>
      <c r="T1181" s="149"/>
      <c r="U1181" s="109" t="s">
        <v>767</v>
      </c>
      <c r="V1181" s="10" t="s">
        <v>121</v>
      </c>
      <c r="W1181" s="10"/>
      <c r="AE1181" s="2" t="e">
        <f>AD1181*#REF!</f>
        <v>#REF!</v>
      </c>
      <c r="AF1181" s="2" t="e">
        <f>Z1181/Y1181</f>
        <v>#DIV/0!</v>
      </c>
      <c r="AG1181" s="2" t="e">
        <f>AA1181/Z1181</f>
        <v>#DIV/0!</v>
      </c>
      <c r="AH1181" s="2" t="e">
        <f>AC1181/AA1181</f>
        <v>#DIV/0!</v>
      </c>
    </row>
    <row r="1182" spans="1:34">
      <c r="A1182" s="165" t="s">
        <v>1383</v>
      </c>
      <c r="B1182" s="36" t="s">
        <v>63</v>
      </c>
      <c r="C1182" s="192">
        <v>46198</v>
      </c>
      <c r="D1182" s="144" t="s">
        <v>876</v>
      </c>
      <c r="E1182" s="8">
        <v>60</v>
      </c>
      <c r="F1182" s="8" t="s">
        <v>1191</v>
      </c>
      <c r="G1182" s="2">
        <v>5</v>
      </c>
      <c r="H1182" s="2">
        <v>7</v>
      </c>
      <c r="I1182" s="37">
        <v>50000</v>
      </c>
      <c r="J1182" s="2" t="s">
        <v>110</v>
      </c>
      <c r="K1182" s="109" t="s">
        <v>598</v>
      </c>
      <c r="L1182" s="89">
        <v>300000</v>
      </c>
      <c r="M1182" s="202">
        <v>100</v>
      </c>
      <c r="N1182" s="39" t="s">
        <v>48</v>
      </c>
      <c r="O1182" s="39" t="s">
        <v>863</v>
      </c>
      <c r="P1182" s="213"/>
      <c r="Q1182" s="38">
        <f>R1182*I1182</f>
        <v>2500</v>
      </c>
      <c r="R1182" s="15">
        <v>0.05</v>
      </c>
      <c r="S1182" s="149" t="s">
        <v>110</v>
      </c>
      <c r="T1182" s="149"/>
      <c r="U1182" s="109" t="s">
        <v>767</v>
      </c>
      <c r="V1182" s="10" t="s">
        <v>121</v>
      </c>
      <c r="W1182" s="10"/>
      <c r="AE1182" s="2" t="e">
        <f>AD1182*#REF!</f>
        <v>#REF!</v>
      </c>
      <c r="AF1182" s="2" t="e">
        <f>Z1182/Y1182</f>
        <v>#DIV/0!</v>
      </c>
      <c r="AG1182" s="2" t="e">
        <f>AA1182/Z1182</f>
        <v>#DIV/0!</v>
      </c>
      <c r="AH1182" s="2" t="e">
        <f>AC1182/AA1182</f>
        <v>#DIV/0!</v>
      </c>
    </row>
    <row r="1183" spans="1:34">
      <c r="A1183" s="165" t="s">
        <v>1383</v>
      </c>
      <c r="B1183" s="36" t="s">
        <v>63</v>
      </c>
      <c r="C1183" s="192">
        <v>46198</v>
      </c>
      <c r="D1183" s="144" t="s">
        <v>876</v>
      </c>
      <c r="E1183" s="8">
        <v>64</v>
      </c>
      <c r="F1183" s="8" t="s">
        <v>1269</v>
      </c>
      <c r="G1183" s="2">
        <v>3</v>
      </c>
      <c r="H1183" s="2">
        <v>8</v>
      </c>
      <c r="I1183" s="37">
        <v>25000</v>
      </c>
      <c r="J1183" s="2" t="s">
        <v>762</v>
      </c>
      <c r="K1183" s="109" t="s">
        <v>601</v>
      </c>
      <c r="L1183" s="89">
        <v>150000</v>
      </c>
      <c r="M1183" s="202">
        <v>60</v>
      </c>
      <c r="N1183" s="39" t="s">
        <v>48</v>
      </c>
      <c r="O1183" s="39" t="s">
        <v>124</v>
      </c>
      <c r="Q1183" s="19">
        <f>R1183*I1183</f>
        <v>1500</v>
      </c>
      <c r="R1183" s="15">
        <v>0.06</v>
      </c>
      <c r="S1183" s="149" t="s">
        <v>110</v>
      </c>
      <c r="T1183" s="149"/>
      <c r="U1183" s="109" t="s">
        <v>767</v>
      </c>
      <c r="V1183" s="10" t="s">
        <v>121</v>
      </c>
      <c r="W1183" s="10"/>
      <c r="AE1183" s="2" t="e">
        <f>AD1183*#REF!</f>
        <v>#REF!</v>
      </c>
      <c r="AF1183" s="2" t="e">
        <f>Z1183/Y1183</f>
        <v>#DIV/0!</v>
      </c>
      <c r="AG1183" s="2" t="e">
        <f>AA1183/Z1183</f>
        <v>#DIV/0!</v>
      </c>
      <c r="AH1183" s="2" t="e">
        <f>AC1183/AA1183</f>
        <v>#DIV/0!</v>
      </c>
    </row>
    <row r="1184" spans="1:34">
      <c r="A1184" s="165" t="s">
        <v>1383</v>
      </c>
      <c r="B1184" s="36" t="s">
        <v>63</v>
      </c>
      <c r="C1184" s="192">
        <v>46198</v>
      </c>
      <c r="D1184" s="144" t="s">
        <v>876</v>
      </c>
      <c r="E1184" s="8">
        <v>65</v>
      </c>
      <c r="F1184" s="8" t="s">
        <v>1223</v>
      </c>
      <c r="G1184" s="2">
        <v>3</v>
      </c>
      <c r="H1184" s="2">
        <v>9</v>
      </c>
      <c r="I1184" s="37">
        <v>1500</v>
      </c>
      <c r="J1184" s="2" t="s">
        <v>110</v>
      </c>
      <c r="K1184" s="109" t="s">
        <v>598</v>
      </c>
      <c r="L1184" s="89">
        <v>25000</v>
      </c>
      <c r="M1184" s="202" t="s">
        <v>97</v>
      </c>
      <c r="N1184" s="39" t="s">
        <v>48</v>
      </c>
      <c r="O1184" s="39" t="s">
        <v>49</v>
      </c>
      <c r="Q1184" s="19">
        <f>R1184*I1184</f>
        <v>172.5</v>
      </c>
      <c r="R1184" s="15">
        <v>0.115</v>
      </c>
      <c r="S1184" s="5">
        <f>($AC1184*$AD1184)/(($Z1184/$Y1184)+($AA1184/$Z1184)+($AB1184/$AA1184))</f>
        <v>93.913043478260875</v>
      </c>
      <c r="U1184" s="109" t="s">
        <v>853</v>
      </c>
      <c r="V1184" s="10" t="s">
        <v>121</v>
      </c>
      <c r="W1184" s="10"/>
      <c r="Y1184" s="2">
        <v>1.5</v>
      </c>
      <c r="Z1184" s="2">
        <v>4</v>
      </c>
      <c r="AA1184" s="2">
        <v>10</v>
      </c>
      <c r="AB1184" s="2">
        <v>25</v>
      </c>
      <c r="AC1184" s="2">
        <v>18</v>
      </c>
      <c r="AD1184" s="2">
        <v>40</v>
      </c>
      <c r="AE1184" s="2">
        <f>AC1184*AD1184</f>
        <v>720</v>
      </c>
      <c r="AF1184" s="2">
        <f>Z1184/Y1184</f>
        <v>2.6666666666666665</v>
      </c>
      <c r="AG1184" s="2">
        <f>AA1184/Z1184</f>
        <v>2.5</v>
      </c>
      <c r="AH1184" s="2">
        <f>AB1184/AA1184</f>
        <v>2.5</v>
      </c>
    </row>
    <row r="1185" spans="1:34">
      <c r="A1185" s="165" t="s">
        <v>1383</v>
      </c>
      <c r="B1185" s="36" t="s">
        <v>63</v>
      </c>
      <c r="C1185" s="192">
        <v>46198</v>
      </c>
      <c r="D1185" s="144" t="s">
        <v>876</v>
      </c>
      <c r="E1185" s="8">
        <v>61</v>
      </c>
      <c r="F1185" s="8" t="s">
        <v>1377</v>
      </c>
      <c r="G1185" s="2">
        <v>4</v>
      </c>
      <c r="H1185" s="2">
        <v>9</v>
      </c>
      <c r="I1185" s="37">
        <v>1000</v>
      </c>
      <c r="J1185" s="2" t="s">
        <v>760</v>
      </c>
      <c r="K1185" s="109" t="s">
        <v>602</v>
      </c>
      <c r="L1185" s="89">
        <v>20000</v>
      </c>
      <c r="M1185" s="54">
        <v>60</v>
      </c>
      <c r="N1185" s="39" t="s">
        <v>48</v>
      </c>
      <c r="O1185" s="39" t="s">
        <v>49</v>
      </c>
      <c r="Q1185" s="19">
        <f>R1185*I1185</f>
        <v>120</v>
      </c>
      <c r="R1185" s="15">
        <v>0.12</v>
      </c>
      <c r="S1185" s="5">
        <f>($AC1185*$AD1185)/(($Z1185/$Y1185)+($AA1185/$Z1185)+($AB1185/$AA1185))</f>
        <v>133.04347826086956</v>
      </c>
      <c r="T1185" s="5">
        <f>($AC1185*$AD1185)/(($Z1185/$Y1185)+($AA1185/$Z1185)+($AB1185/$AA1185))</f>
        <v>133.04347826086956</v>
      </c>
      <c r="U1185" s="109" t="s">
        <v>54</v>
      </c>
      <c r="V1185" s="10" t="s">
        <v>121</v>
      </c>
      <c r="W1185" s="10"/>
      <c r="Y1185" s="2">
        <v>1.5</v>
      </c>
      <c r="Z1185" s="2">
        <v>4</v>
      </c>
      <c r="AA1185" s="2">
        <v>10</v>
      </c>
      <c r="AB1185" s="2">
        <v>25</v>
      </c>
      <c r="AC1185" s="2">
        <v>17</v>
      </c>
      <c r="AD1185" s="2">
        <v>60</v>
      </c>
      <c r="AE1185" s="2">
        <f>AC1185*AD1185</f>
        <v>1020</v>
      </c>
      <c r="AF1185" s="2">
        <f>Z1185/Y1185</f>
        <v>2.6666666666666665</v>
      </c>
      <c r="AG1185" s="2">
        <f>AA1185/Z1185</f>
        <v>2.5</v>
      </c>
      <c r="AH1185" s="2">
        <f>AB1185/AA1185</f>
        <v>2.5</v>
      </c>
    </row>
    <row r="1186" spans="1:34">
      <c r="A1186" s="96" t="s">
        <v>461</v>
      </c>
      <c r="B1186" s="96" t="s">
        <v>462</v>
      </c>
      <c r="C1186" s="192">
        <v>46199</v>
      </c>
      <c r="D1186" s="42">
        <v>0.4236111111111111</v>
      </c>
      <c r="E1186" s="193"/>
      <c r="F1186" s="8" t="s">
        <v>457</v>
      </c>
      <c r="G1186" s="2">
        <v>1</v>
      </c>
      <c r="I1186" s="125">
        <v>120</v>
      </c>
      <c r="J1186" s="2" t="s">
        <v>766</v>
      </c>
      <c r="K1186" s="109" t="s">
        <v>602</v>
      </c>
      <c r="L1186" s="8">
        <v>20000</v>
      </c>
      <c r="M1186" s="202">
        <v>20</v>
      </c>
      <c r="N1186" s="39" t="s">
        <v>48</v>
      </c>
      <c r="O1186" s="39" t="s">
        <v>49</v>
      </c>
      <c r="P1186" s="135" t="s">
        <v>832</v>
      </c>
      <c r="Q1186" s="19">
        <v>24</v>
      </c>
      <c r="R1186" s="15">
        <f>Q1186/I1186</f>
        <v>0.2</v>
      </c>
      <c r="S1186" s="5">
        <f>($AC1186*$AD1186)/(($Z1186/$Y1186)+($AA1186/$Z1186)+($AB1186/$AA1186))</f>
        <v>25.161290322580644</v>
      </c>
      <c r="U1186" s="109" t="s">
        <v>767</v>
      </c>
      <c r="V1186" s="10" t="s">
        <v>735</v>
      </c>
      <c r="W1186" s="10"/>
      <c r="Y1186" s="2">
        <v>2.5</v>
      </c>
      <c r="Z1186" s="2">
        <v>7.5</v>
      </c>
      <c r="AA1186" s="2">
        <v>30</v>
      </c>
      <c r="AB1186" s="2">
        <v>100</v>
      </c>
      <c r="AC1186" s="2">
        <v>13</v>
      </c>
      <c r="AD1186" s="2">
        <v>20</v>
      </c>
      <c r="AE1186" s="2">
        <f>AC1186*AD1186</f>
        <v>260</v>
      </c>
      <c r="AF1186" s="2">
        <f>Z1186/Y1186</f>
        <v>3</v>
      </c>
      <c r="AG1186" s="2">
        <f>AA1186/Z1186</f>
        <v>4</v>
      </c>
      <c r="AH1186" s="2">
        <f>AB1186/AA1186</f>
        <v>3.3333333333333335</v>
      </c>
    </row>
    <row r="1187" spans="1:34">
      <c r="A1187" s="96" t="s">
        <v>461</v>
      </c>
      <c r="B1187" s="119" t="s">
        <v>755</v>
      </c>
      <c r="C1187" s="192">
        <v>46199</v>
      </c>
      <c r="D1187" s="42">
        <v>0.4236111111111111</v>
      </c>
      <c r="E1187" s="193"/>
      <c r="F1187" s="8" t="s">
        <v>756</v>
      </c>
      <c r="G1187" s="2">
        <v>2</v>
      </c>
      <c r="I1187" s="37">
        <v>360</v>
      </c>
      <c r="J1187" s="2" t="s">
        <v>766</v>
      </c>
      <c r="K1187" s="109" t="s">
        <v>767</v>
      </c>
      <c r="M1187" s="202"/>
      <c r="N1187" s="39" t="s">
        <v>48</v>
      </c>
      <c r="O1187" s="39" t="s">
        <v>49</v>
      </c>
      <c r="P1187" s="236" t="s">
        <v>837</v>
      </c>
      <c r="S1187" s="120"/>
      <c r="T1187" s="120"/>
      <c r="U1187" s="109" t="s">
        <v>125</v>
      </c>
      <c r="V1187" s="10"/>
      <c r="W1187" s="10"/>
    </row>
    <row r="1188" spans="1:34">
      <c r="A1188" s="68" t="s">
        <v>357</v>
      </c>
      <c r="B1188" s="68" t="s">
        <v>358</v>
      </c>
      <c r="C1188" s="48">
        <v>46199</v>
      </c>
      <c r="D1188" s="42">
        <v>0.4236111111111111</v>
      </c>
      <c r="E1188" s="8">
        <v>68</v>
      </c>
      <c r="F1188" s="63" t="s">
        <v>322</v>
      </c>
      <c r="G1188" s="2">
        <v>2</v>
      </c>
      <c r="H1188" s="2">
        <v>9</v>
      </c>
      <c r="I1188" s="125">
        <v>1100</v>
      </c>
      <c r="J1188" s="2" t="s">
        <v>766</v>
      </c>
      <c r="K1188" s="137" t="s">
        <v>603</v>
      </c>
      <c r="L1188" s="89">
        <v>40000</v>
      </c>
      <c r="M1188" s="54">
        <v>40</v>
      </c>
      <c r="N1188" s="39" t="s">
        <v>48</v>
      </c>
      <c r="O1188" s="39" t="s">
        <v>49</v>
      </c>
      <c r="P1188" s="135" t="s">
        <v>843</v>
      </c>
      <c r="Q1188" s="19">
        <v>140</v>
      </c>
      <c r="R1188" s="15">
        <f>Q1188/I1188</f>
        <v>0.12727272727272726</v>
      </c>
      <c r="S1188" s="5">
        <f>($AC1188*$AD1188)/(($Z1188/$Y1188)+($AA1188/$Z1188)+($AB1188/$AA1188))</f>
        <v>102.59605399792316</v>
      </c>
      <c r="U1188" s="109" t="s">
        <v>767</v>
      </c>
      <c r="V1188" s="10" t="s">
        <v>684</v>
      </c>
      <c r="W1188" s="10"/>
      <c r="Y1188" s="2">
        <v>2</v>
      </c>
      <c r="Z1188" s="2">
        <v>5</v>
      </c>
      <c r="AA1188" s="2">
        <v>13</v>
      </c>
      <c r="AB1188" s="2">
        <v>30</v>
      </c>
      <c r="AC1188" s="2">
        <v>40</v>
      </c>
      <c r="AD1188" s="2">
        <v>19</v>
      </c>
      <c r="AE1188" s="2">
        <f>AC1188*AD1188</f>
        <v>760</v>
      </c>
      <c r="AF1188" s="2">
        <f>Z1188/Y1188</f>
        <v>2.5</v>
      </c>
      <c r="AG1188" s="2">
        <f>AA1188/Z1188</f>
        <v>2.6</v>
      </c>
      <c r="AH1188" s="2">
        <f>AB1188/AA1188</f>
        <v>2.3076923076923075</v>
      </c>
    </row>
    <row r="1189" spans="1:34" s="85" customFormat="1">
      <c r="A1189" s="95" t="s">
        <v>447</v>
      </c>
      <c r="B1189" s="95" t="s">
        <v>448</v>
      </c>
      <c r="C1189" s="40">
        <v>46199</v>
      </c>
      <c r="D1189" s="42">
        <v>0.45833333333333331</v>
      </c>
      <c r="E1189" s="193"/>
      <c r="F1189" s="8" t="s">
        <v>441</v>
      </c>
      <c r="G1189" s="2">
        <v>1</v>
      </c>
      <c r="H1189" s="2">
        <v>9</v>
      </c>
      <c r="I1189" s="125">
        <v>1100</v>
      </c>
      <c r="J1189" s="2" t="s">
        <v>766</v>
      </c>
      <c r="K1189" s="109" t="s">
        <v>602</v>
      </c>
      <c r="L1189" s="8">
        <v>30000</v>
      </c>
      <c r="M1189" s="8">
        <v>30</v>
      </c>
      <c r="N1189" s="39" t="s">
        <v>48</v>
      </c>
      <c r="O1189" s="39" t="s">
        <v>49</v>
      </c>
      <c r="P1189" s="135" t="s">
        <v>840</v>
      </c>
      <c r="Q1189" s="19">
        <v>135</v>
      </c>
      <c r="R1189" s="15">
        <f>Q1189/I1189</f>
        <v>0.12272727272727273</v>
      </c>
      <c r="S1189" s="5">
        <f>($AC1189*$AD1189)/(($Z1189/$Y1189)+($AA1189/$Z1189)+($AB1189/$AA1189))</f>
        <v>72.897196261682254</v>
      </c>
      <c r="T1189" s="5"/>
      <c r="U1189" s="109" t="s">
        <v>54</v>
      </c>
      <c r="V1189" s="10" t="s">
        <v>741</v>
      </c>
      <c r="W1189" s="10"/>
      <c r="X1189" s="2"/>
      <c r="Y1189" s="2">
        <v>2</v>
      </c>
      <c r="Z1189" s="2">
        <v>5</v>
      </c>
      <c r="AA1189" s="2">
        <v>13</v>
      </c>
      <c r="AB1189" s="2">
        <v>30</v>
      </c>
      <c r="AC1189" s="2">
        <v>18</v>
      </c>
      <c r="AD1189" s="2">
        <v>30</v>
      </c>
      <c r="AE1189" s="2">
        <f>AC1189*AD1189</f>
        <v>540</v>
      </c>
      <c r="AF1189" s="2">
        <f>Z1189/Y1189</f>
        <v>2.5</v>
      </c>
      <c r="AG1189" s="2">
        <f>AA1189/Z1189</f>
        <v>2.6</v>
      </c>
      <c r="AH1189" s="2">
        <f>AB1189/AA1189</f>
        <v>2.3076923076923075</v>
      </c>
    </row>
    <row r="1190" spans="1:34">
      <c r="A1190" s="103" t="s">
        <v>539</v>
      </c>
      <c r="B1190" s="103" t="s">
        <v>540</v>
      </c>
      <c r="C1190" s="48">
        <v>46199</v>
      </c>
      <c r="D1190" s="42">
        <v>0.45833333333333331</v>
      </c>
      <c r="E1190" s="8">
        <v>75</v>
      </c>
      <c r="F1190" s="63" t="s">
        <v>577</v>
      </c>
      <c r="G1190" s="2">
        <v>2</v>
      </c>
      <c r="H1190" s="2">
        <v>9</v>
      </c>
      <c r="I1190" s="125">
        <v>600</v>
      </c>
      <c r="J1190" s="179" t="s">
        <v>766</v>
      </c>
      <c r="K1190" s="179" t="s">
        <v>601</v>
      </c>
      <c r="L1190" s="89">
        <v>30000</v>
      </c>
      <c r="M1190" s="207" t="s">
        <v>97</v>
      </c>
      <c r="N1190" s="39" t="s">
        <v>48</v>
      </c>
      <c r="O1190" s="39" t="s">
        <v>49</v>
      </c>
      <c r="P1190" s="135" t="s">
        <v>843</v>
      </c>
      <c r="Q1190" s="19">
        <v>92</v>
      </c>
      <c r="R1190" s="15">
        <f>Q1190/I1190</f>
        <v>0.15333333333333332</v>
      </c>
      <c r="S1190" s="5">
        <f>($AC1190*$AD1190)/(($Z1190/$Y1190)+($AA1190/$Z1190)+($AB1190/$AA1190))</f>
        <v>99.130434782608702</v>
      </c>
      <c r="U1190" s="109" t="s">
        <v>767</v>
      </c>
      <c r="V1190" s="21" t="s">
        <v>1395</v>
      </c>
      <c r="W1190" s="10"/>
      <c r="Y1190" s="2">
        <v>1.5</v>
      </c>
      <c r="Z1190" s="2">
        <v>4</v>
      </c>
      <c r="AA1190" s="2">
        <v>10</v>
      </c>
      <c r="AB1190" s="2">
        <v>25</v>
      </c>
      <c r="AC1190" s="2">
        <v>19</v>
      </c>
      <c r="AD1190" s="2">
        <v>40</v>
      </c>
      <c r="AE1190" s="2">
        <f>AC1190*AD1190</f>
        <v>760</v>
      </c>
      <c r="AF1190" s="2">
        <f>Z1190/Y1190</f>
        <v>2.6666666666666665</v>
      </c>
      <c r="AG1190" s="2">
        <f>AA1190/Z1190</f>
        <v>2.5</v>
      </c>
      <c r="AH1190" s="2">
        <f>AB1190/AA1190</f>
        <v>2.5</v>
      </c>
    </row>
    <row r="1191" spans="1:34">
      <c r="A1191" s="102" t="s">
        <v>475</v>
      </c>
      <c r="B1191" s="102" t="s">
        <v>476</v>
      </c>
      <c r="C1191" s="40">
        <v>46199</v>
      </c>
      <c r="D1191" s="42">
        <v>0.45833333333333331</v>
      </c>
      <c r="E1191" s="8">
        <v>29</v>
      </c>
      <c r="F1191" s="8" t="s">
        <v>519</v>
      </c>
      <c r="G1191" s="2">
        <v>1</v>
      </c>
      <c r="H1191" s="2">
        <v>8</v>
      </c>
      <c r="I1191" s="125">
        <v>600</v>
      </c>
      <c r="J1191" s="2" t="s">
        <v>766</v>
      </c>
      <c r="K1191" s="109" t="s">
        <v>602</v>
      </c>
      <c r="L1191" s="105">
        <v>30000</v>
      </c>
      <c r="M1191" s="64">
        <v>30</v>
      </c>
      <c r="N1191" s="39" t="s">
        <v>48</v>
      </c>
      <c r="O1191" s="39" t="s">
        <v>373</v>
      </c>
      <c r="P1191" s="63">
        <v>40000</v>
      </c>
      <c r="Q1191" s="2">
        <v>80</v>
      </c>
      <c r="R1191" s="15">
        <f>Q1191/I1191</f>
        <v>0.13333333333333333</v>
      </c>
      <c r="S1191" s="149" t="s">
        <v>110</v>
      </c>
      <c r="T1191" s="149"/>
      <c r="U1191" s="109" t="s">
        <v>767</v>
      </c>
      <c r="V1191" s="10" t="s">
        <v>628</v>
      </c>
      <c r="W1191" s="10"/>
      <c r="AE1191" s="2">
        <f>AC1191*AD1191</f>
        <v>0</v>
      </c>
      <c r="AF1191" s="2" t="e">
        <f>Z1191/Y1191</f>
        <v>#DIV/0!</v>
      </c>
      <c r="AG1191" s="2" t="e">
        <f>AA1191/Z1191</f>
        <v>#DIV/0!</v>
      </c>
      <c r="AH1191" s="2" t="e">
        <f>AB1191/AA1191</f>
        <v>#DIV/0!</v>
      </c>
    </row>
    <row r="1192" spans="1:34">
      <c r="A1192" s="52" t="s">
        <v>229</v>
      </c>
      <c r="B1192" s="52" t="s">
        <v>230</v>
      </c>
      <c r="C1192" s="40">
        <v>46199</v>
      </c>
      <c r="D1192" s="42">
        <v>0.45833333333333331</v>
      </c>
      <c r="E1192" s="193"/>
      <c r="F1192" s="8" t="s">
        <v>249</v>
      </c>
      <c r="G1192" s="2">
        <v>1</v>
      </c>
      <c r="I1192" s="125">
        <v>300</v>
      </c>
      <c r="J1192" s="2" t="s">
        <v>766</v>
      </c>
      <c r="K1192" s="88" t="s">
        <v>788</v>
      </c>
      <c r="L1192" s="90">
        <v>30000</v>
      </c>
      <c r="M1192" s="8">
        <v>30</v>
      </c>
      <c r="N1192" s="39" t="s">
        <v>48</v>
      </c>
      <c r="O1192" s="39" t="s">
        <v>49</v>
      </c>
      <c r="P1192" s="134" t="s">
        <v>835</v>
      </c>
      <c r="Q1192" s="19">
        <v>45</v>
      </c>
      <c r="R1192" s="15">
        <f>IF(Q1192&gt;0,Q1192/I1192,"")</f>
        <v>0.15</v>
      </c>
      <c r="S1192" s="5">
        <f>($AC1192*$AD1192)/(($Z1192/$Y1192)+($AA1192/$Z1192)+($AB1192/$AA1192))</f>
        <v>72.897196261682254</v>
      </c>
      <c r="U1192" s="109" t="s">
        <v>767</v>
      </c>
      <c r="V1192" s="10" t="s">
        <v>719</v>
      </c>
      <c r="W1192" s="10"/>
      <c r="Y1192" s="2">
        <v>2</v>
      </c>
      <c r="Z1192" s="2">
        <v>5</v>
      </c>
      <c r="AA1192" s="2">
        <v>13</v>
      </c>
      <c r="AB1192" s="2">
        <v>30</v>
      </c>
      <c r="AC1192" s="2">
        <v>18</v>
      </c>
      <c r="AD1192" s="2">
        <v>30</v>
      </c>
      <c r="AE1192" s="2">
        <f>AC1192*AD1192</f>
        <v>540</v>
      </c>
      <c r="AF1192" s="2">
        <f>Z1192/Y1192</f>
        <v>2.5</v>
      </c>
      <c r="AG1192" s="2">
        <f>AA1192/Z1192</f>
        <v>2.6</v>
      </c>
      <c r="AH1192" s="2">
        <f>AB1192/AA1192</f>
        <v>2.3076923076923075</v>
      </c>
    </row>
    <row r="1193" spans="1:34">
      <c r="A1193" s="103" t="s">
        <v>539</v>
      </c>
      <c r="B1193" s="103" t="s">
        <v>540</v>
      </c>
      <c r="C1193" s="48">
        <v>46199</v>
      </c>
      <c r="D1193" s="42">
        <v>0.5</v>
      </c>
      <c r="E1193" s="8">
        <v>82</v>
      </c>
      <c r="F1193" s="63" t="s">
        <v>1412</v>
      </c>
      <c r="G1193" s="2">
        <v>1</v>
      </c>
      <c r="H1193" s="2">
        <v>7</v>
      </c>
      <c r="I1193" s="125">
        <v>500</v>
      </c>
      <c r="J1193" s="179" t="s">
        <v>766</v>
      </c>
      <c r="K1193" s="179" t="s">
        <v>598</v>
      </c>
      <c r="L1193" s="89">
        <v>35000</v>
      </c>
      <c r="M1193" s="207" t="s">
        <v>22</v>
      </c>
      <c r="N1193" s="39" t="s">
        <v>48</v>
      </c>
      <c r="O1193" s="188" t="s">
        <v>1413</v>
      </c>
      <c r="P1193" s="63">
        <v>30000</v>
      </c>
      <c r="Q1193" s="2">
        <v>70</v>
      </c>
      <c r="R1193" s="15">
        <f>Q1193/I1193</f>
        <v>0.14000000000000001</v>
      </c>
      <c r="S1193" s="142"/>
      <c r="U1193" s="109" t="s">
        <v>767</v>
      </c>
      <c r="V1193" s="21" t="s">
        <v>1395</v>
      </c>
      <c r="W1193" s="10"/>
      <c r="AE1193" s="2">
        <f>AC1193*AD1193</f>
        <v>0</v>
      </c>
      <c r="AF1193" s="2" t="e">
        <f>Z1193/Y1193</f>
        <v>#DIV/0!</v>
      </c>
      <c r="AG1193" s="2" t="e">
        <f>AA1193/Z1193</f>
        <v>#DIV/0!</v>
      </c>
      <c r="AH1193" s="2" t="e">
        <f>AB1193/AA1193</f>
        <v>#DIV/0!</v>
      </c>
    </row>
    <row r="1194" spans="1:34">
      <c r="A1194" s="165" t="s">
        <v>1383</v>
      </c>
      <c r="B1194" s="39" t="s">
        <v>63</v>
      </c>
      <c r="C1194" s="40">
        <v>46199</v>
      </c>
      <c r="D1194" s="144">
        <v>0.5</v>
      </c>
      <c r="F1194" s="8" t="s">
        <v>135</v>
      </c>
      <c r="G1194" s="2">
        <v>1</v>
      </c>
      <c r="H1194" s="2">
        <v>9</v>
      </c>
      <c r="I1194" s="125">
        <v>130</v>
      </c>
      <c r="J1194" s="2" t="s">
        <v>766</v>
      </c>
      <c r="K1194" s="88" t="s">
        <v>773</v>
      </c>
      <c r="L1194" s="90">
        <v>10000</v>
      </c>
      <c r="M1194" s="8">
        <v>15</v>
      </c>
      <c r="N1194" s="132" t="s">
        <v>821</v>
      </c>
      <c r="O1194" s="39" t="s">
        <v>49</v>
      </c>
      <c r="Q1194" s="19">
        <v>30</v>
      </c>
      <c r="R1194" s="15">
        <f>Q1194/I1194</f>
        <v>0.23076923076923078</v>
      </c>
      <c r="S1194" s="5">
        <v>22</v>
      </c>
      <c r="U1194" s="109" t="s">
        <v>767</v>
      </c>
      <c r="V1194" s="21" t="s">
        <v>362</v>
      </c>
      <c r="W1194" s="194" t="s">
        <v>364</v>
      </c>
      <c r="Y1194" s="175"/>
      <c r="Z1194" s="175"/>
      <c r="AA1194" s="175"/>
      <c r="AB1194" s="175"/>
      <c r="AC1194" s="175"/>
      <c r="AD1194" s="175"/>
      <c r="AE1194" s="175"/>
      <c r="AF1194" s="175"/>
      <c r="AG1194" s="175"/>
      <c r="AH1194" s="175"/>
    </row>
    <row r="1195" spans="1:34">
      <c r="A1195" s="52" t="s">
        <v>229</v>
      </c>
      <c r="B1195" s="52" t="s">
        <v>230</v>
      </c>
      <c r="C1195" s="40">
        <v>46199</v>
      </c>
      <c r="D1195" s="42">
        <v>0.5</v>
      </c>
      <c r="F1195" s="8" t="s">
        <v>255</v>
      </c>
      <c r="G1195" s="2">
        <v>1</v>
      </c>
      <c r="I1195" s="37">
        <v>600</v>
      </c>
      <c r="J1195" s="2" t="s">
        <v>766</v>
      </c>
      <c r="K1195" s="185" t="s">
        <v>601</v>
      </c>
      <c r="L1195" s="90">
        <v>40000</v>
      </c>
      <c r="M1195" s="46" t="s">
        <v>22</v>
      </c>
      <c r="N1195" s="39" t="s">
        <v>48</v>
      </c>
      <c r="O1195" s="39" t="s">
        <v>868</v>
      </c>
      <c r="P1195" s="19">
        <v>50000</v>
      </c>
      <c r="Q1195" s="2">
        <v>85</v>
      </c>
      <c r="R1195" s="15">
        <f>IF(Q1195&gt;0,Q1195/I1195,"")</f>
        <v>0.14166666666666666</v>
      </c>
      <c r="S1195" s="149" t="s">
        <v>110</v>
      </c>
      <c r="T1195" s="149"/>
      <c r="U1195" s="109" t="s">
        <v>767</v>
      </c>
      <c r="V1195" s="205" t="s">
        <v>719</v>
      </c>
      <c r="W1195" s="10"/>
      <c r="AE1195" s="2">
        <f>AC1195*AD1195</f>
        <v>0</v>
      </c>
      <c r="AF1195" s="2" t="e">
        <f>Z1195/Y1195</f>
        <v>#DIV/0!</v>
      </c>
      <c r="AG1195" s="2" t="e">
        <f>AA1195/Z1195</f>
        <v>#DIV/0!</v>
      </c>
      <c r="AH1195" s="2" t="e">
        <f>AB1195/AA1195</f>
        <v>#DIV/0!</v>
      </c>
    </row>
    <row r="1196" spans="1:34">
      <c r="A1196" s="52" t="s">
        <v>220</v>
      </c>
      <c r="B1196" s="52" t="s">
        <v>221</v>
      </c>
      <c r="C1196" s="48">
        <v>46199</v>
      </c>
      <c r="D1196" s="42">
        <v>0.5</v>
      </c>
      <c r="E1196" s="193"/>
      <c r="F1196" s="8" t="s">
        <v>1307</v>
      </c>
      <c r="G1196" s="2">
        <v>3</v>
      </c>
      <c r="H1196" s="2">
        <v>9</v>
      </c>
      <c r="I1196" s="125">
        <v>10400</v>
      </c>
      <c r="J1196" s="2" t="s">
        <v>766</v>
      </c>
      <c r="K1196" s="109" t="s">
        <v>767</v>
      </c>
      <c r="L1196" s="90">
        <v>50000</v>
      </c>
      <c r="M1196" s="64">
        <v>60</v>
      </c>
      <c r="N1196" s="39" t="s">
        <v>48</v>
      </c>
      <c r="O1196" s="39" t="s">
        <v>49</v>
      </c>
      <c r="P1196" s="135" t="s">
        <v>850</v>
      </c>
      <c r="Q1196" s="19">
        <v>600</v>
      </c>
      <c r="R1196" s="15">
        <f>Q1196/I1196</f>
        <v>5.7692307692307696E-2</v>
      </c>
      <c r="S1196" s="5">
        <f>($AC1196*$AD1196)/(($Z1196/$Y1196)+($AA1196/$Z1196)+($AB1196/$AA1196))</f>
        <v>161.993769470405</v>
      </c>
      <c r="U1196" s="109" t="s">
        <v>767</v>
      </c>
      <c r="V1196" s="10" t="s">
        <v>738</v>
      </c>
      <c r="W1196" s="10"/>
      <c r="Y1196" s="2">
        <v>2</v>
      </c>
      <c r="Z1196" s="2">
        <v>5</v>
      </c>
      <c r="AA1196" s="2">
        <v>13</v>
      </c>
      <c r="AB1196" s="2">
        <v>30</v>
      </c>
      <c r="AC1196" s="2">
        <v>20</v>
      </c>
      <c r="AD1196" s="2">
        <v>60</v>
      </c>
      <c r="AE1196" s="2">
        <f>AC1196*AD1196</f>
        <v>1200</v>
      </c>
      <c r="AF1196" s="2">
        <f>Z1196/Y1196</f>
        <v>2.5</v>
      </c>
      <c r="AG1196" s="2">
        <f>AA1196/Z1196</f>
        <v>2.6</v>
      </c>
      <c r="AH1196" s="2">
        <f>AB1196/AA1196</f>
        <v>2.3076923076923075</v>
      </c>
    </row>
    <row r="1197" spans="1:34" s="70" customFormat="1">
      <c r="A1197" s="52" t="s">
        <v>220</v>
      </c>
      <c r="B1197" s="52" t="s">
        <v>221</v>
      </c>
      <c r="C1197" s="48">
        <v>46199</v>
      </c>
      <c r="D1197" s="42">
        <v>0.5</v>
      </c>
      <c r="E1197" s="193"/>
      <c r="F1197" s="8" t="s">
        <v>1053</v>
      </c>
      <c r="G1197" s="2">
        <v>1</v>
      </c>
      <c r="H1197" s="2">
        <v>9</v>
      </c>
      <c r="I1197" s="125">
        <v>1100</v>
      </c>
      <c r="J1197" s="2" t="s">
        <v>766</v>
      </c>
      <c r="K1197" s="88" t="s">
        <v>780</v>
      </c>
      <c r="L1197" s="90">
        <v>30000</v>
      </c>
      <c r="M1197" s="64">
        <v>30</v>
      </c>
      <c r="N1197" s="39" t="s">
        <v>48</v>
      </c>
      <c r="O1197" s="39" t="s">
        <v>49</v>
      </c>
      <c r="P1197" s="135" t="s">
        <v>841</v>
      </c>
      <c r="Q1197" s="19">
        <v>125</v>
      </c>
      <c r="R1197" s="15">
        <f>Q1197/I1197</f>
        <v>0.11363636363636363</v>
      </c>
      <c r="S1197" s="5">
        <f>($AC1197*$AD1197)/(($Z1197/$Y1197)+($AA1197/$Z1197)+($AB1197/$AA1197))</f>
        <v>62.448979591836739</v>
      </c>
      <c r="T1197" s="5"/>
      <c r="U1197" s="109" t="s">
        <v>767</v>
      </c>
      <c r="V1197" s="10" t="s">
        <v>738</v>
      </c>
      <c r="W1197" s="10"/>
      <c r="X1197" s="2"/>
      <c r="Y1197" s="2">
        <v>2</v>
      </c>
      <c r="Z1197" s="2">
        <v>5</v>
      </c>
      <c r="AA1197" s="2">
        <v>15</v>
      </c>
      <c r="AB1197" s="2">
        <v>40</v>
      </c>
      <c r="AC1197" s="2">
        <v>17</v>
      </c>
      <c r="AD1197" s="2">
        <v>30</v>
      </c>
      <c r="AE1197" s="2">
        <f>AC1197*AD1197</f>
        <v>510</v>
      </c>
      <c r="AF1197" s="2">
        <f>Z1197/Y1197</f>
        <v>2.5</v>
      </c>
      <c r="AG1197" s="2">
        <f>AA1197/Z1197</f>
        <v>3</v>
      </c>
      <c r="AH1197" s="2">
        <f>AB1197/AA1197</f>
        <v>2.6666666666666665</v>
      </c>
    </row>
    <row r="1198" spans="1:34" s="70" customFormat="1">
      <c r="A1198" s="52" t="s">
        <v>220</v>
      </c>
      <c r="B1198" s="52" t="s">
        <v>221</v>
      </c>
      <c r="C1198" s="48">
        <v>46199</v>
      </c>
      <c r="D1198" s="42">
        <v>0.5</v>
      </c>
      <c r="E1198" s="31"/>
      <c r="F1198" s="8" t="s">
        <v>1040</v>
      </c>
      <c r="G1198" s="2">
        <v>2</v>
      </c>
      <c r="H1198" s="2">
        <v>6</v>
      </c>
      <c r="I1198" s="125">
        <v>1600</v>
      </c>
      <c r="J1198" s="2" t="s">
        <v>766</v>
      </c>
      <c r="K1198" s="88" t="s">
        <v>793</v>
      </c>
      <c r="L1198" s="90">
        <v>40000</v>
      </c>
      <c r="M1198" s="64" t="s">
        <v>97</v>
      </c>
      <c r="N1198" s="39" t="s">
        <v>48</v>
      </c>
      <c r="O1198" s="39" t="s">
        <v>863</v>
      </c>
      <c r="P1198" s="63">
        <v>100000</v>
      </c>
      <c r="Q1198" s="2">
        <v>170</v>
      </c>
      <c r="R1198" s="15">
        <f>Q1198/I1198</f>
        <v>0.10625</v>
      </c>
      <c r="S1198" s="149" t="s">
        <v>110</v>
      </c>
      <c r="T1198" s="149"/>
      <c r="U1198" s="109" t="s">
        <v>767</v>
      </c>
      <c r="V1198" s="10" t="s">
        <v>738</v>
      </c>
      <c r="W1198" s="10"/>
      <c r="X1198" s="2"/>
      <c r="Y1198" s="2"/>
      <c r="Z1198" s="2"/>
      <c r="AA1198" s="2"/>
      <c r="AB1198" s="2"/>
      <c r="AC1198" s="2"/>
      <c r="AD1198" s="2"/>
      <c r="AE1198" s="2">
        <f>AC1198*AD1198</f>
        <v>0</v>
      </c>
      <c r="AF1198" s="2" t="e">
        <f>Z1198/Y1198</f>
        <v>#DIV/0!</v>
      </c>
      <c r="AG1198" s="2" t="e">
        <f>AA1198/Z1198</f>
        <v>#DIV/0!</v>
      </c>
      <c r="AH1198" s="2" t="e">
        <f>AB1198/AA1198</f>
        <v>#DIV/0!</v>
      </c>
    </row>
    <row r="1199" spans="1:34" s="70" customFormat="1">
      <c r="A1199" s="165" t="s">
        <v>1383</v>
      </c>
      <c r="B1199" s="36" t="s">
        <v>63</v>
      </c>
      <c r="C1199" s="192">
        <v>46199</v>
      </c>
      <c r="D1199" s="144">
        <v>0.54166666666666663</v>
      </c>
      <c r="E1199" s="8">
        <v>69</v>
      </c>
      <c r="F1199" s="8" t="s">
        <v>1139</v>
      </c>
      <c r="G1199" s="2">
        <v>3</v>
      </c>
      <c r="H1199" s="2">
        <v>9</v>
      </c>
      <c r="I1199" s="37">
        <v>1500</v>
      </c>
      <c r="J1199" s="2" t="s">
        <v>110</v>
      </c>
      <c r="K1199" s="109" t="s">
        <v>598</v>
      </c>
      <c r="L1199" s="89">
        <v>25000</v>
      </c>
      <c r="M1199" s="202" t="s">
        <v>97</v>
      </c>
      <c r="N1199" s="39" t="s">
        <v>48</v>
      </c>
      <c r="O1199" s="39" t="s">
        <v>376</v>
      </c>
      <c r="P1199" s="19"/>
      <c r="Q1199" s="38">
        <f>R1199*I1199</f>
        <v>172.5</v>
      </c>
      <c r="R1199" s="15">
        <v>0.115</v>
      </c>
      <c r="S1199" s="149" t="s">
        <v>110</v>
      </c>
      <c r="T1199" s="149"/>
      <c r="U1199" s="109" t="s">
        <v>767</v>
      </c>
      <c r="V1199" s="10" t="s">
        <v>121</v>
      </c>
      <c r="W1199" s="10"/>
      <c r="X1199" s="2"/>
      <c r="Y1199" s="2"/>
      <c r="Z1199" s="2"/>
      <c r="AA1199" s="2"/>
      <c r="AB1199" s="2"/>
      <c r="AC1199" s="2"/>
      <c r="AD1199" s="2"/>
      <c r="AE1199" s="2" t="e">
        <f>AD1199*#REF!</f>
        <v>#REF!</v>
      </c>
      <c r="AF1199" s="2" t="e">
        <f>Z1199/Y1199</f>
        <v>#DIV/0!</v>
      </c>
      <c r="AG1199" s="2" t="e">
        <f>AA1199/Z1199</f>
        <v>#DIV/0!</v>
      </c>
      <c r="AH1199" s="2" t="e">
        <f>AC1199/AA1199</f>
        <v>#DIV/0!</v>
      </c>
    </row>
    <row r="1200" spans="1:34" s="70" customFormat="1">
      <c r="A1200" s="165" t="s">
        <v>1383</v>
      </c>
      <c r="B1200" s="39" t="s">
        <v>63</v>
      </c>
      <c r="C1200" s="192">
        <v>46199</v>
      </c>
      <c r="D1200" s="144">
        <v>0.54166666666666663</v>
      </c>
      <c r="E1200" s="8"/>
      <c r="F1200" s="8" t="s">
        <v>881</v>
      </c>
      <c r="G1200" s="2">
        <v>1</v>
      </c>
      <c r="H1200" s="2">
        <v>9</v>
      </c>
      <c r="I1200" s="37">
        <v>250</v>
      </c>
      <c r="J1200" s="2" t="s">
        <v>766</v>
      </c>
      <c r="K1200" s="88" t="s">
        <v>787</v>
      </c>
      <c r="L1200" s="89">
        <v>25000</v>
      </c>
      <c r="M1200" s="205">
        <v>30</v>
      </c>
      <c r="N1200" s="39" t="s">
        <v>817</v>
      </c>
      <c r="O1200" s="39" t="s">
        <v>49</v>
      </c>
      <c r="P1200" s="210"/>
      <c r="Q1200" s="19">
        <v>50</v>
      </c>
      <c r="R1200" s="15">
        <f>Q1200/I1200</f>
        <v>0.2</v>
      </c>
      <c r="S1200" s="5">
        <v>44</v>
      </c>
      <c r="T1200" s="5"/>
      <c r="U1200" s="109" t="s">
        <v>767</v>
      </c>
      <c r="V1200" s="21" t="s">
        <v>360</v>
      </c>
      <c r="W1200" s="10"/>
      <c r="X1200" s="2"/>
      <c r="Y1200" s="175"/>
      <c r="Z1200" s="175"/>
      <c r="AA1200" s="175"/>
      <c r="AB1200" s="175"/>
      <c r="AC1200" s="175"/>
      <c r="AD1200" s="175"/>
      <c r="AE1200" s="175"/>
      <c r="AF1200" s="175"/>
      <c r="AG1200" s="175"/>
      <c r="AH1200" s="175"/>
    </row>
    <row r="1201" spans="1:34" s="70" customFormat="1">
      <c r="A1201" s="52" t="s">
        <v>220</v>
      </c>
      <c r="B1201" s="52" t="s">
        <v>221</v>
      </c>
      <c r="C1201" s="48">
        <v>46199</v>
      </c>
      <c r="D1201" s="42">
        <v>0.54166666666666663</v>
      </c>
      <c r="E1201" s="193"/>
      <c r="F1201" s="8" t="s">
        <v>1322</v>
      </c>
      <c r="G1201" s="2">
        <v>2</v>
      </c>
      <c r="H1201" s="2">
        <v>8</v>
      </c>
      <c r="I1201" s="125">
        <v>25800</v>
      </c>
      <c r="J1201" s="2" t="s">
        <v>766</v>
      </c>
      <c r="K1201" s="109" t="s">
        <v>767</v>
      </c>
      <c r="L1201" s="90">
        <v>200000</v>
      </c>
      <c r="M1201" s="64" t="s">
        <v>97</v>
      </c>
      <c r="N1201" s="39" t="s">
        <v>48</v>
      </c>
      <c r="O1201" s="39" t="s">
        <v>49</v>
      </c>
      <c r="P1201" s="131"/>
      <c r="Q1201" s="19">
        <v>800</v>
      </c>
      <c r="R1201" s="15">
        <f>Q1201/I1201</f>
        <v>3.1007751937984496E-2</v>
      </c>
      <c r="S1201" s="5">
        <f>($AC1201*$AD1201)/(($Z1201/$Y1201)+($AA1201/$Z1201)+($AB1201/$AA1201))</f>
        <v>102.59605399792316</v>
      </c>
      <c r="T1201" s="5"/>
      <c r="U1201" s="109" t="s">
        <v>767</v>
      </c>
      <c r="V1201" s="10" t="s">
        <v>738</v>
      </c>
      <c r="W1201" s="10"/>
      <c r="X1201" s="2"/>
      <c r="Y1201" s="2">
        <v>10</v>
      </c>
      <c r="Z1201" s="2">
        <v>25</v>
      </c>
      <c r="AA1201" s="2">
        <v>65</v>
      </c>
      <c r="AB1201" s="2">
        <v>150</v>
      </c>
      <c r="AC1201" s="2">
        <v>19</v>
      </c>
      <c r="AD1201" s="2">
        <v>40</v>
      </c>
      <c r="AE1201" s="2">
        <f>AC1201*AD1201</f>
        <v>760</v>
      </c>
      <c r="AF1201" s="2">
        <f>Z1201/Y1201</f>
        <v>2.5</v>
      </c>
      <c r="AG1201" s="2">
        <f>AA1201/Z1201</f>
        <v>2.6</v>
      </c>
      <c r="AH1201" s="2">
        <f>AB1201/AA1201</f>
        <v>2.3076923076923075</v>
      </c>
    </row>
    <row r="1202" spans="1:34" s="70" customFormat="1">
      <c r="A1202" s="96" t="s">
        <v>461</v>
      </c>
      <c r="B1202" s="96" t="s">
        <v>462</v>
      </c>
      <c r="C1202" s="192">
        <v>46199</v>
      </c>
      <c r="D1202" s="42">
        <v>0.59027777777777779</v>
      </c>
      <c r="E1202" s="193"/>
      <c r="F1202" s="8" t="s">
        <v>459</v>
      </c>
      <c r="G1202" s="2">
        <v>1</v>
      </c>
      <c r="H1202" s="2"/>
      <c r="I1202" s="125">
        <v>120</v>
      </c>
      <c r="J1202" s="2" t="s">
        <v>766</v>
      </c>
      <c r="K1202" s="109" t="s">
        <v>602</v>
      </c>
      <c r="L1202" s="8">
        <v>20000</v>
      </c>
      <c r="M1202" s="202">
        <v>20</v>
      </c>
      <c r="N1202" s="39" t="s">
        <v>48</v>
      </c>
      <c r="O1202" s="39" t="s">
        <v>465</v>
      </c>
      <c r="P1202" s="63">
        <v>6000</v>
      </c>
      <c r="Q1202" s="2">
        <v>24</v>
      </c>
      <c r="R1202" s="15">
        <f>Q1202/I1202</f>
        <v>0.2</v>
      </c>
      <c r="S1202" s="149" t="s">
        <v>110</v>
      </c>
      <c r="T1202" s="149"/>
      <c r="U1202" s="109" t="s">
        <v>767</v>
      </c>
      <c r="V1202" s="10" t="s">
        <v>735</v>
      </c>
      <c r="W1202" s="10"/>
      <c r="X1202" s="2"/>
      <c r="Y1202" s="2"/>
      <c r="Z1202" s="2"/>
      <c r="AA1202" s="2"/>
      <c r="AB1202" s="2"/>
      <c r="AC1202" s="2"/>
      <c r="AD1202" s="2"/>
      <c r="AE1202" s="2">
        <f>AC1202*AD1202</f>
        <v>0</v>
      </c>
      <c r="AF1202" s="2" t="e">
        <f>Z1202/Y1202</f>
        <v>#DIV/0!</v>
      </c>
      <c r="AG1202" s="2" t="e">
        <f>AA1202/Z1202</f>
        <v>#DIV/0!</v>
      </c>
      <c r="AH1202" s="2" t="e">
        <f>AB1202/AA1202</f>
        <v>#DIV/0!</v>
      </c>
    </row>
    <row r="1203" spans="1:34" s="70" customFormat="1">
      <c r="A1203" s="165" t="s">
        <v>1383</v>
      </c>
      <c r="B1203" s="39" t="s">
        <v>63</v>
      </c>
      <c r="C1203" s="192">
        <v>46199</v>
      </c>
      <c r="D1203" s="144">
        <v>0.625</v>
      </c>
      <c r="E1203" s="31"/>
      <c r="F1203" s="8" t="s">
        <v>912</v>
      </c>
      <c r="G1203" s="2">
        <v>1</v>
      </c>
      <c r="H1203" s="2">
        <v>9</v>
      </c>
      <c r="I1203" s="37">
        <v>240</v>
      </c>
      <c r="J1203" s="2" t="s">
        <v>766</v>
      </c>
      <c r="K1203" s="88" t="s">
        <v>784</v>
      </c>
      <c r="L1203" s="89">
        <v>10000</v>
      </c>
      <c r="M1203" s="202">
        <v>20</v>
      </c>
      <c r="N1203" s="132" t="s">
        <v>821</v>
      </c>
      <c r="O1203" s="39" t="s">
        <v>49</v>
      </c>
      <c r="P1203" s="129"/>
      <c r="Q1203" s="19">
        <v>40</v>
      </c>
      <c r="R1203" s="15">
        <v>0.16666666666666666</v>
      </c>
      <c r="S1203" s="5">
        <v>29</v>
      </c>
      <c r="T1203" s="5"/>
      <c r="U1203" s="109" t="s">
        <v>767</v>
      </c>
      <c r="V1203" s="21" t="s">
        <v>362</v>
      </c>
      <c r="W1203" s="194" t="s">
        <v>367</v>
      </c>
      <c r="X1203" s="2"/>
      <c r="Y1203" s="175"/>
      <c r="Z1203" s="175"/>
      <c r="AA1203" s="175"/>
      <c r="AB1203" s="175"/>
      <c r="AC1203" s="175"/>
      <c r="AD1203" s="175"/>
      <c r="AE1203" s="175"/>
      <c r="AF1203" s="175"/>
      <c r="AG1203" s="175"/>
      <c r="AH1203" s="175"/>
    </row>
    <row r="1204" spans="1:34" s="70" customFormat="1">
      <c r="A1204" s="165" t="s">
        <v>1383</v>
      </c>
      <c r="B1204" s="39" t="s">
        <v>63</v>
      </c>
      <c r="C1204" s="40">
        <v>46199</v>
      </c>
      <c r="D1204" s="144">
        <v>0.66666666666666663</v>
      </c>
      <c r="E1204" s="31"/>
      <c r="F1204" s="8" t="s">
        <v>366</v>
      </c>
      <c r="G1204" s="2">
        <v>1</v>
      </c>
      <c r="H1204" s="2">
        <v>9</v>
      </c>
      <c r="I1204" s="125">
        <v>240</v>
      </c>
      <c r="J1204" s="2" t="s">
        <v>766</v>
      </c>
      <c r="K1204" s="88" t="s">
        <v>790</v>
      </c>
      <c r="L1204" s="90">
        <v>10000</v>
      </c>
      <c r="M1204" s="8">
        <v>20</v>
      </c>
      <c r="N1204" s="132" t="s">
        <v>821</v>
      </c>
      <c r="O1204" s="39" t="s">
        <v>49</v>
      </c>
      <c r="P1204" s="129"/>
      <c r="Q1204" s="19">
        <v>40</v>
      </c>
      <c r="R1204" s="15">
        <f>Q1204/I1204</f>
        <v>0.16666666666666666</v>
      </c>
      <c r="S1204" s="5">
        <v>29</v>
      </c>
      <c r="T1204" s="5"/>
      <c r="U1204" s="109" t="s">
        <v>767</v>
      </c>
      <c r="V1204" s="21" t="s">
        <v>362</v>
      </c>
      <c r="W1204" s="194" t="s">
        <v>365</v>
      </c>
      <c r="X1204" s="2"/>
      <c r="Y1204" s="175"/>
      <c r="Z1204" s="175"/>
      <c r="AA1204" s="175"/>
      <c r="AB1204" s="175"/>
      <c r="AC1204" s="175"/>
      <c r="AD1204" s="175"/>
      <c r="AE1204" s="175"/>
      <c r="AF1204" s="175"/>
      <c r="AG1204" s="175"/>
      <c r="AH1204" s="175"/>
    </row>
    <row r="1205" spans="1:34" s="70" customFormat="1">
      <c r="A1205" s="165" t="s">
        <v>1383</v>
      </c>
      <c r="B1205" s="39" t="s">
        <v>63</v>
      </c>
      <c r="C1205" s="192">
        <v>46199</v>
      </c>
      <c r="D1205" s="144">
        <v>0.66666666666666663</v>
      </c>
      <c r="E1205" s="8"/>
      <c r="F1205" s="8" t="s">
        <v>1024</v>
      </c>
      <c r="G1205" s="2">
        <v>1</v>
      </c>
      <c r="H1205" s="2">
        <v>9</v>
      </c>
      <c r="I1205" s="45">
        <v>400</v>
      </c>
      <c r="J1205" s="2" t="s">
        <v>766</v>
      </c>
      <c r="K1205" s="88" t="s">
        <v>794</v>
      </c>
      <c r="L1205" s="89">
        <v>30000</v>
      </c>
      <c r="M1205" s="205">
        <v>20</v>
      </c>
      <c r="N1205" s="39" t="s">
        <v>817</v>
      </c>
      <c r="O1205" s="39" t="s">
        <v>49</v>
      </c>
      <c r="P1205" s="129"/>
      <c r="Q1205" s="19">
        <v>70</v>
      </c>
      <c r="R1205" s="15">
        <f>Q1205/I1205</f>
        <v>0.17499999999999999</v>
      </c>
      <c r="S1205" s="5">
        <v>37</v>
      </c>
      <c r="T1205" s="5"/>
      <c r="U1205" s="109" t="s">
        <v>129</v>
      </c>
      <c r="V1205" s="71" t="s">
        <v>360</v>
      </c>
      <c r="W1205" s="2"/>
      <c r="X1205" s="2"/>
      <c r="Y1205" s="175"/>
      <c r="Z1205" s="175"/>
      <c r="AA1205" s="175"/>
      <c r="AB1205" s="175"/>
      <c r="AC1205" s="175"/>
      <c r="AD1205" s="175"/>
      <c r="AE1205" s="175"/>
      <c r="AF1205" s="175"/>
      <c r="AG1205" s="175"/>
      <c r="AH1205" s="175"/>
    </row>
    <row r="1206" spans="1:34" s="70" customFormat="1">
      <c r="A1206" s="68" t="s">
        <v>357</v>
      </c>
      <c r="B1206" s="68" t="s">
        <v>358</v>
      </c>
      <c r="C1206" s="48">
        <v>46199</v>
      </c>
      <c r="D1206" s="42">
        <v>0.67361111111111116</v>
      </c>
      <c r="E1206" s="8">
        <v>68</v>
      </c>
      <c r="F1206" s="63" t="s">
        <v>323</v>
      </c>
      <c r="G1206" s="2">
        <v>2</v>
      </c>
      <c r="H1206" s="2">
        <v>9</v>
      </c>
      <c r="I1206" s="125">
        <v>1100</v>
      </c>
      <c r="J1206" s="2" t="s">
        <v>766</v>
      </c>
      <c r="K1206" s="137" t="s">
        <v>603</v>
      </c>
      <c r="L1206" s="89">
        <v>40000</v>
      </c>
      <c r="M1206" s="54">
        <v>30</v>
      </c>
      <c r="N1206" s="39" t="s">
        <v>48</v>
      </c>
      <c r="O1206" s="39" t="s">
        <v>49</v>
      </c>
      <c r="P1206" s="135" t="s">
        <v>843</v>
      </c>
      <c r="Q1206" s="19">
        <v>140</v>
      </c>
      <c r="R1206" s="15">
        <f>Q1206/I1206</f>
        <v>0.12727272727272726</v>
      </c>
      <c r="S1206" s="5">
        <f>($AC1206*$AD1206)/(($Z1206/$Y1206)+($AA1206/$Z1206)+($AB1206/$AA1206))</f>
        <v>76.947040498442377</v>
      </c>
      <c r="T1206" s="5"/>
      <c r="U1206" s="109" t="s">
        <v>767</v>
      </c>
      <c r="V1206" s="21" t="s">
        <v>1415</v>
      </c>
      <c r="W1206" s="10"/>
      <c r="X1206" s="2"/>
      <c r="Y1206" s="2">
        <v>2</v>
      </c>
      <c r="Z1206" s="2">
        <v>5</v>
      </c>
      <c r="AA1206" s="2">
        <v>13</v>
      </c>
      <c r="AB1206" s="2">
        <v>30</v>
      </c>
      <c r="AC1206" s="2">
        <v>30</v>
      </c>
      <c r="AD1206" s="2">
        <v>19</v>
      </c>
      <c r="AE1206" s="2">
        <f>AC1206*AD1206</f>
        <v>570</v>
      </c>
      <c r="AF1206" s="2">
        <f>Z1206/Y1206</f>
        <v>2.5</v>
      </c>
      <c r="AG1206" s="2">
        <f>AA1206/Z1206</f>
        <v>2.6</v>
      </c>
      <c r="AH1206" s="2">
        <f>AB1206/AA1206</f>
        <v>2.3076923076923075</v>
      </c>
    </row>
    <row r="1207" spans="1:34" s="70" customFormat="1">
      <c r="A1207" s="103" t="s">
        <v>539</v>
      </c>
      <c r="B1207" s="103" t="s">
        <v>540</v>
      </c>
      <c r="C1207" s="48">
        <v>46199</v>
      </c>
      <c r="D1207" s="42">
        <v>0.70833333333333337</v>
      </c>
      <c r="E1207" s="8">
        <v>83</v>
      </c>
      <c r="F1207" s="63" t="s">
        <v>542</v>
      </c>
      <c r="G1207" s="2">
        <v>1</v>
      </c>
      <c r="H1207" s="2">
        <v>9</v>
      </c>
      <c r="I1207" s="180">
        <v>170</v>
      </c>
      <c r="J1207" s="179" t="s">
        <v>766</v>
      </c>
      <c r="K1207" s="179" t="s">
        <v>598</v>
      </c>
      <c r="L1207" s="112">
        <v>30000</v>
      </c>
      <c r="M1207" s="54">
        <v>20</v>
      </c>
      <c r="N1207" s="39" t="s">
        <v>48</v>
      </c>
      <c r="O1207" s="39" t="s">
        <v>49</v>
      </c>
      <c r="P1207" s="135" t="s">
        <v>830</v>
      </c>
      <c r="Q1207" s="19">
        <v>49</v>
      </c>
      <c r="R1207" s="59">
        <f>Q1207/I1207</f>
        <v>0.28823529411764703</v>
      </c>
      <c r="S1207" s="5">
        <f>($AC1207*$AD1207)/(($Z1207/$Y1207)+($AA1207/$Z1207)+($AB1207/$AA1207))</f>
        <v>26.046511627906977</v>
      </c>
      <c r="T1207" s="5"/>
      <c r="U1207" s="109" t="s">
        <v>767</v>
      </c>
      <c r="V1207" s="21" t="s">
        <v>1395</v>
      </c>
      <c r="W1207" s="182" t="s">
        <v>1389</v>
      </c>
      <c r="X1207" s="2"/>
      <c r="Y1207" s="2">
        <v>4</v>
      </c>
      <c r="Z1207" s="2">
        <v>8</v>
      </c>
      <c r="AA1207" s="2">
        <v>30</v>
      </c>
      <c r="AB1207" s="2">
        <v>150</v>
      </c>
      <c r="AC1207" s="2">
        <v>14</v>
      </c>
      <c r="AD1207" s="2">
        <v>20</v>
      </c>
      <c r="AE1207" s="2">
        <f>AC1207*AD1207</f>
        <v>280</v>
      </c>
      <c r="AF1207" s="2">
        <f>Z1207/Y1207</f>
        <v>2</v>
      </c>
      <c r="AG1207" s="2">
        <f>AA1207/Z1207</f>
        <v>3.75</v>
      </c>
      <c r="AH1207" s="2">
        <f>AB1207/AA1207</f>
        <v>5</v>
      </c>
    </row>
    <row r="1208" spans="1:34" s="70" customFormat="1">
      <c r="A1208" s="102" t="s">
        <v>475</v>
      </c>
      <c r="B1208" s="102" t="s">
        <v>476</v>
      </c>
      <c r="C1208" s="40">
        <v>46199</v>
      </c>
      <c r="D1208" s="42">
        <v>0.75</v>
      </c>
      <c r="E1208" s="8">
        <v>30</v>
      </c>
      <c r="F1208" s="8" t="s">
        <v>497</v>
      </c>
      <c r="G1208" s="2">
        <v>1</v>
      </c>
      <c r="H1208" s="2">
        <v>8</v>
      </c>
      <c r="I1208" s="125">
        <v>250</v>
      </c>
      <c r="J1208" s="2" t="s">
        <v>766</v>
      </c>
      <c r="K1208" s="109" t="s">
        <v>602</v>
      </c>
      <c r="L1208" s="105">
        <v>25000</v>
      </c>
      <c r="M1208" s="64">
        <v>30</v>
      </c>
      <c r="N1208" s="39" t="s">
        <v>48</v>
      </c>
      <c r="O1208" s="39" t="s">
        <v>373</v>
      </c>
      <c r="P1208" s="63">
        <v>10000</v>
      </c>
      <c r="Q1208" s="2">
        <v>45</v>
      </c>
      <c r="R1208" s="15">
        <f>Q1208/I1208</f>
        <v>0.18</v>
      </c>
      <c r="S1208" s="149" t="s">
        <v>110</v>
      </c>
      <c r="T1208" s="149"/>
      <c r="U1208" s="109" t="s">
        <v>767</v>
      </c>
      <c r="V1208" s="10" t="s">
        <v>627</v>
      </c>
      <c r="W1208" s="10"/>
      <c r="X1208" s="2"/>
      <c r="Y1208" s="2"/>
      <c r="Z1208" s="2"/>
      <c r="AA1208" s="2"/>
      <c r="AB1208" s="2"/>
      <c r="AC1208" s="2"/>
      <c r="AD1208" s="2"/>
      <c r="AE1208" s="2">
        <f>AC1208*AD1208</f>
        <v>0</v>
      </c>
      <c r="AF1208" s="2" t="e">
        <f>Z1208/Y1208</f>
        <v>#DIV/0!</v>
      </c>
      <c r="AG1208" s="2" t="e">
        <f>AA1208/Z1208</f>
        <v>#DIV/0!</v>
      </c>
      <c r="AH1208" s="2" t="e">
        <f>AB1208/AA1208</f>
        <v>#DIV/0!</v>
      </c>
    </row>
    <row r="1209" spans="1:34" s="70" customFormat="1">
      <c r="A1209" s="52" t="s">
        <v>229</v>
      </c>
      <c r="B1209" s="52" t="s">
        <v>230</v>
      </c>
      <c r="C1209" s="40">
        <v>46199</v>
      </c>
      <c r="D1209" s="42">
        <v>0.75</v>
      </c>
      <c r="E1209" s="193"/>
      <c r="F1209" s="8" t="s">
        <v>243</v>
      </c>
      <c r="G1209" s="2">
        <v>1</v>
      </c>
      <c r="H1209" s="2"/>
      <c r="I1209" s="125">
        <v>200</v>
      </c>
      <c r="J1209" s="2" t="s">
        <v>766</v>
      </c>
      <c r="K1209" s="88" t="s">
        <v>809</v>
      </c>
      <c r="L1209" s="90">
        <v>30000</v>
      </c>
      <c r="M1209" s="46" t="s">
        <v>128</v>
      </c>
      <c r="N1209" s="39" t="s">
        <v>48</v>
      </c>
      <c r="O1209" s="39" t="s">
        <v>49</v>
      </c>
      <c r="P1209" s="134" t="s">
        <v>835</v>
      </c>
      <c r="Q1209" s="19">
        <v>40</v>
      </c>
      <c r="R1209" s="15">
        <f>IF(Q1209&gt;0,Q1209/I1209,"")</f>
        <v>0.2</v>
      </c>
      <c r="S1209" s="5">
        <f>($AC1209*$AD1209)/(($Z1209/$Y1209)+($AA1209/$Z1209)+($AB1209/$AA1209))</f>
        <v>48.598130841121502</v>
      </c>
      <c r="T1209" s="5"/>
      <c r="U1209" s="109" t="s">
        <v>767</v>
      </c>
      <c r="V1209" s="10" t="s">
        <v>719</v>
      </c>
      <c r="W1209" s="10"/>
      <c r="X1209" s="2"/>
      <c r="Y1209" s="2">
        <v>2</v>
      </c>
      <c r="Z1209" s="2">
        <v>5</v>
      </c>
      <c r="AA1209" s="2">
        <v>13</v>
      </c>
      <c r="AB1209" s="2">
        <v>30</v>
      </c>
      <c r="AC1209" s="2">
        <v>18</v>
      </c>
      <c r="AD1209" s="2">
        <v>20</v>
      </c>
      <c r="AE1209" s="2">
        <f>AC1209*AD1209</f>
        <v>360</v>
      </c>
      <c r="AF1209" s="2">
        <f>Z1209/Y1209</f>
        <v>2.5</v>
      </c>
      <c r="AG1209" s="2">
        <f>AA1209/Z1209</f>
        <v>2.6</v>
      </c>
      <c r="AH1209" s="2">
        <f>AB1209/AA1209</f>
        <v>2.3076923076923075</v>
      </c>
    </row>
    <row r="1210" spans="1:34">
      <c r="A1210" s="52" t="s">
        <v>220</v>
      </c>
      <c r="B1210" s="52" t="s">
        <v>221</v>
      </c>
      <c r="C1210" s="48">
        <v>46199</v>
      </c>
      <c r="D1210" s="42">
        <v>0.75</v>
      </c>
      <c r="E1210" s="193"/>
      <c r="F1210" s="8" t="s">
        <v>1073</v>
      </c>
      <c r="G1210" s="2">
        <v>1</v>
      </c>
      <c r="H1210" s="2">
        <v>9</v>
      </c>
      <c r="I1210" s="125">
        <v>1100</v>
      </c>
      <c r="J1210" s="2" t="s">
        <v>766</v>
      </c>
      <c r="K1210" s="88" t="s">
        <v>799</v>
      </c>
      <c r="L1210" s="90">
        <v>30000</v>
      </c>
      <c r="M1210" s="64">
        <v>20</v>
      </c>
      <c r="N1210" s="39" t="s">
        <v>48</v>
      </c>
      <c r="O1210" s="39" t="s">
        <v>49</v>
      </c>
      <c r="P1210" s="212" t="s">
        <v>838</v>
      </c>
      <c r="Q1210" s="19">
        <v>125</v>
      </c>
      <c r="R1210" s="15">
        <f>Q1210/I1210</f>
        <v>0.11363636363636363</v>
      </c>
      <c r="S1210" s="5">
        <f>($AC1210*$AD1210)/(($Z1210/$Y1210)+($AA1210/$Z1210)+($AB1210/$AA1210))</f>
        <v>41.632653061224495</v>
      </c>
      <c r="U1210" s="109" t="s">
        <v>129</v>
      </c>
      <c r="V1210" s="10" t="s">
        <v>738</v>
      </c>
      <c r="W1210" s="10"/>
      <c r="Y1210" s="2">
        <v>2</v>
      </c>
      <c r="Z1210" s="2">
        <v>5</v>
      </c>
      <c r="AA1210" s="2">
        <v>15</v>
      </c>
      <c r="AB1210" s="2">
        <v>40</v>
      </c>
      <c r="AC1210" s="2">
        <v>17</v>
      </c>
      <c r="AD1210" s="115">
        <v>20</v>
      </c>
      <c r="AE1210" s="2">
        <f>AC1210*AD1210</f>
        <v>340</v>
      </c>
      <c r="AF1210" s="2">
        <f>Z1210/Y1210</f>
        <v>2.5</v>
      </c>
      <c r="AG1210" s="2">
        <f>AA1210/Z1210</f>
        <v>3</v>
      </c>
      <c r="AH1210" s="2">
        <f>AB1210/AA1210</f>
        <v>2.6666666666666665</v>
      </c>
    </row>
    <row r="1211" spans="1:34" s="70" customFormat="1">
      <c r="A1211" s="96" t="s">
        <v>461</v>
      </c>
      <c r="B1211" s="96" t="s">
        <v>462</v>
      </c>
      <c r="C1211" s="192">
        <v>46199</v>
      </c>
      <c r="D1211" s="42">
        <v>0.75694444444444442</v>
      </c>
      <c r="E1211" s="31"/>
      <c r="F1211" s="8" t="s">
        <v>458</v>
      </c>
      <c r="G1211" s="2">
        <v>1</v>
      </c>
      <c r="H1211" s="2"/>
      <c r="I1211" s="125">
        <v>200</v>
      </c>
      <c r="J1211" s="2" t="s">
        <v>766</v>
      </c>
      <c r="K1211" s="109" t="s">
        <v>602</v>
      </c>
      <c r="L1211" s="8">
        <v>30000</v>
      </c>
      <c r="M1211" s="202">
        <v>20</v>
      </c>
      <c r="N1211" s="39" t="s">
        <v>48</v>
      </c>
      <c r="O1211" s="39" t="s">
        <v>49</v>
      </c>
      <c r="P1211" s="212" t="s">
        <v>833</v>
      </c>
      <c r="Q1211" s="19">
        <v>40</v>
      </c>
      <c r="R1211" s="15">
        <f>Q1211/I1211</f>
        <v>0.2</v>
      </c>
      <c r="S1211" s="5">
        <f>($AC1211*$AD1211)/(($Z1211/$Y1211)+($AA1211/$Z1211)+($AB1211/$AA1211))</f>
        <v>41.632653061224495</v>
      </c>
      <c r="T1211" s="5"/>
      <c r="U1211" s="109" t="s">
        <v>767</v>
      </c>
      <c r="V1211" s="10" t="s">
        <v>735</v>
      </c>
      <c r="W1211" s="10"/>
      <c r="X1211" s="2"/>
      <c r="Y1211" s="2">
        <v>2</v>
      </c>
      <c r="Z1211" s="2">
        <v>5</v>
      </c>
      <c r="AA1211" s="2">
        <v>15</v>
      </c>
      <c r="AB1211" s="2">
        <v>40</v>
      </c>
      <c r="AC1211" s="2">
        <v>17</v>
      </c>
      <c r="AD1211" s="2">
        <v>20</v>
      </c>
      <c r="AE1211" s="2">
        <f>AC1211*AD1211</f>
        <v>340</v>
      </c>
      <c r="AF1211" s="2">
        <f>Z1211/Y1211</f>
        <v>2.5</v>
      </c>
      <c r="AG1211" s="2">
        <f>AA1211/Z1211</f>
        <v>3</v>
      </c>
      <c r="AH1211" s="2">
        <f>AB1211/AA1211</f>
        <v>2.6666666666666665</v>
      </c>
    </row>
    <row r="1212" spans="1:34" s="70" customFormat="1">
      <c r="A1212" s="96" t="s">
        <v>461</v>
      </c>
      <c r="B1212" s="119" t="s">
        <v>755</v>
      </c>
      <c r="C1212" s="192">
        <v>46199</v>
      </c>
      <c r="D1212" s="42">
        <v>0.75694444444444442</v>
      </c>
      <c r="E1212" s="193"/>
      <c r="F1212" s="8" t="s">
        <v>757</v>
      </c>
      <c r="G1212" s="2">
        <v>2</v>
      </c>
      <c r="H1212" s="2"/>
      <c r="I1212" s="37">
        <v>360</v>
      </c>
      <c r="J1212" s="2" t="s">
        <v>766</v>
      </c>
      <c r="K1212" s="109" t="s">
        <v>767</v>
      </c>
      <c r="L1212" s="89"/>
      <c r="M1212" s="202"/>
      <c r="N1212" s="39" t="s">
        <v>48</v>
      </c>
      <c r="O1212" s="39" t="s">
        <v>49</v>
      </c>
      <c r="P1212" s="236" t="s">
        <v>837</v>
      </c>
      <c r="Q1212" s="19"/>
      <c r="R1212" s="15"/>
      <c r="S1212" s="120"/>
      <c r="T1212" s="120"/>
      <c r="U1212" s="109" t="s">
        <v>125</v>
      </c>
      <c r="V1212" s="10"/>
      <c r="W1212" s="10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1:34" s="70" customFormat="1">
      <c r="A1213" s="95" t="s">
        <v>447</v>
      </c>
      <c r="B1213" s="95" t="s">
        <v>448</v>
      </c>
      <c r="C1213" s="40">
        <v>46199</v>
      </c>
      <c r="D1213" s="42">
        <v>0.79166666666666663</v>
      </c>
      <c r="E1213" s="193"/>
      <c r="F1213" s="8" t="s">
        <v>403</v>
      </c>
      <c r="G1213" s="2">
        <v>1</v>
      </c>
      <c r="H1213" s="2">
        <v>9</v>
      </c>
      <c r="I1213" s="125">
        <v>300</v>
      </c>
      <c r="J1213" s="2" t="s">
        <v>766</v>
      </c>
      <c r="K1213" s="109" t="s">
        <v>602</v>
      </c>
      <c r="L1213" s="8">
        <v>25000</v>
      </c>
      <c r="M1213" s="8">
        <v>25</v>
      </c>
      <c r="N1213" s="39" t="s">
        <v>48</v>
      </c>
      <c r="O1213" s="39" t="s">
        <v>49</v>
      </c>
      <c r="P1213" s="134" t="s">
        <v>834</v>
      </c>
      <c r="Q1213" s="19">
        <v>50</v>
      </c>
      <c r="R1213" s="15">
        <f>Q1213/I1213</f>
        <v>0.16666666666666666</v>
      </c>
      <c r="S1213" s="5">
        <f>($AC1213*$AD1213)/(($Z1213/$Y1213)+($AA1213/$Z1213)+($AB1213/$AA1213))</f>
        <v>37.5</v>
      </c>
      <c r="T1213" s="5"/>
      <c r="U1213" s="109" t="s">
        <v>767</v>
      </c>
      <c r="V1213" s="10" t="s">
        <v>741</v>
      </c>
      <c r="W1213" s="10"/>
      <c r="X1213" s="2"/>
      <c r="Y1213" s="2">
        <v>2.5</v>
      </c>
      <c r="Z1213" s="2">
        <v>7.5</v>
      </c>
      <c r="AA1213" s="2">
        <v>25</v>
      </c>
      <c r="AB1213" s="2">
        <v>75</v>
      </c>
      <c r="AC1213" s="2">
        <v>14</v>
      </c>
      <c r="AD1213" s="2">
        <v>25</v>
      </c>
      <c r="AE1213" s="2">
        <f>AC1213*AD1213</f>
        <v>350</v>
      </c>
      <c r="AF1213" s="2">
        <f>Z1213/Y1213</f>
        <v>3</v>
      </c>
      <c r="AG1213" s="2">
        <f>AA1213/Z1213</f>
        <v>3.3333333333333335</v>
      </c>
      <c r="AH1213" s="2">
        <f>AB1213/AA1213</f>
        <v>3</v>
      </c>
    </row>
    <row r="1214" spans="1:34" s="70" customFormat="1">
      <c r="A1214" s="165" t="s">
        <v>1383</v>
      </c>
      <c r="B1214" s="39" t="s">
        <v>63</v>
      </c>
      <c r="C1214" s="192">
        <v>46199</v>
      </c>
      <c r="D1214" s="144">
        <v>0.79166666666666663</v>
      </c>
      <c r="E1214" s="31"/>
      <c r="F1214" s="8" t="s">
        <v>915</v>
      </c>
      <c r="G1214" s="2">
        <v>1</v>
      </c>
      <c r="H1214" s="2">
        <v>6</v>
      </c>
      <c r="I1214" s="57">
        <v>585</v>
      </c>
      <c r="J1214" s="2" t="s">
        <v>766</v>
      </c>
      <c r="K1214" s="88" t="s">
        <v>800</v>
      </c>
      <c r="L1214" s="89">
        <v>10000</v>
      </c>
      <c r="M1214" s="202">
        <v>20</v>
      </c>
      <c r="N1214" s="132" t="s">
        <v>821</v>
      </c>
      <c r="O1214" s="39" t="s">
        <v>49</v>
      </c>
      <c r="P1214" s="210"/>
      <c r="Q1214" s="19">
        <v>85</v>
      </c>
      <c r="R1214" s="59">
        <f>Q1214/I1214</f>
        <v>0.14529914529914531</v>
      </c>
      <c r="S1214" s="5">
        <v>29</v>
      </c>
      <c r="T1214" s="5"/>
      <c r="U1214" s="109" t="s">
        <v>375</v>
      </c>
      <c r="V1214" s="84" t="s">
        <v>362</v>
      </c>
      <c r="W1214" s="194" t="s">
        <v>368</v>
      </c>
      <c r="X1214" s="2"/>
      <c r="Y1214" s="175"/>
      <c r="Z1214" s="175"/>
      <c r="AA1214" s="175"/>
      <c r="AB1214" s="175"/>
      <c r="AC1214" s="175"/>
      <c r="AD1214" s="175"/>
      <c r="AE1214" s="175"/>
      <c r="AF1214" s="175"/>
      <c r="AG1214" s="175"/>
      <c r="AH1214" s="175"/>
    </row>
    <row r="1215" spans="1:34" s="70" customFormat="1">
      <c r="A1215" s="165" t="s">
        <v>1383</v>
      </c>
      <c r="B1215" s="39" t="s">
        <v>63</v>
      </c>
      <c r="C1215" s="192">
        <v>46199</v>
      </c>
      <c r="D1215" s="144">
        <v>0.83333333333333337</v>
      </c>
      <c r="E1215" s="8"/>
      <c r="F1215" s="8" t="s">
        <v>1023</v>
      </c>
      <c r="G1215" s="2">
        <v>1</v>
      </c>
      <c r="H1215" s="2">
        <v>9</v>
      </c>
      <c r="I1215" s="37">
        <v>200</v>
      </c>
      <c r="J1215" s="2" t="s">
        <v>766</v>
      </c>
      <c r="K1215" s="88" t="s">
        <v>806</v>
      </c>
      <c r="L1215" s="89">
        <v>20000</v>
      </c>
      <c r="M1215" s="205">
        <v>20</v>
      </c>
      <c r="N1215" s="39" t="s">
        <v>817</v>
      </c>
      <c r="O1215" s="39" t="s">
        <v>49</v>
      </c>
      <c r="P1215" s="210"/>
      <c r="Q1215" s="19">
        <v>45</v>
      </c>
      <c r="R1215" s="15">
        <f>Q1215/I1215</f>
        <v>0.22500000000000001</v>
      </c>
      <c r="S1215" s="5">
        <v>23</v>
      </c>
      <c r="T1215" s="5"/>
      <c r="U1215" s="109" t="s">
        <v>129</v>
      </c>
      <c r="V1215" s="71" t="s">
        <v>360</v>
      </c>
      <c r="W1215" s="2"/>
      <c r="X1215" s="2"/>
      <c r="Y1215" s="175"/>
      <c r="Z1215" s="175"/>
      <c r="AA1215" s="175"/>
      <c r="AB1215" s="175"/>
      <c r="AC1215" s="175"/>
      <c r="AD1215" s="175"/>
      <c r="AE1215" s="175"/>
      <c r="AF1215" s="175"/>
      <c r="AG1215" s="175"/>
      <c r="AH1215" s="175"/>
    </row>
    <row r="1216" spans="1:34" s="70" customFormat="1">
      <c r="A1216" s="103" t="s">
        <v>539</v>
      </c>
      <c r="B1216" s="103" t="s">
        <v>540</v>
      </c>
      <c r="C1216" s="48">
        <v>46199</v>
      </c>
      <c r="D1216" s="42">
        <v>0.875</v>
      </c>
      <c r="E1216" s="8">
        <v>84</v>
      </c>
      <c r="F1216" s="63" t="s">
        <v>544</v>
      </c>
      <c r="G1216" s="2">
        <v>1</v>
      </c>
      <c r="H1216" s="2">
        <v>9</v>
      </c>
      <c r="I1216" s="125">
        <v>150</v>
      </c>
      <c r="J1216" s="179" t="s">
        <v>766</v>
      </c>
      <c r="K1216" s="179" t="s">
        <v>602</v>
      </c>
      <c r="L1216" s="89">
        <v>30000</v>
      </c>
      <c r="M1216" s="54">
        <v>15</v>
      </c>
      <c r="N1216" s="39" t="s">
        <v>48</v>
      </c>
      <c r="O1216" s="39" t="s">
        <v>49</v>
      </c>
      <c r="P1216" s="135" t="s">
        <v>828</v>
      </c>
      <c r="Q1216" s="19">
        <v>46</v>
      </c>
      <c r="R1216" s="15">
        <f>Q1216/I1216</f>
        <v>0.30666666666666664</v>
      </c>
      <c r="S1216" s="5">
        <f>($AC1216*$AD1216)/(($Z1216/$Y1216)+($AA1216/$Z1216)+($AB1216/$AA1216))</f>
        <v>19.534883720930232</v>
      </c>
      <c r="T1216" s="5"/>
      <c r="U1216" s="109" t="s">
        <v>129</v>
      </c>
      <c r="V1216" s="21" t="s">
        <v>1395</v>
      </c>
      <c r="W1216" s="182" t="s">
        <v>1389</v>
      </c>
      <c r="X1216" s="2"/>
      <c r="Y1216" s="2">
        <v>4</v>
      </c>
      <c r="Z1216" s="2">
        <v>8</v>
      </c>
      <c r="AA1216" s="2">
        <v>30</v>
      </c>
      <c r="AB1216" s="2">
        <v>150</v>
      </c>
      <c r="AC1216" s="2">
        <v>14</v>
      </c>
      <c r="AD1216" s="2">
        <v>15</v>
      </c>
      <c r="AE1216" s="2">
        <f>AC1216*AD1216</f>
        <v>210</v>
      </c>
      <c r="AF1216" s="2">
        <f>Z1216/Y1216</f>
        <v>2</v>
      </c>
      <c r="AG1216" s="2">
        <f>AA1216/Z1216</f>
        <v>3.75</v>
      </c>
      <c r="AH1216" s="2">
        <f>AB1216/AA1216</f>
        <v>5</v>
      </c>
    </row>
    <row r="1217" spans="1:34" s="70" customFormat="1">
      <c r="A1217" s="102" t="s">
        <v>475</v>
      </c>
      <c r="B1217" s="102" t="s">
        <v>476</v>
      </c>
      <c r="C1217" s="192">
        <v>46199</v>
      </c>
      <c r="D1217" s="42">
        <v>0.88194444444444442</v>
      </c>
      <c r="E1217" s="193"/>
      <c r="F1217" s="8" t="s">
        <v>483</v>
      </c>
      <c r="G1217" s="2">
        <v>1</v>
      </c>
      <c r="H1217" s="2">
        <v>9</v>
      </c>
      <c r="I1217" s="125">
        <v>160</v>
      </c>
      <c r="J1217" s="2" t="s">
        <v>766</v>
      </c>
      <c r="K1217" s="109" t="s">
        <v>603</v>
      </c>
      <c r="L1217" s="105">
        <v>20000</v>
      </c>
      <c r="M1217" s="64">
        <v>20</v>
      </c>
      <c r="N1217" s="39" t="s">
        <v>48</v>
      </c>
      <c r="O1217" s="39" t="s">
        <v>49</v>
      </c>
      <c r="P1217" s="135" t="s">
        <v>828</v>
      </c>
      <c r="Q1217" s="19">
        <v>30</v>
      </c>
      <c r="R1217" s="15">
        <f>Q1217/I1217</f>
        <v>0.1875</v>
      </c>
      <c r="S1217" s="5">
        <f>($AC1217*$AD1217)/(($Z1217/$Y1217)+($AA1217/$Z1217)+($AB1217/$AA1217))</f>
        <v>20</v>
      </c>
      <c r="T1217" s="5"/>
      <c r="U1217" s="109" t="s">
        <v>767</v>
      </c>
      <c r="V1217" s="21" t="s">
        <v>595</v>
      </c>
      <c r="W1217" s="241" t="s">
        <v>604</v>
      </c>
      <c r="X1217" s="2"/>
      <c r="Y1217" s="2">
        <v>2</v>
      </c>
      <c r="Z1217" s="2">
        <v>5</v>
      </c>
      <c r="AA1217" s="2">
        <v>40</v>
      </c>
      <c r="AB1217" s="2">
        <v>100</v>
      </c>
      <c r="AC1217" s="2">
        <v>20</v>
      </c>
      <c r="AD1217" s="2">
        <v>13</v>
      </c>
      <c r="AE1217" s="2">
        <f>AC1217*AD1217</f>
        <v>260</v>
      </c>
      <c r="AF1217" s="2">
        <f>Z1217/Y1217</f>
        <v>2.5</v>
      </c>
      <c r="AG1217" s="2">
        <f>AA1217/Z1217</f>
        <v>8</v>
      </c>
      <c r="AH1217" s="2">
        <f>AB1217/AA1217</f>
        <v>2.5</v>
      </c>
    </row>
    <row r="1218" spans="1:34" s="70" customFormat="1">
      <c r="A1218" s="165" t="s">
        <v>1383</v>
      </c>
      <c r="B1218" s="39" t="s">
        <v>63</v>
      </c>
      <c r="C1218" s="192">
        <v>46199</v>
      </c>
      <c r="D1218" s="144">
        <v>0.91666666666666663</v>
      </c>
      <c r="E1218" s="31"/>
      <c r="F1218" s="8" t="s">
        <v>909</v>
      </c>
      <c r="G1218" s="2">
        <v>1</v>
      </c>
      <c r="H1218" s="2">
        <v>9</v>
      </c>
      <c r="I1218" s="37">
        <v>135</v>
      </c>
      <c r="J1218" s="2" t="s">
        <v>766</v>
      </c>
      <c r="K1218" s="88" t="s">
        <v>813</v>
      </c>
      <c r="L1218" s="89">
        <v>10000</v>
      </c>
      <c r="M1218" s="202">
        <v>15</v>
      </c>
      <c r="N1218" s="132" t="s">
        <v>821</v>
      </c>
      <c r="O1218" s="39" t="s">
        <v>49</v>
      </c>
      <c r="P1218" s="210"/>
      <c r="Q1218" s="19">
        <v>35</v>
      </c>
      <c r="R1218" s="15">
        <f>Q1218/I1218</f>
        <v>0.25925925925925924</v>
      </c>
      <c r="S1218" s="5">
        <v>22</v>
      </c>
      <c r="T1218" s="5"/>
      <c r="U1218" s="109" t="s">
        <v>767</v>
      </c>
      <c r="V1218" s="21" t="s">
        <v>362</v>
      </c>
      <c r="W1218" s="194" t="s">
        <v>369</v>
      </c>
      <c r="X1218" s="2"/>
      <c r="Y1218" s="175"/>
      <c r="Z1218" s="175"/>
      <c r="AA1218" s="175"/>
      <c r="AB1218" s="175"/>
      <c r="AC1218" s="175"/>
      <c r="AD1218" s="175"/>
      <c r="AE1218" s="175"/>
      <c r="AF1218" s="175"/>
      <c r="AG1218" s="175"/>
      <c r="AH1218" s="175"/>
    </row>
    <row r="1219" spans="1:34" s="70" customFormat="1">
      <c r="A1219" s="96" t="s">
        <v>461</v>
      </c>
      <c r="B1219" s="96" t="s">
        <v>462</v>
      </c>
      <c r="C1219" s="192">
        <v>46199</v>
      </c>
      <c r="D1219" s="42">
        <v>0.92361111111111116</v>
      </c>
      <c r="E1219" s="31"/>
      <c r="F1219" s="8" t="s">
        <v>456</v>
      </c>
      <c r="G1219" s="2">
        <v>1</v>
      </c>
      <c r="H1219" s="2"/>
      <c r="I1219" s="125">
        <v>120</v>
      </c>
      <c r="J1219" s="2" t="s">
        <v>766</v>
      </c>
      <c r="K1219" s="109" t="s">
        <v>737</v>
      </c>
      <c r="L1219" s="8">
        <v>20000</v>
      </c>
      <c r="M1219" s="202">
        <v>15</v>
      </c>
      <c r="N1219" s="39" t="s">
        <v>48</v>
      </c>
      <c r="O1219" s="39" t="s">
        <v>49</v>
      </c>
      <c r="P1219" s="135" t="s">
        <v>827</v>
      </c>
      <c r="Q1219" s="19">
        <v>24</v>
      </c>
      <c r="R1219" s="15">
        <f>Q1219/I1219</f>
        <v>0.2</v>
      </c>
      <c r="S1219" s="5">
        <f>($AC1219*$AD1219)/(($Z1219/$Y1219)+($AA1219/$Z1219)+($AB1219/$AA1219))</f>
        <v>25.161290322580644</v>
      </c>
      <c r="T1219" s="5"/>
      <c r="U1219" s="109" t="s">
        <v>463</v>
      </c>
      <c r="V1219" s="10" t="s">
        <v>735</v>
      </c>
      <c r="W1219" s="10" t="s">
        <v>464</v>
      </c>
      <c r="X1219" s="2"/>
      <c r="Y1219" s="2">
        <v>2.5</v>
      </c>
      <c r="Z1219" s="2">
        <v>7.5</v>
      </c>
      <c r="AA1219" s="2">
        <v>30</v>
      </c>
      <c r="AB1219" s="2">
        <v>100</v>
      </c>
      <c r="AC1219" s="2">
        <v>13</v>
      </c>
      <c r="AD1219" s="2">
        <v>20</v>
      </c>
      <c r="AE1219" s="2">
        <f>AC1219*AD1219</f>
        <v>260</v>
      </c>
      <c r="AF1219" s="2">
        <f>Z1219/Y1219</f>
        <v>3</v>
      </c>
      <c r="AG1219" s="2">
        <f>AA1219/Z1219</f>
        <v>4</v>
      </c>
      <c r="AH1219" s="2">
        <f>AB1219/AA1219</f>
        <v>3.3333333333333335</v>
      </c>
    </row>
    <row r="1220" spans="1:34" s="70" customFormat="1">
      <c r="A1220" s="165" t="s">
        <v>1383</v>
      </c>
      <c r="B1220" s="36" t="s">
        <v>63</v>
      </c>
      <c r="C1220" s="192">
        <v>46199</v>
      </c>
      <c r="D1220" s="144" t="s">
        <v>117</v>
      </c>
      <c r="E1220" s="14">
        <v>63</v>
      </c>
      <c r="F1220" s="8" t="s">
        <v>986</v>
      </c>
      <c r="G1220" s="2">
        <v>3</v>
      </c>
      <c r="H1220" s="2">
        <v>9</v>
      </c>
      <c r="I1220" s="37">
        <v>1000</v>
      </c>
      <c r="J1220" s="2" t="s">
        <v>763</v>
      </c>
      <c r="K1220" s="109" t="s">
        <v>601</v>
      </c>
      <c r="L1220" s="89">
        <v>40000</v>
      </c>
      <c r="M1220" s="202" t="s">
        <v>22</v>
      </c>
      <c r="N1220" s="39" t="s">
        <v>48</v>
      </c>
      <c r="O1220" s="39" t="s">
        <v>49</v>
      </c>
      <c r="P1220" s="210"/>
      <c r="Q1220" s="19">
        <f>R1220*I1220</f>
        <v>120</v>
      </c>
      <c r="R1220" s="15">
        <v>0.12</v>
      </c>
      <c r="S1220" s="5">
        <f>($AC1220*$AD1220)/(($Z1220/$Y1220)+($AA1220/$Z1220)+($AB1220/$AA1220))</f>
        <v>76.947040498442377</v>
      </c>
      <c r="T1220" s="5"/>
      <c r="U1220" s="109" t="s">
        <v>767</v>
      </c>
      <c r="V1220" s="10" t="s">
        <v>121</v>
      </c>
      <c r="W1220" s="10"/>
      <c r="X1220" s="2"/>
      <c r="Y1220" s="2">
        <v>2</v>
      </c>
      <c r="Z1220" s="2">
        <v>5</v>
      </c>
      <c r="AA1220" s="2">
        <v>13</v>
      </c>
      <c r="AB1220" s="2">
        <v>30</v>
      </c>
      <c r="AC1220" s="2">
        <v>19</v>
      </c>
      <c r="AD1220" s="2">
        <v>30</v>
      </c>
      <c r="AE1220" s="2">
        <f>AC1220*AD1220</f>
        <v>570</v>
      </c>
      <c r="AF1220" s="2">
        <f>Z1220/Y1220</f>
        <v>2.5</v>
      </c>
      <c r="AG1220" s="2">
        <f>AA1220/Z1220</f>
        <v>2.6</v>
      </c>
      <c r="AH1220" s="2">
        <f>AB1220/AA1220</f>
        <v>2.3076923076923075</v>
      </c>
    </row>
    <row r="1221" spans="1:34" s="70" customFormat="1">
      <c r="A1221" s="165" t="s">
        <v>1383</v>
      </c>
      <c r="B1221" s="36" t="s">
        <v>63</v>
      </c>
      <c r="C1221" s="192">
        <v>46199</v>
      </c>
      <c r="D1221" s="144" t="s">
        <v>115</v>
      </c>
      <c r="E1221" s="8">
        <v>68</v>
      </c>
      <c r="F1221" s="8" t="s">
        <v>1111</v>
      </c>
      <c r="G1221" s="2">
        <v>4</v>
      </c>
      <c r="H1221" s="2">
        <v>9</v>
      </c>
      <c r="I1221" s="37">
        <v>1000</v>
      </c>
      <c r="J1221" s="2" t="s">
        <v>760</v>
      </c>
      <c r="K1221" s="109" t="s">
        <v>602</v>
      </c>
      <c r="L1221" s="89">
        <v>20000</v>
      </c>
      <c r="M1221" s="202">
        <v>60</v>
      </c>
      <c r="N1221" s="39" t="s">
        <v>48</v>
      </c>
      <c r="O1221" s="39" t="s">
        <v>49</v>
      </c>
      <c r="P1221" s="210"/>
      <c r="Q1221" s="19">
        <f>R1221*I1221</f>
        <v>120</v>
      </c>
      <c r="R1221" s="15">
        <v>0.12</v>
      </c>
      <c r="S1221" s="5">
        <f>($AC1221*$AD1221)/(($Z1221/$Y1221)+($AA1221/$Z1221)+($AB1221/$AA1221))</f>
        <v>133.04347826086956</v>
      </c>
      <c r="T1221" s="5"/>
      <c r="U1221" s="109" t="s">
        <v>125</v>
      </c>
      <c r="V1221" s="10" t="s">
        <v>121</v>
      </c>
      <c r="W1221" s="10"/>
      <c r="X1221" s="2"/>
      <c r="Y1221" s="2">
        <v>1.5</v>
      </c>
      <c r="Z1221" s="2">
        <v>4</v>
      </c>
      <c r="AA1221" s="2">
        <v>10</v>
      </c>
      <c r="AB1221" s="2">
        <v>25</v>
      </c>
      <c r="AC1221" s="2">
        <v>17</v>
      </c>
      <c r="AD1221" s="2">
        <v>60</v>
      </c>
      <c r="AE1221" s="2">
        <f>AC1221*AD1221</f>
        <v>1020</v>
      </c>
      <c r="AF1221" s="2">
        <f>Z1221/Y1221</f>
        <v>2.6666666666666665</v>
      </c>
      <c r="AG1221" s="2">
        <f>AA1221/Z1221</f>
        <v>2.5</v>
      </c>
      <c r="AH1221" s="2">
        <f>AB1221/AA1221</f>
        <v>2.5</v>
      </c>
    </row>
    <row r="1222" spans="1:34" s="70" customFormat="1">
      <c r="A1222" s="165" t="s">
        <v>1383</v>
      </c>
      <c r="B1222" s="36" t="s">
        <v>63</v>
      </c>
      <c r="C1222" s="192">
        <v>46199</v>
      </c>
      <c r="D1222" s="144" t="s">
        <v>116</v>
      </c>
      <c r="E1222" s="8">
        <v>70</v>
      </c>
      <c r="F1222" s="8" t="s">
        <v>173</v>
      </c>
      <c r="G1222" s="2">
        <v>4</v>
      </c>
      <c r="H1222" s="2">
        <v>8</v>
      </c>
      <c r="I1222" s="37">
        <v>10000</v>
      </c>
      <c r="J1222" s="2" t="s">
        <v>110</v>
      </c>
      <c r="K1222" s="109" t="s">
        <v>601</v>
      </c>
      <c r="L1222" s="89">
        <v>60000</v>
      </c>
      <c r="M1222" s="202">
        <v>60</v>
      </c>
      <c r="N1222" s="39" t="s">
        <v>48</v>
      </c>
      <c r="O1222" s="39" t="s">
        <v>57</v>
      </c>
      <c r="P1222" s="213"/>
      <c r="Q1222" s="38">
        <f>R1222*I1222</f>
        <v>700.00000000000011</v>
      </c>
      <c r="R1222" s="15">
        <v>7.0000000000000007E-2</v>
      </c>
      <c r="S1222" s="149" t="s">
        <v>110</v>
      </c>
      <c r="T1222" s="149"/>
      <c r="U1222" s="109" t="s">
        <v>767</v>
      </c>
      <c r="V1222" s="10" t="s">
        <v>121</v>
      </c>
      <c r="W1222" s="10"/>
      <c r="X1222" s="2"/>
      <c r="AB1222" s="2"/>
      <c r="AE1222" s="2" t="e">
        <f>AD1222*#REF!</f>
        <v>#REF!</v>
      </c>
      <c r="AF1222" s="2" t="e">
        <f>Z1222/Y1222</f>
        <v>#DIV/0!</v>
      </c>
      <c r="AG1222" s="2" t="e">
        <f>AA1222/Z1222</f>
        <v>#DIV/0!</v>
      </c>
      <c r="AH1222" s="2" t="e">
        <f>AC1222/AA1222</f>
        <v>#DIV/0!</v>
      </c>
    </row>
    <row r="1223" spans="1:34" s="70" customFormat="1">
      <c r="A1223" s="165" t="s">
        <v>1383</v>
      </c>
      <c r="B1223" s="36" t="s">
        <v>63</v>
      </c>
      <c r="C1223" s="192">
        <v>46199</v>
      </c>
      <c r="D1223" s="144" t="s">
        <v>876</v>
      </c>
      <c r="E1223" s="8">
        <v>67</v>
      </c>
      <c r="F1223" s="8" t="s">
        <v>1244</v>
      </c>
      <c r="G1223" s="2">
        <v>3</v>
      </c>
      <c r="H1223" s="2">
        <v>9</v>
      </c>
      <c r="I1223" s="37">
        <v>10000</v>
      </c>
      <c r="J1223" s="2" t="s">
        <v>110</v>
      </c>
      <c r="K1223" s="109" t="s">
        <v>816</v>
      </c>
      <c r="L1223" s="89">
        <v>60000</v>
      </c>
      <c r="M1223" s="202" t="s">
        <v>111</v>
      </c>
      <c r="N1223" s="39" t="s">
        <v>48</v>
      </c>
      <c r="O1223" s="39" t="s">
        <v>871</v>
      </c>
      <c r="P1223" s="19"/>
      <c r="Q1223" s="38">
        <f>R1223*I1223</f>
        <v>700.00000000000011</v>
      </c>
      <c r="R1223" s="15">
        <v>7.0000000000000007E-2</v>
      </c>
      <c r="S1223" s="149" t="s">
        <v>110</v>
      </c>
      <c r="T1223" s="149"/>
      <c r="U1223" s="109" t="s">
        <v>767</v>
      </c>
      <c r="V1223" s="10" t="s">
        <v>121</v>
      </c>
      <c r="W1223" s="10"/>
      <c r="X1223" s="2"/>
      <c r="Y1223" s="2"/>
      <c r="Z1223" s="2"/>
      <c r="AA1223" s="2"/>
      <c r="AB1223" s="2"/>
      <c r="AC1223" s="2"/>
      <c r="AD1223" s="2"/>
      <c r="AE1223" s="2" t="e">
        <f>AD1223*#REF!</f>
        <v>#REF!</v>
      </c>
      <c r="AF1223" s="2" t="e">
        <f>Z1223/Y1223</f>
        <v>#DIV/0!</v>
      </c>
      <c r="AG1223" s="2" t="e">
        <f>AA1223/Z1223</f>
        <v>#DIV/0!</v>
      </c>
      <c r="AH1223" s="2" t="e">
        <f>AC1223/AA1223</f>
        <v>#DIV/0!</v>
      </c>
    </row>
    <row r="1224" spans="1:34" s="70" customFormat="1">
      <c r="A1224" s="165" t="s">
        <v>1383</v>
      </c>
      <c r="B1224" s="36" t="s">
        <v>63</v>
      </c>
      <c r="C1224" s="192">
        <v>46199</v>
      </c>
      <c r="D1224" s="144" t="s">
        <v>876</v>
      </c>
      <c r="E1224" s="8">
        <v>66</v>
      </c>
      <c r="F1224" s="8" t="s">
        <v>1214</v>
      </c>
      <c r="G1224" s="2">
        <v>3</v>
      </c>
      <c r="H1224" s="2">
        <v>9</v>
      </c>
      <c r="I1224" s="37">
        <v>1000</v>
      </c>
      <c r="J1224" s="2" t="s">
        <v>110</v>
      </c>
      <c r="K1224" s="109" t="s">
        <v>602</v>
      </c>
      <c r="L1224" s="89">
        <v>20000</v>
      </c>
      <c r="M1224" s="202">
        <v>60</v>
      </c>
      <c r="N1224" s="39" t="s">
        <v>48</v>
      </c>
      <c r="O1224" s="39" t="s">
        <v>49</v>
      </c>
      <c r="P1224" s="129"/>
      <c r="Q1224" s="19">
        <f>R1224*I1224</f>
        <v>120</v>
      </c>
      <c r="R1224" s="15">
        <v>0.12</v>
      </c>
      <c r="S1224" s="5">
        <f>($AC1224*$AD1224)/(($Z1224/$Y1224)+($AA1224/$Z1224)+($AB1224/$AA1224))</f>
        <v>133.04347826086956</v>
      </c>
      <c r="T1224" s="5"/>
      <c r="U1224" s="109" t="s">
        <v>155</v>
      </c>
      <c r="V1224" s="10" t="s">
        <v>121</v>
      </c>
      <c r="W1224" s="10"/>
      <c r="X1224" s="2"/>
      <c r="Y1224" s="2">
        <v>1.5</v>
      </c>
      <c r="Z1224" s="2">
        <v>4</v>
      </c>
      <c r="AA1224" s="2">
        <v>10</v>
      </c>
      <c r="AB1224" s="2">
        <v>25</v>
      </c>
      <c r="AC1224" s="2">
        <v>17</v>
      </c>
      <c r="AD1224" s="2">
        <v>60</v>
      </c>
      <c r="AE1224" s="2">
        <f>AC1224*AD1224</f>
        <v>1020</v>
      </c>
      <c r="AF1224" s="2">
        <f>Z1224/Y1224</f>
        <v>2.6666666666666665</v>
      </c>
      <c r="AG1224" s="2">
        <f>AA1224/Z1224</f>
        <v>2.5</v>
      </c>
      <c r="AH1224" s="2">
        <f>AB1224/AA1224</f>
        <v>2.5</v>
      </c>
    </row>
    <row r="1225" spans="1:34" s="70" customFormat="1">
      <c r="A1225" s="96" t="s">
        <v>461</v>
      </c>
      <c r="B1225" s="119" t="s">
        <v>755</v>
      </c>
      <c r="C1225" s="192">
        <v>46200</v>
      </c>
      <c r="D1225" s="42">
        <v>0.4236111111111111</v>
      </c>
      <c r="E1225" s="193"/>
      <c r="F1225" s="8" t="s">
        <v>1298</v>
      </c>
      <c r="G1225" s="2">
        <v>2</v>
      </c>
      <c r="H1225" s="2"/>
      <c r="I1225" s="37">
        <v>360</v>
      </c>
      <c r="J1225" s="2" t="s">
        <v>766</v>
      </c>
      <c r="K1225" s="109" t="s">
        <v>767</v>
      </c>
      <c r="L1225" s="89"/>
      <c r="M1225" s="202"/>
      <c r="N1225" s="39" t="s">
        <v>48</v>
      </c>
      <c r="O1225" s="39" t="s">
        <v>49</v>
      </c>
      <c r="P1225" s="236" t="s">
        <v>837</v>
      </c>
      <c r="Q1225" s="19"/>
      <c r="R1225" s="15"/>
      <c r="S1225" s="120"/>
      <c r="T1225" s="120"/>
      <c r="U1225" s="109" t="s">
        <v>125</v>
      </c>
      <c r="V1225" s="10"/>
      <c r="W1225" s="10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s="70" customFormat="1">
      <c r="A1226" s="68" t="s">
        <v>357</v>
      </c>
      <c r="B1226" s="68" t="s">
        <v>358</v>
      </c>
      <c r="C1226" s="48">
        <v>46200</v>
      </c>
      <c r="D1226" s="42">
        <v>0.4236111111111111</v>
      </c>
      <c r="E1226" s="8">
        <v>70</v>
      </c>
      <c r="F1226" s="63" t="s">
        <v>324</v>
      </c>
      <c r="G1226" s="2">
        <v>2</v>
      </c>
      <c r="H1226" s="2">
        <v>9</v>
      </c>
      <c r="I1226" s="125">
        <v>1100</v>
      </c>
      <c r="J1226" s="2" t="s">
        <v>766</v>
      </c>
      <c r="K1226" s="137" t="s">
        <v>598</v>
      </c>
      <c r="L1226" s="89">
        <v>40000</v>
      </c>
      <c r="M1226" s="202">
        <v>40</v>
      </c>
      <c r="N1226" s="39" t="s">
        <v>48</v>
      </c>
      <c r="O1226" s="39" t="s">
        <v>49</v>
      </c>
      <c r="P1226" s="135" t="s">
        <v>842</v>
      </c>
      <c r="Q1226" s="19">
        <v>140</v>
      </c>
      <c r="R1226" s="15">
        <f>Q1226/I1226</f>
        <v>0.12727272727272726</v>
      </c>
      <c r="S1226" s="5">
        <f>($AC1226*$AD1226)/(($Z1226/$Y1226)+($AA1226/$Z1226)+($AB1226/$AA1226))</f>
        <v>102.59605399792316</v>
      </c>
      <c r="T1226" s="5"/>
      <c r="U1226" s="109" t="s">
        <v>54</v>
      </c>
      <c r="V1226" s="10" t="s">
        <v>686</v>
      </c>
      <c r="W1226" s="10"/>
      <c r="X1226" s="2"/>
      <c r="Y1226" s="2">
        <v>2</v>
      </c>
      <c r="Z1226" s="2">
        <v>5</v>
      </c>
      <c r="AA1226" s="2">
        <v>13</v>
      </c>
      <c r="AB1226" s="2">
        <v>30</v>
      </c>
      <c r="AC1226" s="2">
        <v>40</v>
      </c>
      <c r="AD1226" s="2">
        <v>19</v>
      </c>
      <c r="AE1226" s="2">
        <f>AC1226*AD1226</f>
        <v>760</v>
      </c>
      <c r="AF1226" s="2">
        <f>Z1226/Y1226</f>
        <v>2.5</v>
      </c>
      <c r="AG1226" s="2">
        <f>AA1226/Z1226</f>
        <v>2.6</v>
      </c>
      <c r="AH1226" s="2">
        <f>AB1226/AA1226</f>
        <v>2.3076923076923075</v>
      </c>
    </row>
    <row r="1227" spans="1:34" s="70" customFormat="1">
      <c r="A1227" s="95" t="s">
        <v>447</v>
      </c>
      <c r="B1227" s="95" t="s">
        <v>448</v>
      </c>
      <c r="C1227" s="40">
        <v>46200</v>
      </c>
      <c r="D1227" s="42">
        <v>0.45833333333333331</v>
      </c>
      <c r="E1227" s="193"/>
      <c r="F1227" s="8" t="s">
        <v>442</v>
      </c>
      <c r="G1227" s="2">
        <v>1</v>
      </c>
      <c r="H1227" s="2">
        <v>8</v>
      </c>
      <c r="I1227" s="125">
        <v>1100</v>
      </c>
      <c r="J1227" s="2" t="s">
        <v>766</v>
      </c>
      <c r="K1227" s="109" t="s">
        <v>602</v>
      </c>
      <c r="L1227" s="8">
        <v>30000</v>
      </c>
      <c r="M1227" s="8">
        <v>30</v>
      </c>
      <c r="N1227" s="39" t="s">
        <v>48</v>
      </c>
      <c r="O1227" s="39" t="s">
        <v>57</v>
      </c>
      <c r="P1227" s="63">
        <v>250000</v>
      </c>
      <c r="Q1227" s="2">
        <v>135</v>
      </c>
      <c r="R1227" s="15">
        <f>Q1227/I1227</f>
        <v>0.12272727272727273</v>
      </c>
      <c r="S1227" s="176" t="s">
        <v>110</v>
      </c>
      <c r="T1227" s="176"/>
      <c r="U1227" s="109" t="s">
        <v>55</v>
      </c>
      <c r="V1227" s="10" t="s">
        <v>741</v>
      </c>
      <c r="W1227" s="238" t="s">
        <v>753</v>
      </c>
      <c r="X1227" s="2"/>
      <c r="Y1227" s="2"/>
      <c r="Z1227" s="2"/>
      <c r="AA1227" s="2"/>
      <c r="AB1227" s="2"/>
      <c r="AC1227" s="2"/>
      <c r="AD1227" s="2"/>
      <c r="AE1227" s="2">
        <f>AC1227*AD1227</f>
        <v>0</v>
      </c>
      <c r="AF1227" s="2" t="e">
        <f>Z1227/Y1227</f>
        <v>#DIV/0!</v>
      </c>
      <c r="AG1227" s="2" t="e">
        <f>AA1227/Z1227</f>
        <v>#DIV/0!</v>
      </c>
      <c r="AH1227" s="2" t="e">
        <f>AB1227/AA1227</f>
        <v>#DIV/0!</v>
      </c>
    </row>
    <row r="1228" spans="1:34" s="70" customFormat="1">
      <c r="A1228" s="103" t="s">
        <v>539</v>
      </c>
      <c r="B1228" s="103" t="s">
        <v>540</v>
      </c>
      <c r="C1228" s="48">
        <v>46200</v>
      </c>
      <c r="D1228" s="42">
        <v>0.45833333333333331</v>
      </c>
      <c r="E1228" s="8">
        <v>75</v>
      </c>
      <c r="F1228" s="63" t="s">
        <v>578</v>
      </c>
      <c r="G1228" s="2">
        <v>2</v>
      </c>
      <c r="H1228" s="2">
        <v>9</v>
      </c>
      <c r="I1228" s="125">
        <v>600</v>
      </c>
      <c r="J1228" s="179" t="s">
        <v>766</v>
      </c>
      <c r="K1228" s="179" t="s">
        <v>601</v>
      </c>
      <c r="L1228" s="89">
        <v>30000</v>
      </c>
      <c r="M1228" s="207" t="s">
        <v>97</v>
      </c>
      <c r="N1228" s="39" t="s">
        <v>48</v>
      </c>
      <c r="O1228" s="39" t="s">
        <v>49</v>
      </c>
      <c r="P1228" s="135" t="s">
        <v>843</v>
      </c>
      <c r="Q1228" s="19">
        <v>92</v>
      </c>
      <c r="R1228" s="15">
        <f>Q1228/I1228</f>
        <v>0.15333333333333332</v>
      </c>
      <c r="S1228" s="5">
        <f>($AC1228*$AD1228)/(($Z1228/$Y1228)+($AA1228/$Z1228)+($AB1228/$AA1228))</f>
        <v>99.130434782608702</v>
      </c>
      <c r="T1228" s="5"/>
      <c r="U1228" s="109" t="s">
        <v>767</v>
      </c>
      <c r="V1228" s="21" t="s">
        <v>1395</v>
      </c>
      <c r="W1228" s="10"/>
      <c r="X1228" s="2"/>
      <c r="Y1228" s="2">
        <v>1.5</v>
      </c>
      <c r="Z1228" s="2">
        <v>4</v>
      </c>
      <c r="AA1228" s="2">
        <v>10</v>
      </c>
      <c r="AB1228" s="2">
        <v>25</v>
      </c>
      <c r="AC1228" s="2">
        <v>19</v>
      </c>
      <c r="AD1228" s="2">
        <v>40</v>
      </c>
      <c r="AE1228" s="2">
        <f>AC1228*AD1228</f>
        <v>760</v>
      </c>
      <c r="AF1228" s="2">
        <f>Z1228/Y1228</f>
        <v>2.6666666666666665</v>
      </c>
      <c r="AG1228" s="2">
        <f>AA1228/Z1228</f>
        <v>2.5</v>
      </c>
      <c r="AH1228" s="2">
        <f>AB1228/AA1228</f>
        <v>2.5</v>
      </c>
    </row>
    <row r="1229" spans="1:34" s="70" customFormat="1">
      <c r="A1229" s="102" t="s">
        <v>475</v>
      </c>
      <c r="B1229" s="102" t="s">
        <v>476</v>
      </c>
      <c r="C1229" s="40">
        <v>46200</v>
      </c>
      <c r="D1229" s="42">
        <v>0.45833333333333331</v>
      </c>
      <c r="E1229" s="8">
        <v>31</v>
      </c>
      <c r="F1229" s="8" t="s">
        <v>520</v>
      </c>
      <c r="G1229" s="2">
        <v>1</v>
      </c>
      <c r="H1229" s="2">
        <v>9</v>
      </c>
      <c r="I1229" s="125">
        <v>600</v>
      </c>
      <c r="J1229" s="2" t="s">
        <v>766</v>
      </c>
      <c r="K1229" s="109" t="s">
        <v>601</v>
      </c>
      <c r="L1229" s="105">
        <v>30000</v>
      </c>
      <c r="M1229" s="64">
        <v>30</v>
      </c>
      <c r="N1229" s="39" t="s">
        <v>48</v>
      </c>
      <c r="O1229" s="39" t="s">
        <v>49</v>
      </c>
      <c r="P1229" s="134" t="s">
        <v>837</v>
      </c>
      <c r="Q1229" s="19">
        <v>80</v>
      </c>
      <c r="R1229" s="15">
        <f>Q1229/I1229</f>
        <v>0.13333333333333333</v>
      </c>
      <c r="S1229" s="5">
        <f>($AC1229*$AD1229)/(($Z1229/$Y1229)+($AA1229/$Z1229)+($AB1229/$AA1229))</f>
        <v>72.897196261682254</v>
      </c>
      <c r="T1229" s="5"/>
      <c r="U1229" s="109" t="s">
        <v>54</v>
      </c>
      <c r="V1229" s="10" t="s">
        <v>626</v>
      </c>
      <c r="W1229" s="10"/>
      <c r="X1229" s="2"/>
      <c r="Y1229" s="2">
        <v>2</v>
      </c>
      <c r="Z1229" s="2">
        <v>5</v>
      </c>
      <c r="AA1229" s="2">
        <v>13</v>
      </c>
      <c r="AB1229" s="2">
        <v>30</v>
      </c>
      <c r="AC1229" s="2">
        <v>30</v>
      </c>
      <c r="AD1229" s="2">
        <v>18</v>
      </c>
      <c r="AE1229" s="2">
        <f>AC1229*AD1229</f>
        <v>540</v>
      </c>
      <c r="AF1229" s="2">
        <f>Z1229/Y1229</f>
        <v>2.5</v>
      </c>
      <c r="AG1229" s="2">
        <f>AA1229/Z1229</f>
        <v>2.6</v>
      </c>
      <c r="AH1229" s="2">
        <f>AB1229/AA1229</f>
        <v>2.3076923076923075</v>
      </c>
    </row>
    <row r="1230" spans="1:34" s="70" customFormat="1">
      <c r="A1230" s="52" t="s">
        <v>229</v>
      </c>
      <c r="B1230" s="52" t="s">
        <v>230</v>
      </c>
      <c r="C1230" s="40">
        <v>46200</v>
      </c>
      <c r="D1230" s="42">
        <v>0.45833333333333331</v>
      </c>
      <c r="E1230" s="193"/>
      <c r="F1230" s="8" t="s">
        <v>240</v>
      </c>
      <c r="G1230" s="2">
        <v>1</v>
      </c>
      <c r="H1230" s="2"/>
      <c r="I1230" s="125">
        <v>400</v>
      </c>
      <c r="J1230" s="2" t="s">
        <v>766</v>
      </c>
      <c r="K1230" s="88" t="s">
        <v>788</v>
      </c>
      <c r="L1230" s="90">
        <v>40000</v>
      </c>
      <c r="M1230" s="46" t="s">
        <v>22</v>
      </c>
      <c r="N1230" s="39" t="s">
        <v>48</v>
      </c>
      <c r="O1230" s="39" t="s">
        <v>49</v>
      </c>
      <c r="P1230" s="212" t="s">
        <v>836</v>
      </c>
      <c r="Q1230" s="19">
        <v>60</v>
      </c>
      <c r="R1230" s="15">
        <f>IF(Q1230&gt;0,Q1230/I1230,"")</f>
        <v>0.15</v>
      </c>
      <c r="S1230" s="5">
        <f>($AC1230*$AD1230)/(($Z1230/$Y1230)+($AA1230/$Z1230)+($AB1230/$AA1230))</f>
        <v>76.947040498442377</v>
      </c>
      <c r="T1230" s="5"/>
      <c r="U1230" s="109" t="s">
        <v>767</v>
      </c>
      <c r="V1230" s="10" t="s">
        <v>719</v>
      </c>
      <c r="W1230" s="10"/>
      <c r="X1230" s="2"/>
      <c r="Y1230" s="2">
        <v>2</v>
      </c>
      <c r="Z1230" s="2">
        <v>5</v>
      </c>
      <c r="AA1230" s="2">
        <v>13</v>
      </c>
      <c r="AB1230" s="2">
        <v>30</v>
      </c>
      <c r="AC1230" s="2">
        <v>19</v>
      </c>
      <c r="AD1230" s="2">
        <v>30</v>
      </c>
      <c r="AE1230" s="2">
        <f>AC1230*AD1230</f>
        <v>570</v>
      </c>
      <c r="AF1230" s="2">
        <f>Z1230/Y1230</f>
        <v>2.5</v>
      </c>
      <c r="AG1230" s="2">
        <f>AA1230/Z1230</f>
        <v>2.6</v>
      </c>
      <c r="AH1230" s="2">
        <f>AB1230/AA1230</f>
        <v>2.3076923076923075</v>
      </c>
    </row>
    <row r="1231" spans="1:34" s="70" customFormat="1">
      <c r="A1231" s="165" t="s">
        <v>1383</v>
      </c>
      <c r="B1231" s="39" t="s">
        <v>63</v>
      </c>
      <c r="C1231" s="40">
        <v>46200</v>
      </c>
      <c r="D1231" s="144">
        <v>0.5</v>
      </c>
      <c r="E1231" s="31"/>
      <c r="F1231" s="194" t="s">
        <v>135</v>
      </c>
      <c r="G1231" s="2">
        <v>1</v>
      </c>
      <c r="H1231" s="2">
        <v>9</v>
      </c>
      <c r="I1231" s="125">
        <v>130</v>
      </c>
      <c r="J1231" s="2" t="s">
        <v>766</v>
      </c>
      <c r="K1231" s="88" t="s">
        <v>773</v>
      </c>
      <c r="L1231" s="90">
        <v>10000</v>
      </c>
      <c r="M1231" s="8">
        <v>15</v>
      </c>
      <c r="N1231" s="132" t="s">
        <v>821</v>
      </c>
      <c r="O1231" s="39" t="s">
        <v>49</v>
      </c>
      <c r="P1231" s="129"/>
      <c r="Q1231" s="19">
        <v>30</v>
      </c>
      <c r="R1231" s="15">
        <f>Q1231/I1231</f>
        <v>0.23076923076923078</v>
      </c>
      <c r="S1231" s="5">
        <v>22</v>
      </c>
      <c r="T1231" s="5"/>
      <c r="U1231" s="109" t="s">
        <v>767</v>
      </c>
      <c r="V1231" s="21" t="s">
        <v>362</v>
      </c>
      <c r="W1231" s="194" t="s">
        <v>364</v>
      </c>
      <c r="X1231" s="2"/>
      <c r="Y1231" s="175"/>
      <c r="Z1231" s="175"/>
      <c r="AA1231" s="175"/>
      <c r="AB1231" s="175"/>
      <c r="AC1231" s="175"/>
      <c r="AD1231" s="175"/>
      <c r="AE1231" s="175"/>
      <c r="AF1231" s="175"/>
      <c r="AG1231" s="175"/>
      <c r="AH1231" s="175"/>
    </row>
    <row r="1232" spans="1:34" s="70" customFormat="1">
      <c r="A1232" s="52" t="s">
        <v>229</v>
      </c>
      <c r="B1232" s="52" t="s">
        <v>230</v>
      </c>
      <c r="C1232" s="40">
        <v>46200</v>
      </c>
      <c r="D1232" s="42">
        <v>0.5</v>
      </c>
      <c r="E1232" s="31"/>
      <c r="F1232" s="194" t="s">
        <v>264</v>
      </c>
      <c r="G1232" s="2">
        <v>1</v>
      </c>
      <c r="H1232" s="2"/>
      <c r="I1232" s="125">
        <v>400</v>
      </c>
      <c r="J1232" s="2" t="s">
        <v>766</v>
      </c>
      <c r="K1232" s="185" t="s">
        <v>601</v>
      </c>
      <c r="L1232" s="90">
        <v>35000</v>
      </c>
      <c r="M1232" s="8">
        <v>30</v>
      </c>
      <c r="N1232" s="39" t="s">
        <v>48</v>
      </c>
      <c r="O1232" s="39" t="s">
        <v>373</v>
      </c>
      <c r="P1232" s="213">
        <v>40000</v>
      </c>
      <c r="Q1232" s="2">
        <v>60</v>
      </c>
      <c r="R1232" s="15">
        <f>IF(Q1232&gt;0,Q1232/I1232,"")</f>
        <v>0.15</v>
      </c>
      <c r="S1232" s="149" t="s">
        <v>110</v>
      </c>
      <c r="T1232" s="149"/>
      <c r="U1232" s="109" t="s">
        <v>767</v>
      </c>
      <c r="V1232" s="10" t="s">
        <v>719</v>
      </c>
      <c r="W1232" s="10"/>
      <c r="X1232" s="2"/>
      <c r="Y1232" s="2"/>
      <c r="Z1232" s="2"/>
      <c r="AA1232" s="2"/>
      <c r="AB1232" s="2"/>
      <c r="AC1232" s="2"/>
      <c r="AD1232" s="2"/>
      <c r="AE1232" s="2">
        <f>AC1232*AD1232</f>
        <v>0</v>
      </c>
      <c r="AF1232" s="2" t="e">
        <f>Z1232/Y1232</f>
        <v>#DIV/0!</v>
      </c>
      <c r="AG1232" s="2" t="e">
        <f>AA1232/Z1232</f>
        <v>#DIV/0!</v>
      </c>
      <c r="AH1232" s="2" t="e">
        <f>AB1232/AA1232</f>
        <v>#DIV/0!</v>
      </c>
    </row>
    <row r="1233" spans="1:34" s="70" customFormat="1">
      <c r="A1233" s="52" t="s">
        <v>220</v>
      </c>
      <c r="B1233" s="52" t="s">
        <v>221</v>
      </c>
      <c r="C1233" s="48">
        <v>46200</v>
      </c>
      <c r="D1233" s="42">
        <v>0.5</v>
      </c>
      <c r="E1233" s="193"/>
      <c r="F1233" s="194" t="s">
        <v>1308</v>
      </c>
      <c r="G1233" s="2">
        <v>3</v>
      </c>
      <c r="H1233" s="2">
        <v>9</v>
      </c>
      <c r="I1233" s="125">
        <v>10400</v>
      </c>
      <c r="J1233" s="2" t="s">
        <v>766</v>
      </c>
      <c r="K1233" s="109" t="s">
        <v>767</v>
      </c>
      <c r="L1233" s="90">
        <v>50000</v>
      </c>
      <c r="M1233" s="64">
        <v>60</v>
      </c>
      <c r="N1233" s="39" t="s">
        <v>48</v>
      </c>
      <c r="O1233" s="39" t="s">
        <v>49</v>
      </c>
      <c r="P1233" s="135" t="s">
        <v>850</v>
      </c>
      <c r="Q1233" s="19">
        <v>600</v>
      </c>
      <c r="R1233" s="15">
        <f>Q1233/I1233</f>
        <v>5.7692307692307696E-2</v>
      </c>
      <c r="S1233" s="5">
        <f>($AC1233*$AD1233)/(($Z1233/$Y1233)+($AA1233/$Z1233)+($AB1233/$AA1233))</f>
        <v>161.993769470405</v>
      </c>
      <c r="T1233" s="5"/>
      <c r="U1233" s="109" t="s">
        <v>767</v>
      </c>
      <c r="V1233" s="10" t="s">
        <v>738</v>
      </c>
      <c r="W1233" s="10"/>
      <c r="X1233" s="2"/>
      <c r="Y1233" s="2">
        <v>2</v>
      </c>
      <c r="Z1233" s="2">
        <v>5</v>
      </c>
      <c r="AA1233" s="2">
        <v>13</v>
      </c>
      <c r="AB1233" s="2">
        <v>30</v>
      </c>
      <c r="AC1233" s="2">
        <v>20</v>
      </c>
      <c r="AD1233" s="2">
        <v>60</v>
      </c>
      <c r="AE1233" s="2">
        <f>AC1233*AD1233</f>
        <v>1200</v>
      </c>
      <c r="AF1233" s="2">
        <f>Z1233/Y1233</f>
        <v>2.5</v>
      </c>
      <c r="AG1233" s="2">
        <f>AA1233/Z1233</f>
        <v>2.6</v>
      </c>
      <c r="AH1233" s="2">
        <f>AB1233/AA1233</f>
        <v>2.3076923076923075</v>
      </c>
    </row>
    <row r="1234" spans="1:34" s="70" customFormat="1">
      <c r="A1234" s="52" t="s">
        <v>220</v>
      </c>
      <c r="B1234" s="52" t="s">
        <v>221</v>
      </c>
      <c r="C1234" s="48">
        <v>46200</v>
      </c>
      <c r="D1234" s="42">
        <v>0.5</v>
      </c>
      <c r="E1234" s="193"/>
      <c r="F1234" s="194" t="s">
        <v>1053</v>
      </c>
      <c r="G1234" s="2">
        <v>1</v>
      </c>
      <c r="H1234" s="2">
        <v>9</v>
      </c>
      <c r="I1234" s="125">
        <v>1100</v>
      </c>
      <c r="J1234" s="2" t="s">
        <v>766</v>
      </c>
      <c r="K1234" s="88" t="s">
        <v>780</v>
      </c>
      <c r="L1234" s="90">
        <v>30000</v>
      </c>
      <c r="M1234" s="64">
        <v>30</v>
      </c>
      <c r="N1234" s="39" t="s">
        <v>48</v>
      </c>
      <c r="O1234" s="39" t="s">
        <v>49</v>
      </c>
      <c r="P1234" s="135" t="s">
        <v>841</v>
      </c>
      <c r="Q1234" s="19">
        <v>125</v>
      </c>
      <c r="R1234" s="15">
        <f>Q1234/I1234</f>
        <v>0.11363636363636363</v>
      </c>
      <c r="S1234" s="5">
        <f>($AC1234*$AD1234)/(($Z1234/$Y1234)+($AA1234/$Z1234)+($AB1234/$AA1234))</f>
        <v>62.448979591836739</v>
      </c>
      <c r="T1234" s="5"/>
      <c r="U1234" s="109" t="s">
        <v>767</v>
      </c>
      <c r="V1234" s="10" t="s">
        <v>738</v>
      </c>
      <c r="W1234" s="10"/>
      <c r="X1234" s="2"/>
      <c r="Y1234" s="2">
        <v>2</v>
      </c>
      <c r="Z1234" s="2">
        <v>5</v>
      </c>
      <c r="AA1234" s="2">
        <v>15</v>
      </c>
      <c r="AB1234" s="2">
        <v>40</v>
      </c>
      <c r="AC1234" s="2">
        <v>17</v>
      </c>
      <c r="AD1234" s="2">
        <v>30</v>
      </c>
      <c r="AE1234" s="2">
        <f>AC1234*AD1234</f>
        <v>510</v>
      </c>
      <c r="AF1234" s="2">
        <f>Z1234/Y1234</f>
        <v>2.5</v>
      </c>
      <c r="AG1234" s="2">
        <f>AA1234/Z1234</f>
        <v>3</v>
      </c>
      <c r="AH1234" s="2">
        <f>AB1234/AA1234</f>
        <v>2.6666666666666665</v>
      </c>
    </row>
    <row r="1235" spans="1:34">
      <c r="A1235" s="117" t="s">
        <v>447</v>
      </c>
      <c r="B1235" s="117" t="s">
        <v>448</v>
      </c>
      <c r="C1235" s="122">
        <v>46200</v>
      </c>
      <c r="D1235" s="42">
        <v>0.54166666666666663</v>
      </c>
      <c r="E1235" s="227"/>
      <c r="F1235" s="229" t="s">
        <v>427</v>
      </c>
      <c r="G1235" s="70">
        <v>1</v>
      </c>
      <c r="H1235" s="70"/>
      <c r="I1235" s="159">
        <v>800</v>
      </c>
      <c r="J1235" s="2" t="s">
        <v>766</v>
      </c>
      <c r="K1235" s="109" t="s">
        <v>602</v>
      </c>
      <c r="L1235" s="123">
        <v>30000</v>
      </c>
      <c r="M1235" s="123">
        <v>30</v>
      </c>
      <c r="N1235" s="39" t="s">
        <v>48</v>
      </c>
      <c r="O1235" s="39" t="s">
        <v>377</v>
      </c>
      <c r="P1235" s="118">
        <v>40000</v>
      </c>
      <c r="Q1235" s="70">
        <v>100</v>
      </c>
      <c r="R1235" s="15">
        <f>Q1235/I1235</f>
        <v>0.125</v>
      </c>
      <c r="S1235" s="176" t="s">
        <v>110</v>
      </c>
      <c r="T1235" s="176"/>
      <c r="U1235" s="109" t="s">
        <v>767</v>
      </c>
      <c r="V1235" s="21" t="s">
        <v>741</v>
      </c>
      <c r="W1235" s="239"/>
      <c r="X1235" s="70"/>
      <c r="Y1235" s="70"/>
      <c r="Z1235" s="70"/>
      <c r="AA1235" s="70"/>
      <c r="AB1235" s="70"/>
      <c r="AC1235" s="70"/>
      <c r="AD1235" s="70"/>
      <c r="AE1235" s="70">
        <f>AC1235*AD1235</f>
        <v>0</v>
      </c>
      <c r="AF1235" s="70" t="e">
        <f>Z1235/Y1235</f>
        <v>#DIV/0!</v>
      </c>
      <c r="AG1235" s="70" t="e">
        <f>AA1235/Z1235</f>
        <v>#DIV/0!</v>
      </c>
      <c r="AH1235" s="70" t="e">
        <f>AB1235/AA1235</f>
        <v>#DIV/0!</v>
      </c>
    </row>
    <row r="1236" spans="1:34">
      <c r="A1236" s="165" t="s">
        <v>1383</v>
      </c>
      <c r="B1236" s="36" t="s">
        <v>63</v>
      </c>
      <c r="C1236" s="192">
        <v>46200</v>
      </c>
      <c r="D1236" s="144">
        <v>0.54166666666666663</v>
      </c>
      <c r="E1236" s="8">
        <v>70</v>
      </c>
      <c r="F1236" s="194" t="s">
        <v>1149</v>
      </c>
      <c r="G1236" s="2">
        <v>4</v>
      </c>
      <c r="H1236" s="2">
        <v>8</v>
      </c>
      <c r="I1236" s="37">
        <v>10000</v>
      </c>
      <c r="J1236" s="2" t="s">
        <v>110</v>
      </c>
      <c r="K1236" s="109" t="s">
        <v>601</v>
      </c>
      <c r="L1236" s="89">
        <v>60000</v>
      </c>
      <c r="M1236" s="202">
        <v>60</v>
      </c>
      <c r="N1236" s="39" t="s">
        <v>48</v>
      </c>
      <c r="O1236" s="39" t="s">
        <v>57</v>
      </c>
      <c r="P1236" s="19"/>
      <c r="Q1236" s="38">
        <f>R1236*I1236</f>
        <v>700.00000000000011</v>
      </c>
      <c r="R1236" s="15">
        <v>7.0000000000000007E-2</v>
      </c>
      <c r="S1236" s="149" t="s">
        <v>110</v>
      </c>
      <c r="T1236" s="149"/>
      <c r="U1236" s="109" t="s">
        <v>767</v>
      </c>
      <c r="V1236" s="10" t="s">
        <v>121</v>
      </c>
      <c r="W1236" s="10"/>
      <c r="Y1236" s="70"/>
      <c r="Z1236" s="70"/>
      <c r="AA1236" s="70"/>
      <c r="AC1236" s="70"/>
      <c r="AD1236" s="70"/>
      <c r="AE1236" s="2" t="e">
        <f>AD1236*#REF!</f>
        <v>#REF!</v>
      </c>
      <c r="AF1236" s="2" t="e">
        <f>Z1236/Y1236</f>
        <v>#DIV/0!</v>
      </c>
      <c r="AG1236" s="2" t="e">
        <f>AA1236/Z1236</f>
        <v>#DIV/0!</v>
      </c>
      <c r="AH1236" s="2" t="e">
        <f>AC1236/AA1236</f>
        <v>#DIV/0!</v>
      </c>
    </row>
    <row r="1237" spans="1:34">
      <c r="A1237" s="165" t="s">
        <v>1383</v>
      </c>
      <c r="B1237" s="39" t="s">
        <v>63</v>
      </c>
      <c r="C1237" s="192">
        <v>46200</v>
      </c>
      <c r="D1237" s="144">
        <v>0.54166666666666663</v>
      </c>
      <c r="E1237" s="8"/>
      <c r="F1237" s="194" t="s">
        <v>881</v>
      </c>
      <c r="G1237" s="2">
        <v>1</v>
      </c>
      <c r="H1237" s="2">
        <v>9</v>
      </c>
      <c r="I1237" s="37">
        <v>250</v>
      </c>
      <c r="J1237" s="2" t="s">
        <v>766</v>
      </c>
      <c r="K1237" s="88" t="s">
        <v>787</v>
      </c>
      <c r="L1237" s="89">
        <v>25000</v>
      </c>
      <c r="M1237" s="205">
        <v>30</v>
      </c>
      <c r="N1237" s="39" t="s">
        <v>817</v>
      </c>
      <c r="O1237" s="39" t="s">
        <v>49</v>
      </c>
      <c r="P1237" s="210"/>
      <c r="Q1237" s="19">
        <v>50</v>
      </c>
      <c r="R1237" s="15">
        <f>Q1237/I1237</f>
        <v>0.2</v>
      </c>
      <c r="S1237" s="5">
        <v>44</v>
      </c>
      <c r="U1237" s="109" t="s">
        <v>767</v>
      </c>
      <c r="V1237" s="21" t="s">
        <v>360</v>
      </c>
      <c r="W1237" s="10"/>
      <c r="Y1237" s="175"/>
      <c r="Z1237" s="175"/>
      <c r="AA1237" s="175"/>
      <c r="AB1237" s="175"/>
      <c r="AC1237" s="175"/>
      <c r="AD1237" s="175"/>
      <c r="AE1237" s="175"/>
      <c r="AF1237" s="175"/>
      <c r="AG1237" s="175"/>
      <c r="AH1237" s="175"/>
    </row>
    <row r="1238" spans="1:34">
      <c r="A1238" s="68" t="s">
        <v>357</v>
      </c>
      <c r="B1238" s="68" t="s">
        <v>358</v>
      </c>
      <c r="C1238" s="48">
        <v>46200</v>
      </c>
      <c r="D1238" s="42">
        <v>0.54166666666666663</v>
      </c>
      <c r="E1238" s="8">
        <v>68</v>
      </c>
      <c r="F1238" s="63" t="s">
        <v>355</v>
      </c>
      <c r="G1238" s="2">
        <v>2</v>
      </c>
      <c r="H1238" s="2">
        <v>9</v>
      </c>
      <c r="I1238" s="125">
        <v>1100</v>
      </c>
      <c r="J1238" s="2" t="s">
        <v>766</v>
      </c>
      <c r="K1238" s="137" t="s">
        <v>603</v>
      </c>
      <c r="L1238" s="89">
        <v>40000</v>
      </c>
      <c r="M1238" s="202">
        <v>40</v>
      </c>
      <c r="N1238" s="39" t="s">
        <v>48</v>
      </c>
      <c r="O1238" s="39" t="s">
        <v>49</v>
      </c>
      <c r="P1238" s="135" t="s">
        <v>843</v>
      </c>
      <c r="Q1238" s="19">
        <v>140</v>
      </c>
      <c r="R1238" s="15">
        <f>Q1238/I1238</f>
        <v>0.12727272727272726</v>
      </c>
      <c r="S1238" s="5">
        <f>($AC1238*$AD1238)/(($Z1238/$Y1238)+($AA1238/$Z1238)+($AB1238/$AA1238))</f>
        <v>102.59605399792316</v>
      </c>
      <c r="U1238" s="109" t="s">
        <v>767</v>
      </c>
      <c r="V1238" s="10" t="s">
        <v>684</v>
      </c>
      <c r="W1238" s="10"/>
      <c r="Y1238" s="2">
        <v>2</v>
      </c>
      <c r="Z1238" s="2">
        <v>5</v>
      </c>
      <c r="AA1238" s="2">
        <v>13</v>
      </c>
      <c r="AB1238" s="2">
        <v>30</v>
      </c>
      <c r="AC1238" s="2">
        <v>40</v>
      </c>
      <c r="AD1238" s="2">
        <v>19</v>
      </c>
      <c r="AE1238" s="2">
        <f>AC1238*AD1238</f>
        <v>760</v>
      </c>
      <c r="AF1238" s="2">
        <f>Z1238/Y1238</f>
        <v>2.5</v>
      </c>
      <c r="AG1238" s="2">
        <f>AA1238/Z1238</f>
        <v>2.6</v>
      </c>
      <c r="AH1238" s="2">
        <f>AB1238/AA1238</f>
        <v>2.3076923076923075</v>
      </c>
    </row>
    <row r="1239" spans="1:34">
      <c r="A1239" s="52" t="s">
        <v>220</v>
      </c>
      <c r="B1239" s="52" t="s">
        <v>221</v>
      </c>
      <c r="C1239" s="48">
        <v>46200</v>
      </c>
      <c r="D1239" s="42">
        <v>0.54166666666666663</v>
      </c>
      <c r="E1239" s="193"/>
      <c r="F1239" s="8" t="s">
        <v>1066</v>
      </c>
      <c r="G1239" s="2">
        <v>2</v>
      </c>
      <c r="H1239" s="2">
        <v>8</v>
      </c>
      <c r="I1239" s="125">
        <v>1600</v>
      </c>
      <c r="J1239" s="2" t="s">
        <v>766</v>
      </c>
      <c r="K1239" s="88" t="s">
        <v>798</v>
      </c>
      <c r="L1239" s="90">
        <v>40000</v>
      </c>
      <c r="M1239" s="64">
        <v>40</v>
      </c>
      <c r="N1239" s="39" t="s">
        <v>48</v>
      </c>
      <c r="O1239" s="39" t="s">
        <v>57</v>
      </c>
      <c r="P1239" s="63">
        <v>1000000</v>
      </c>
      <c r="Q1239" s="2">
        <v>170</v>
      </c>
      <c r="R1239" s="15">
        <f>Q1239/I1239</f>
        <v>0.10625</v>
      </c>
      <c r="S1239" s="149" t="s">
        <v>110</v>
      </c>
      <c r="T1239" s="149"/>
      <c r="U1239" s="109" t="s">
        <v>767</v>
      </c>
      <c r="V1239" s="10" t="s">
        <v>738</v>
      </c>
      <c r="W1239" s="10"/>
      <c r="AE1239" s="2">
        <f>AC1239*AD1239</f>
        <v>0</v>
      </c>
      <c r="AF1239" s="2" t="e">
        <f>Z1239/Y1239</f>
        <v>#DIV/0!</v>
      </c>
      <c r="AG1239" s="2" t="e">
        <f>AA1239/Z1239</f>
        <v>#DIV/0!</v>
      </c>
      <c r="AH1239" s="2" t="e">
        <f>AB1239/AA1239</f>
        <v>#DIV/0!</v>
      </c>
    </row>
    <row r="1240" spans="1:34">
      <c r="A1240" s="96" t="s">
        <v>461</v>
      </c>
      <c r="B1240" s="119" t="s">
        <v>755</v>
      </c>
      <c r="C1240" s="192">
        <v>46200</v>
      </c>
      <c r="D1240" s="42">
        <v>0.59027777777777779</v>
      </c>
      <c r="E1240" s="193"/>
      <c r="F1240" s="8" t="s">
        <v>758</v>
      </c>
      <c r="G1240" s="2">
        <v>1</v>
      </c>
      <c r="I1240" s="37">
        <v>200</v>
      </c>
      <c r="J1240" s="2" t="s">
        <v>766</v>
      </c>
      <c r="K1240" s="109" t="s">
        <v>767</v>
      </c>
      <c r="M1240" s="202"/>
      <c r="N1240" s="39" t="s">
        <v>48</v>
      </c>
      <c r="O1240" s="39" t="s">
        <v>49</v>
      </c>
      <c r="P1240" s="210"/>
      <c r="S1240" s="120"/>
      <c r="T1240" s="120"/>
      <c r="U1240" s="109" t="s">
        <v>125</v>
      </c>
      <c r="V1240" s="10"/>
      <c r="W1240" s="10"/>
    </row>
    <row r="1241" spans="1:34">
      <c r="A1241" s="165" t="s">
        <v>1383</v>
      </c>
      <c r="B1241" s="39" t="s">
        <v>63</v>
      </c>
      <c r="C1241" s="192">
        <v>46200</v>
      </c>
      <c r="D1241" s="144">
        <v>0.625</v>
      </c>
      <c r="F1241" s="8" t="s">
        <v>912</v>
      </c>
      <c r="G1241" s="2">
        <v>1</v>
      </c>
      <c r="H1241" s="2">
        <v>9</v>
      </c>
      <c r="I1241" s="37">
        <v>240</v>
      </c>
      <c r="J1241" s="2" t="s">
        <v>766</v>
      </c>
      <c r="K1241" s="88" t="s">
        <v>784</v>
      </c>
      <c r="L1241" s="89">
        <v>10000</v>
      </c>
      <c r="M1241" s="202">
        <v>20</v>
      </c>
      <c r="N1241" s="132" t="s">
        <v>821</v>
      </c>
      <c r="O1241" s="39" t="s">
        <v>49</v>
      </c>
      <c r="Q1241" s="19">
        <v>40</v>
      </c>
      <c r="R1241" s="15">
        <v>0.16666666666666666</v>
      </c>
      <c r="S1241" s="5">
        <v>29</v>
      </c>
      <c r="U1241" s="109" t="s">
        <v>767</v>
      </c>
      <c r="V1241" s="21" t="s">
        <v>362</v>
      </c>
      <c r="W1241" s="194" t="s">
        <v>367</v>
      </c>
      <c r="Y1241" s="175"/>
      <c r="Z1241" s="175"/>
      <c r="AA1241" s="175"/>
      <c r="AB1241" s="175"/>
      <c r="AC1241" s="175"/>
      <c r="AD1241" s="175"/>
      <c r="AE1241" s="175"/>
      <c r="AF1241" s="175"/>
      <c r="AG1241" s="175"/>
      <c r="AH1241" s="175"/>
    </row>
    <row r="1242" spans="1:34">
      <c r="A1242" s="165" t="s">
        <v>1383</v>
      </c>
      <c r="B1242" s="39" t="s">
        <v>63</v>
      </c>
      <c r="C1242" s="40">
        <v>46200</v>
      </c>
      <c r="D1242" s="144">
        <v>0.66666666666666663</v>
      </c>
      <c r="F1242" s="8" t="s">
        <v>366</v>
      </c>
      <c r="G1242" s="2">
        <v>1</v>
      </c>
      <c r="H1242" s="2">
        <v>9</v>
      </c>
      <c r="I1242" s="125">
        <v>240</v>
      </c>
      <c r="J1242" s="2" t="s">
        <v>766</v>
      </c>
      <c r="K1242" s="88" t="s">
        <v>790</v>
      </c>
      <c r="L1242" s="90">
        <v>10000</v>
      </c>
      <c r="M1242" s="8">
        <v>20</v>
      </c>
      <c r="N1242" s="132" t="s">
        <v>821</v>
      </c>
      <c r="O1242" s="39" t="s">
        <v>49</v>
      </c>
      <c r="Q1242" s="19">
        <v>40</v>
      </c>
      <c r="R1242" s="15">
        <f>Q1242/I1242</f>
        <v>0.16666666666666666</v>
      </c>
      <c r="S1242" s="5">
        <v>29</v>
      </c>
      <c r="U1242" s="109" t="s">
        <v>767</v>
      </c>
      <c r="V1242" s="21" t="s">
        <v>362</v>
      </c>
      <c r="W1242" s="194" t="s">
        <v>365</v>
      </c>
      <c r="Y1242" s="175"/>
      <c r="Z1242" s="175"/>
      <c r="AA1242" s="175"/>
      <c r="AB1242" s="175"/>
      <c r="AC1242" s="175"/>
      <c r="AD1242" s="175"/>
      <c r="AE1242" s="175"/>
      <c r="AF1242" s="175"/>
      <c r="AG1242" s="175"/>
      <c r="AH1242" s="175"/>
    </row>
    <row r="1243" spans="1:34">
      <c r="A1243" s="165" t="s">
        <v>1383</v>
      </c>
      <c r="B1243" s="39" t="s">
        <v>63</v>
      </c>
      <c r="C1243" s="192">
        <v>46200</v>
      </c>
      <c r="D1243" s="144">
        <v>0.66666666666666663</v>
      </c>
      <c r="E1243" s="8"/>
      <c r="F1243" s="8" t="s">
        <v>1024</v>
      </c>
      <c r="G1243" s="2">
        <v>1</v>
      </c>
      <c r="H1243" s="2">
        <v>9</v>
      </c>
      <c r="I1243" s="37">
        <v>400</v>
      </c>
      <c r="J1243" s="2" t="s">
        <v>766</v>
      </c>
      <c r="K1243" s="88" t="s">
        <v>794</v>
      </c>
      <c r="L1243" s="89">
        <v>30000</v>
      </c>
      <c r="M1243" s="205">
        <v>20</v>
      </c>
      <c r="N1243" s="39" t="s">
        <v>817</v>
      </c>
      <c r="O1243" s="39" t="s">
        <v>49</v>
      </c>
      <c r="Q1243" s="19">
        <v>70</v>
      </c>
      <c r="R1243" s="15">
        <f>Q1243/I1243</f>
        <v>0.17499999999999999</v>
      </c>
      <c r="S1243" s="5">
        <v>37</v>
      </c>
      <c r="U1243" s="109" t="s">
        <v>129</v>
      </c>
      <c r="V1243" s="21" t="s">
        <v>360</v>
      </c>
      <c r="W1243" s="10"/>
      <c r="Y1243" s="175"/>
      <c r="Z1243" s="175"/>
      <c r="AA1243" s="175"/>
      <c r="AB1243" s="175"/>
      <c r="AC1243" s="175"/>
      <c r="AD1243" s="175"/>
      <c r="AE1243" s="175"/>
      <c r="AF1243" s="175"/>
      <c r="AG1243" s="175"/>
      <c r="AH1243" s="175"/>
    </row>
    <row r="1244" spans="1:34">
      <c r="A1244" s="52" t="s">
        <v>229</v>
      </c>
      <c r="B1244" s="52" t="s">
        <v>230</v>
      </c>
      <c r="C1244" s="40">
        <v>46200</v>
      </c>
      <c r="D1244" s="42">
        <v>0.66666666666666663</v>
      </c>
      <c r="E1244" s="193"/>
      <c r="F1244" s="8" t="s">
        <v>239</v>
      </c>
      <c r="G1244" s="2">
        <v>1</v>
      </c>
      <c r="I1244" s="125">
        <v>240</v>
      </c>
      <c r="J1244" s="2" t="s">
        <v>766</v>
      </c>
      <c r="K1244" s="88" t="s">
        <v>795</v>
      </c>
      <c r="L1244" s="90">
        <v>30000</v>
      </c>
      <c r="M1244" s="8">
        <v>20</v>
      </c>
      <c r="N1244" s="39" t="s">
        <v>48</v>
      </c>
      <c r="O1244" s="39" t="s">
        <v>870</v>
      </c>
      <c r="P1244" s="213">
        <v>10000</v>
      </c>
      <c r="Q1244" s="2">
        <v>40</v>
      </c>
      <c r="R1244" s="15">
        <f>IF(Q1244&gt;0,Q1244/I1244,"")</f>
        <v>0.16666666666666666</v>
      </c>
      <c r="S1244" s="149" t="s">
        <v>110</v>
      </c>
      <c r="T1244" s="149"/>
      <c r="U1244" s="109" t="s">
        <v>767</v>
      </c>
      <c r="V1244" s="10" t="s">
        <v>719</v>
      </c>
      <c r="W1244" s="10"/>
      <c r="AE1244" s="2">
        <f>AC1244*AD1244</f>
        <v>0</v>
      </c>
      <c r="AF1244" s="2" t="e">
        <f>Z1244/Y1244</f>
        <v>#DIV/0!</v>
      </c>
      <c r="AG1244" s="2" t="e">
        <f>AA1244/Z1244</f>
        <v>#DIV/0!</v>
      </c>
      <c r="AH1244" s="2" t="e">
        <f>AB1244/AA1244</f>
        <v>#DIV/0!</v>
      </c>
    </row>
    <row r="1245" spans="1:34">
      <c r="A1245" s="103" t="s">
        <v>539</v>
      </c>
      <c r="B1245" s="103" t="s">
        <v>540</v>
      </c>
      <c r="C1245" s="48">
        <v>46200</v>
      </c>
      <c r="D1245" s="42">
        <v>0.70833333333333337</v>
      </c>
      <c r="E1245" s="8">
        <v>85</v>
      </c>
      <c r="F1245" s="114" t="s">
        <v>582</v>
      </c>
      <c r="G1245" s="2">
        <v>1</v>
      </c>
      <c r="H1245" s="2">
        <v>8</v>
      </c>
      <c r="I1245" s="125">
        <v>250</v>
      </c>
      <c r="J1245" s="179" t="s">
        <v>766</v>
      </c>
      <c r="K1245" s="179" t="s">
        <v>602</v>
      </c>
      <c r="L1245" s="89">
        <v>25000</v>
      </c>
      <c r="M1245" s="54">
        <v>20</v>
      </c>
      <c r="N1245" s="39" t="s">
        <v>48</v>
      </c>
      <c r="O1245" s="39" t="s">
        <v>451</v>
      </c>
      <c r="P1245" s="63">
        <v>10000</v>
      </c>
      <c r="Q1245" s="2">
        <v>55</v>
      </c>
      <c r="R1245" s="15">
        <f>Q1245/I1245</f>
        <v>0.22</v>
      </c>
      <c r="S1245" s="142"/>
      <c r="U1245" s="109" t="s">
        <v>767</v>
      </c>
      <c r="V1245" s="21" t="s">
        <v>1395</v>
      </c>
      <c r="W1245" s="10"/>
      <c r="AE1245" s="2">
        <f>AC1245*AD1245</f>
        <v>0</v>
      </c>
      <c r="AF1245" s="2" t="e">
        <f>Z1245/Y1245</f>
        <v>#DIV/0!</v>
      </c>
      <c r="AG1245" s="2" t="e">
        <f>AA1245/Z1245</f>
        <v>#DIV/0!</v>
      </c>
      <c r="AH1245" s="2" t="e">
        <f>AB1245/AA1245</f>
        <v>#DIV/0!</v>
      </c>
    </row>
    <row r="1246" spans="1:34">
      <c r="A1246" s="102" t="s">
        <v>475</v>
      </c>
      <c r="B1246" s="102" t="s">
        <v>476</v>
      </c>
      <c r="C1246" s="40">
        <v>46200</v>
      </c>
      <c r="D1246" s="42">
        <v>0.75</v>
      </c>
      <c r="E1246" s="8">
        <v>32</v>
      </c>
      <c r="F1246" s="8" t="s">
        <v>497</v>
      </c>
      <c r="G1246" s="2">
        <v>1</v>
      </c>
      <c r="H1246" s="2">
        <v>8</v>
      </c>
      <c r="I1246" s="125">
        <v>250</v>
      </c>
      <c r="J1246" s="2" t="s">
        <v>766</v>
      </c>
      <c r="K1246" s="109" t="s">
        <v>602</v>
      </c>
      <c r="L1246" s="105">
        <v>25000</v>
      </c>
      <c r="M1246" s="64">
        <v>30</v>
      </c>
      <c r="N1246" s="39" t="s">
        <v>48</v>
      </c>
      <c r="O1246" s="39" t="s">
        <v>373</v>
      </c>
      <c r="P1246" s="63">
        <v>10000</v>
      </c>
      <c r="Q1246" s="2">
        <v>45</v>
      </c>
      <c r="R1246" s="15">
        <f>Q1246/I1246</f>
        <v>0.18</v>
      </c>
      <c r="S1246" s="149" t="s">
        <v>110</v>
      </c>
      <c r="T1246" s="149"/>
      <c r="U1246" s="109" t="s">
        <v>767</v>
      </c>
      <c r="V1246" s="10" t="s">
        <v>625</v>
      </c>
      <c r="W1246" s="10"/>
      <c r="AE1246" s="2">
        <f>AC1246*AD1246</f>
        <v>0</v>
      </c>
      <c r="AF1246" s="2" t="e">
        <f>Z1246/Y1246</f>
        <v>#DIV/0!</v>
      </c>
      <c r="AG1246" s="2" t="e">
        <f>AA1246/Z1246</f>
        <v>#DIV/0!</v>
      </c>
      <c r="AH1246" s="2" t="e">
        <f>AB1246/AA1246</f>
        <v>#DIV/0!</v>
      </c>
    </row>
    <row r="1247" spans="1:34">
      <c r="A1247" s="52" t="s">
        <v>229</v>
      </c>
      <c r="B1247" s="52" t="s">
        <v>230</v>
      </c>
      <c r="C1247" s="40">
        <v>46200</v>
      </c>
      <c r="D1247" s="42">
        <v>0.75</v>
      </c>
      <c r="E1247" s="193"/>
      <c r="F1247" s="8" t="s">
        <v>244</v>
      </c>
      <c r="G1247" s="2">
        <v>1</v>
      </c>
      <c r="I1247" s="125">
        <v>200</v>
      </c>
      <c r="J1247" s="2" t="s">
        <v>766</v>
      </c>
      <c r="K1247" s="88" t="s">
        <v>804</v>
      </c>
      <c r="L1247" s="90">
        <v>30000</v>
      </c>
      <c r="M1247" s="8">
        <v>20</v>
      </c>
      <c r="N1247" s="39" t="s">
        <v>48</v>
      </c>
      <c r="O1247" s="39" t="s">
        <v>49</v>
      </c>
      <c r="P1247" s="135" t="s">
        <v>832</v>
      </c>
      <c r="Q1247" s="19">
        <v>40</v>
      </c>
      <c r="R1247" s="15">
        <f>IF(Q1247&gt;0,Q1247/I1247,"")</f>
        <v>0.2</v>
      </c>
      <c r="S1247" s="5">
        <f>($AC1247*$AD1247)/(($Z1247/$Y1247)+($AA1247/$Z1247)+($AB1247/$AA1247))</f>
        <v>35.555555555555557</v>
      </c>
      <c r="U1247" s="109" t="s">
        <v>767</v>
      </c>
      <c r="V1247" s="10" t="s">
        <v>719</v>
      </c>
      <c r="W1247" s="10"/>
      <c r="Y1247" s="2">
        <v>2</v>
      </c>
      <c r="Z1247" s="2">
        <v>5</v>
      </c>
      <c r="AA1247" s="2">
        <v>20</v>
      </c>
      <c r="AB1247" s="2">
        <v>50</v>
      </c>
      <c r="AC1247" s="2">
        <v>20</v>
      </c>
      <c r="AD1247" s="2">
        <v>16</v>
      </c>
      <c r="AE1247" s="2">
        <f>AC1247*AD1247</f>
        <v>320</v>
      </c>
      <c r="AF1247" s="2">
        <f>Z1247/Y1247</f>
        <v>2.5</v>
      </c>
      <c r="AG1247" s="2">
        <f>AA1247/Z1247</f>
        <v>4</v>
      </c>
      <c r="AH1247" s="2">
        <f>AB1247/AA1247</f>
        <v>2.5</v>
      </c>
    </row>
    <row r="1248" spans="1:34">
      <c r="A1248" s="52" t="s">
        <v>220</v>
      </c>
      <c r="B1248" s="52" t="s">
        <v>221</v>
      </c>
      <c r="C1248" s="48">
        <v>46200</v>
      </c>
      <c r="D1248" s="42">
        <v>0.75</v>
      </c>
      <c r="E1248" s="193"/>
      <c r="F1248" s="8" t="s">
        <v>1073</v>
      </c>
      <c r="G1248" s="2">
        <v>1</v>
      </c>
      <c r="H1248" s="2">
        <v>9</v>
      </c>
      <c r="I1248" s="125">
        <v>1100</v>
      </c>
      <c r="J1248" s="2" t="s">
        <v>766</v>
      </c>
      <c r="K1248" s="88" t="s">
        <v>799</v>
      </c>
      <c r="L1248" s="90">
        <v>30000</v>
      </c>
      <c r="M1248" s="64">
        <v>20</v>
      </c>
      <c r="N1248" s="39" t="s">
        <v>48</v>
      </c>
      <c r="O1248" s="39" t="s">
        <v>49</v>
      </c>
      <c r="P1248" s="212" t="s">
        <v>838</v>
      </c>
      <c r="Q1248" s="19">
        <v>125</v>
      </c>
      <c r="R1248" s="15">
        <f>Q1248/I1248</f>
        <v>0.11363636363636363</v>
      </c>
      <c r="S1248" s="5">
        <f>($AC1248*$AD1248)/(($Z1248/$Y1248)+($AA1248/$Z1248)+($AB1248/$AA1248))</f>
        <v>41.632653061224495</v>
      </c>
      <c r="U1248" s="109" t="s">
        <v>129</v>
      </c>
      <c r="V1248" s="10" t="s">
        <v>738</v>
      </c>
      <c r="W1248" s="10"/>
      <c r="Y1248" s="2">
        <v>2</v>
      </c>
      <c r="Z1248" s="2">
        <v>5</v>
      </c>
      <c r="AA1248" s="2">
        <v>15</v>
      </c>
      <c r="AB1248" s="2">
        <v>40</v>
      </c>
      <c r="AC1248" s="2">
        <v>17</v>
      </c>
      <c r="AD1248" s="115">
        <v>20</v>
      </c>
      <c r="AE1248" s="2">
        <f>AC1248*AD1248</f>
        <v>340</v>
      </c>
      <c r="AF1248" s="2">
        <f>Z1248/Y1248</f>
        <v>2.5</v>
      </c>
      <c r="AG1248" s="2">
        <f>AA1248/Z1248</f>
        <v>3</v>
      </c>
      <c r="AH1248" s="2">
        <f>AB1248/AA1248</f>
        <v>2.6666666666666665</v>
      </c>
    </row>
    <row r="1249" spans="1:34">
      <c r="A1249" s="96" t="s">
        <v>461</v>
      </c>
      <c r="B1249" s="96" t="s">
        <v>462</v>
      </c>
      <c r="C1249" s="192">
        <v>46200</v>
      </c>
      <c r="D1249" s="42">
        <v>0.75694444444444442</v>
      </c>
      <c r="F1249" s="8" t="s">
        <v>460</v>
      </c>
      <c r="G1249" s="2">
        <v>1</v>
      </c>
      <c r="I1249" s="125">
        <v>200</v>
      </c>
      <c r="J1249" s="2" t="s">
        <v>766</v>
      </c>
      <c r="K1249" s="109" t="s">
        <v>602</v>
      </c>
      <c r="L1249" s="8">
        <v>30000</v>
      </c>
      <c r="M1249" s="202">
        <v>20</v>
      </c>
      <c r="N1249" s="39" t="s">
        <v>48</v>
      </c>
      <c r="O1249" s="39" t="s">
        <v>49</v>
      </c>
      <c r="P1249" s="212" t="s">
        <v>833</v>
      </c>
      <c r="Q1249" s="19">
        <v>40</v>
      </c>
      <c r="R1249" s="15">
        <f>Q1249/I1249</f>
        <v>0.2</v>
      </c>
      <c r="S1249" s="5">
        <f>($AC1249*$AD1249)/(($Z1249/$Y1249)+($AA1249/$Z1249)+($AB1249/$AA1249))</f>
        <v>41.632653061224495</v>
      </c>
      <c r="U1249" s="109" t="s">
        <v>219</v>
      </c>
      <c r="V1249" s="10" t="s">
        <v>735</v>
      </c>
      <c r="W1249" s="222" t="s">
        <v>466</v>
      </c>
      <c r="Y1249" s="2">
        <v>2</v>
      </c>
      <c r="Z1249" s="2">
        <v>5</v>
      </c>
      <c r="AA1249" s="2">
        <v>15</v>
      </c>
      <c r="AB1249" s="2">
        <v>40</v>
      </c>
      <c r="AC1249" s="2">
        <v>17</v>
      </c>
      <c r="AD1249" s="2">
        <v>20</v>
      </c>
      <c r="AE1249" s="2">
        <f>AC1249*AD1249</f>
        <v>340</v>
      </c>
      <c r="AF1249" s="2">
        <f>Z1249/Y1249</f>
        <v>2.5</v>
      </c>
      <c r="AG1249" s="2">
        <f>AA1249/Z1249</f>
        <v>3</v>
      </c>
      <c r="AH1249" s="2">
        <f>AB1249/AA1249</f>
        <v>2.6666666666666665</v>
      </c>
    </row>
    <row r="1250" spans="1:34">
      <c r="A1250" s="68" t="s">
        <v>357</v>
      </c>
      <c r="B1250" s="68" t="s">
        <v>358</v>
      </c>
      <c r="C1250" s="48">
        <v>46200</v>
      </c>
      <c r="D1250" s="42">
        <v>0.75694444444444442</v>
      </c>
      <c r="E1250" s="8">
        <v>71</v>
      </c>
      <c r="F1250" s="63" t="s">
        <v>290</v>
      </c>
      <c r="G1250" s="2">
        <v>1</v>
      </c>
      <c r="H1250" s="2">
        <v>9</v>
      </c>
      <c r="I1250" s="125">
        <v>600</v>
      </c>
      <c r="J1250" s="2" t="s">
        <v>766</v>
      </c>
      <c r="K1250" s="137" t="s">
        <v>602</v>
      </c>
      <c r="L1250" s="89">
        <v>25000</v>
      </c>
      <c r="M1250" s="202">
        <v>30</v>
      </c>
      <c r="N1250" s="39" t="s">
        <v>48</v>
      </c>
      <c r="O1250" s="39" t="s">
        <v>49</v>
      </c>
      <c r="P1250" s="212" t="s">
        <v>836</v>
      </c>
      <c r="Q1250" s="19">
        <v>80</v>
      </c>
      <c r="R1250" s="15">
        <f>Q1250/I1250</f>
        <v>0.13333333333333333</v>
      </c>
      <c r="S1250" s="5">
        <f>($AC1250*$AD1250)/(($Z1250/$Y1250)+($AA1250/$Z1250)+($AB1250/$AA1250))</f>
        <v>55.03292568203198</v>
      </c>
      <c r="U1250" s="109" t="s">
        <v>219</v>
      </c>
      <c r="V1250" s="205" t="s">
        <v>662</v>
      </c>
      <c r="W1250" s="220" t="s">
        <v>389</v>
      </c>
      <c r="Y1250" s="2">
        <v>2.5</v>
      </c>
      <c r="Z1250" s="2">
        <v>6.5</v>
      </c>
      <c r="AA1250" s="2">
        <v>20</v>
      </c>
      <c r="AB1250" s="2">
        <v>50</v>
      </c>
      <c r="AC1250" s="2">
        <v>30</v>
      </c>
      <c r="AD1250" s="2">
        <v>15</v>
      </c>
      <c r="AE1250" s="2">
        <f>AC1250*AD1250</f>
        <v>450</v>
      </c>
      <c r="AF1250" s="2">
        <f>Z1250/Y1250</f>
        <v>2.6</v>
      </c>
      <c r="AG1250" s="2">
        <f>AA1250/Z1250</f>
        <v>3.0769230769230771</v>
      </c>
      <c r="AH1250" s="2">
        <f>AB1250/AA1250</f>
        <v>2.5</v>
      </c>
    </row>
    <row r="1251" spans="1:34">
      <c r="A1251" s="95" t="s">
        <v>447</v>
      </c>
      <c r="B1251" s="95" t="s">
        <v>448</v>
      </c>
      <c r="C1251" s="40">
        <v>46200</v>
      </c>
      <c r="D1251" s="42">
        <v>0.79166666666666663</v>
      </c>
      <c r="E1251" s="193"/>
      <c r="F1251" s="8" t="s">
        <v>403</v>
      </c>
      <c r="G1251" s="2">
        <v>1</v>
      </c>
      <c r="H1251" s="2">
        <v>9</v>
      </c>
      <c r="I1251" s="125">
        <v>300</v>
      </c>
      <c r="J1251" s="2" t="s">
        <v>766</v>
      </c>
      <c r="K1251" s="109" t="s">
        <v>602</v>
      </c>
      <c r="L1251" s="8">
        <v>25000</v>
      </c>
      <c r="M1251" s="8">
        <v>25</v>
      </c>
      <c r="N1251" s="39" t="s">
        <v>48</v>
      </c>
      <c r="O1251" s="39" t="s">
        <v>49</v>
      </c>
      <c r="P1251" s="212" t="s">
        <v>834</v>
      </c>
      <c r="Q1251" s="19">
        <v>50</v>
      </c>
      <c r="R1251" s="15">
        <f>Q1251/I1251</f>
        <v>0.16666666666666666</v>
      </c>
      <c r="S1251" s="5">
        <f>($AC1251*$AD1251)/(($Z1251/$Y1251)+($AA1251/$Z1251)+($AB1251/$AA1251))</f>
        <v>37.5</v>
      </c>
      <c r="U1251" s="109" t="s">
        <v>767</v>
      </c>
      <c r="V1251" s="10" t="s">
        <v>741</v>
      </c>
      <c r="W1251" s="10"/>
      <c r="Y1251" s="2">
        <v>2.5</v>
      </c>
      <c r="Z1251" s="2">
        <v>7.5</v>
      </c>
      <c r="AA1251" s="2">
        <v>25</v>
      </c>
      <c r="AB1251" s="2">
        <v>75</v>
      </c>
      <c r="AC1251" s="2">
        <v>14</v>
      </c>
      <c r="AD1251" s="2">
        <v>25</v>
      </c>
      <c r="AE1251" s="2">
        <f>AC1251*AD1251</f>
        <v>350</v>
      </c>
      <c r="AF1251" s="2">
        <f>Z1251/Y1251</f>
        <v>3</v>
      </c>
      <c r="AG1251" s="2">
        <f>AA1251/Z1251</f>
        <v>3.3333333333333335</v>
      </c>
      <c r="AH1251" s="2">
        <f>AB1251/AA1251</f>
        <v>3</v>
      </c>
    </row>
    <row r="1252" spans="1:34">
      <c r="A1252" s="103" t="s">
        <v>539</v>
      </c>
      <c r="B1252" s="103" t="s">
        <v>540</v>
      </c>
      <c r="C1252" s="48">
        <v>46200</v>
      </c>
      <c r="D1252" s="42">
        <v>0.79166666666666663</v>
      </c>
      <c r="E1252" s="8">
        <v>86</v>
      </c>
      <c r="F1252" s="63" t="s">
        <v>544</v>
      </c>
      <c r="G1252" s="2">
        <v>1</v>
      </c>
      <c r="H1252" s="2">
        <v>9</v>
      </c>
      <c r="I1252" s="125">
        <v>150</v>
      </c>
      <c r="J1252" s="179" t="s">
        <v>766</v>
      </c>
      <c r="K1252" s="179" t="s">
        <v>602</v>
      </c>
      <c r="L1252" s="89">
        <v>30000</v>
      </c>
      <c r="M1252" s="202">
        <v>15</v>
      </c>
      <c r="N1252" s="39" t="s">
        <v>48</v>
      </c>
      <c r="O1252" s="39" t="s">
        <v>49</v>
      </c>
      <c r="P1252" s="135" t="s">
        <v>828</v>
      </c>
      <c r="Q1252" s="19">
        <v>46</v>
      </c>
      <c r="R1252" s="15">
        <f>Q1252/I1252</f>
        <v>0.30666666666666664</v>
      </c>
      <c r="S1252" s="5">
        <f>($AC1252*$AD1252)/(($Z1252/$Y1252)+($AA1252/$Z1252)+($AB1252/$AA1252))</f>
        <v>19.534883720930232</v>
      </c>
      <c r="U1252" s="109" t="s">
        <v>129</v>
      </c>
      <c r="V1252" s="21" t="s">
        <v>1395</v>
      </c>
      <c r="W1252" s="182" t="s">
        <v>1389</v>
      </c>
      <c r="Y1252" s="2">
        <v>4</v>
      </c>
      <c r="Z1252" s="2">
        <v>8</v>
      </c>
      <c r="AA1252" s="2">
        <v>30</v>
      </c>
      <c r="AB1252" s="2">
        <v>150</v>
      </c>
      <c r="AC1252" s="2">
        <v>14</v>
      </c>
      <c r="AD1252" s="2">
        <v>15</v>
      </c>
      <c r="AE1252" s="2">
        <f>AC1252*AD1252</f>
        <v>210</v>
      </c>
      <c r="AF1252" s="2">
        <f>Z1252/Y1252</f>
        <v>2</v>
      </c>
      <c r="AG1252" s="2">
        <f>AA1252/Z1252</f>
        <v>3.75</v>
      </c>
      <c r="AH1252" s="2">
        <f>AB1252/AA1252</f>
        <v>5</v>
      </c>
    </row>
    <row r="1253" spans="1:34">
      <c r="A1253" s="165" t="s">
        <v>1383</v>
      </c>
      <c r="B1253" s="39" t="s">
        <v>63</v>
      </c>
      <c r="C1253" s="192">
        <v>46200</v>
      </c>
      <c r="D1253" s="144">
        <v>0.79166666666666663</v>
      </c>
      <c r="F1253" s="8" t="s">
        <v>917</v>
      </c>
      <c r="G1253" s="2">
        <v>1</v>
      </c>
      <c r="H1253" s="2">
        <v>9</v>
      </c>
      <c r="I1253" s="57">
        <v>585</v>
      </c>
      <c r="J1253" s="2" t="s">
        <v>766</v>
      </c>
      <c r="K1253" s="88" t="s">
        <v>800</v>
      </c>
      <c r="L1253" s="89">
        <v>10000</v>
      </c>
      <c r="M1253" s="202">
        <v>20</v>
      </c>
      <c r="N1253" s="132" t="s">
        <v>821</v>
      </c>
      <c r="O1253" s="39" t="s">
        <v>49</v>
      </c>
      <c r="P1253" s="210"/>
      <c r="Q1253" s="19">
        <v>89</v>
      </c>
      <c r="R1253" s="59">
        <f>Q1253/I1253</f>
        <v>0.15213675213675212</v>
      </c>
      <c r="S1253" s="5">
        <v>29</v>
      </c>
      <c r="U1253" s="109" t="s">
        <v>767</v>
      </c>
      <c r="V1253" s="84" t="s">
        <v>362</v>
      </c>
      <c r="W1253" s="194" t="s">
        <v>368</v>
      </c>
      <c r="Y1253" s="175"/>
      <c r="Z1253" s="175"/>
      <c r="AA1253" s="175"/>
      <c r="AB1253" s="175"/>
      <c r="AC1253" s="175"/>
      <c r="AD1253" s="175"/>
      <c r="AE1253" s="175"/>
      <c r="AF1253" s="175"/>
      <c r="AG1253" s="175"/>
      <c r="AH1253" s="175"/>
    </row>
    <row r="1254" spans="1:34">
      <c r="A1254" s="165" t="s">
        <v>1383</v>
      </c>
      <c r="B1254" s="39" t="s">
        <v>63</v>
      </c>
      <c r="C1254" s="192">
        <v>46200</v>
      </c>
      <c r="D1254" s="144">
        <v>0.83333333333333337</v>
      </c>
      <c r="E1254" s="8"/>
      <c r="F1254" s="8" t="s">
        <v>1023</v>
      </c>
      <c r="G1254" s="2">
        <v>1</v>
      </c>
      <c r="H1254" s="2">
        <v>9</v>
      </c>
      <c r="I1254" s="37">
        <v>200</v>
      </c>
      <c r="J1254" s="2" t="s">
        <v>766</v>
      </c>
      <c r="K1254" s="88" t="s">
        <v>806</v>
      </c>
      <c r="L1254" s="89">
        <v>20000</v>
      </c>
      <c r="M1254" s="205">
        <v>20</v>
      </c>
      <c r="N1254" s="39" t="s">
        <v>817</v>
      </c>
      <c r="O1254" s="39" t="s">
        <v>49</v>
      </c>
      <c r="P1254" s="210"/>
      <c r="Q1254" s="19">
        <v>45</v>
      </c>
      <c r="R1254" s="15">
        <f>Q1254/I1254</f>
        <v>0.22500000000000001</v>
      </c>
      <c r="S1254" s="5">
        <v>23</v>
      </c>
      <c r="U1254" s="109" t="s">
        <v>129</v>
      </c>
      <c r="V1254" s="21" t="s">
        <v>360</v>
      </c>
      <c r="W1254" s="10"/>
      <c r="Y1254" s="175"/>
      <c r="Z1254" s="175"/>
      <c r="AA1254" s="175"/>
      <c r="AB1254" s="175"/>
      <c r="AC1254" s="175"/>
      <c r="AD1254" s="175"/>
      <c r="AE1254" s="175"/>
      <c r="AF1254" s="175"/>
      <c r="AG1254" s="175"/>
      <c r="AH1254" s="175"/>
    </row>
    <row r="1255" spans="1:34">
      <c r="A1255" s="165" t="s">
        <v>1383</v>
      </c>
      <c r="B1255" s="39" t="s">
        <v>63</v>
      </c>
      <c r="C1255" s="192">
        <v>46200</v>
      </c>
      <c r="D1255" s="144">
        <v>0.91666666666666663</v>
      </c>
      <c r="F1255" s="8" t="s">
        <v>909</v>
      </c>
      <c r="G1255" s="2">
        <v>1</v>
      </c>
      <c r="H1255" s="2">
        <v>9</v>
      </c>
      <c r="I1255" s="37">
        <v>135</v>
      </c>
      <c r="J1255" s="2" t="s">
        <v>766</v>
      </c>
      <c r="K1255" s="88" t="s">
        <v>813</v>
      </c>
      <c r="L1255" s="89">
        <v>10000</v>
      </c>
      <c r="M1255" s="202">
        <v>15</v>
      </c>
      <c r="N1255" s="132" t="s">
        <v>821</v>
      </c>
      <c r="O1255" s="39" t="s">
        <v>49</v>
      </c>
      <c r="Q1255" s="19">
        <v>35</v>
      </c>
      <c r="R1255" s="15">
        <f>Q1255/I1255</f>
        <v>0.25925925925925924</v>
      </c>
      <c r="S1255" s="5">
        <v>22</v>
      </c>
      <c r="U1255" s="109" t="s">
        <v>767</v>
      </c>
      <c r="V1255" s="21" t="s">
        <v>362</v>
      </c>
      <c r="W1255" s="194" t="s">
        <v>369</v>
      </c>
      <c r="Y1255" s="175"/>
      <c r="Z1255" s="175"/>
      <c r="AA1255" s="175"/>
      <c r="AB1255" s="175"/>
      <c r="AC1255" s="175"/>
      <c r="AD1255" s="175"/>
      <c r="AE1255" s="175"/>
      <c r="AF1255" s="175"/>
      <c r="AG1255" s="175"/>
      <c r="AH1255" s="175"/>
    </row>
    <row r="1256" spans="1:34">
      <c r="A1256" s="96" t="s">
        <v>461</v>
      </c>
      <c r="B1256" s="96" t="s">
        <v>462</v>
      </c>
      <c r="C1256" s="192">
        <v>46200</v>
      </c>
      <c r="D1256" s="42">
        <v>0.92361111111111116</v>
      </c>
      <c r="E1256" s="193"/>
      <c r="F1256" s="8" t="s">
        <v>459</v>
      </c>
      <c r="G1256" s="2">
        <v>1</v>
      </c>
      <c r="I1256" s="125">
        <v>120</v>
      </c>
      <c r="J1256" s="2" t="s">
        <v>766</v>
      </c>
      <c r="K1256" s="109" t="s">
        <v>602</v>
      </c>
      <c r="L1256" s="8">
        <v>20000</v>
      </c>
      <c r="M1256" s="202">
        <v>20</v>
      </c>
      <c r="N1256" s="39" t="s">
        <v>48</v>
      </c>
      <c r="O1256" s="39" t="s">
        <v>465</v>
      </c>
      <c r="P1256" s="63">
        <v>4000</v>
      </c>
      <c r="Q1256" s="2">
        <v>24</v>
      </c>
      <c r="R1256" s="15">
        <f>Q1256/I1256</f>
        <v>0.2</v>
      </c>
      <c r="S1256" s="149" t="s">
        <v>110</v>
      </c>
      <c r="T1256" s="149"/>
      <c r="U1256" s="109" t="s">
        <v>767</v>
      </c>
      <c r="V1256" s="10" t="s">
        <v>735</v>
      </c>
      <c r="W1256" s="10"/>
      <c r="AE1256" s="2">
        <f>AC1256*AD1256</f>
        <v>0</v>
      </c>
      <c r="AF1256" s="2" t="e">
        <f>Z1256/Y1256</f>
        <v>#DIV/0!</v>
      </c>
      <c r="AG1256" s="2" t="e">
        <f>AA1256/Z1256</f>
        <v>#DIV/0!</v>
      </c>
      <c r="AH1256" s="2" t="e">
        <f>AB1256/AA1256</f>
        <v>#DIV/0!</v>
      </c>
    </row>
    <row r="1257" spans="1:34">
      <c r="A1257" s="165" t="s">
        <v>1383</v>
      </c>
      <c r="B1257" s="36" t="s">
        <v>63</v>
      </c>
      <c r="C1257" s="192">
        <v>46200</v>
      </c>
      <c r="D1257" s="144" t="s">
        <v>117</v>
      </c>
      <c r="E1257" s="14">
        <v>63</v>
      </c>
      <c r="F1257" s="8" t="s">
        <v>987</v>
      </c>
      <c r="G1257" s="2">
        <v>3</v>
      </c>
      <c r="H1257" s="2">
        <v>9</v>
      </c>
      <c r="I1257" s="37">
        <v>1000</v>
      </c>
      <c r="J1257" s="2" t="s">
        <v>763</v>
      </c>
      <c r="K1257" s="109" t="s">
        <v>601</v>
      </c>
      <c r="L1257" s="89">
        <v>40000</v>
      </c>
      <c r="M1257" s="202" t="s">
        <v>22</v>
      </c>
      <c r="N1257" s="39" t="s">
        <v>48</v>
      </c>
      <c r="O1257" s="39" t="s">
        <v>49</v>
      </c>
      <c r="P1257" s="210"/>
      <c r="Q1257" s="19">
        <f>R1257*I1257</f>
        <v>120</v>
      </c>
      <c r="R1257" s="15">
        <v>0.12</v>
      </c>
      <c r="S1257" s="5">
        <f>($AC1257*$AD1257)/(($Z1257/$Y1257)+($AA1257/$Z1257)+($AB1257/$AA1257))</f>
        <v>76.947040498442377</v>
      </c>
      <c r="U1257" s="109" t="s">
        <v>767</v>
      </c>
      <c r="V1257" s="10" t="s">
        <v>121</v>
      </c>
      <c r="W1257" s="10"/>
      <c r="Y1257" s="2">
        <v>2</v>
      </c>
      <c r="Z1257" s="2">
        <v>5</v>
      </c>
      <c r="AA1257" s="2">
        <v>13</v>
      </c>
      <c r="AB1257" s="2">
        <v>30</v>
      </c>
      <c r="AC1257" s="2">
        <v>19</v>
      </c>
      <c r="AD1257" s="2">
        <v>30</v>
      </c>
      <c r="AE1257" s="2">
        <f>AC1257*AD1257</f>
        <v>570</v>
      </c>
      <c r="AF1257" s="2">
        <f>Z1257/Y1257</f>
        <v>2.5</v>
      </c>
      <c r="AG1257" s="2">
        <f>AA1257/Z1257</f>
        <v>2.6</v>
      </c>
      <c r="AH1257" s="2">
        <f>AB1257/AA1257</f>
        <v>2.3076923076923075</v>
      </c>
    </row>
    <row r="1258" spans="1:34">
      <c r="A1258" s="165" t="s">
        <v>1383</v>
      </c>
      <c r="B1258" s="36" t="s">
        <v>63</v>
      </c>
      <c r="C1258" s="192">
        <v>46200</v>
      </c>
      <c r="D1258" s="144" t="s">
        <v>115</v>
      </c>
      <c r="E1258" s="8">
        <v>68</v>
      </c>
      <c r="F1258" s="8" t="s">
        <v>1210</v>
      </c>
      <c r="G1258" s="2">
        <v>4</v>
      </c>
      <c r="H1258" s="2">
        <v>9</v>
      </c>
      <c r="I1258" s="37">
        <v>1000</v>
      </c>
      <c r="J1258" s="2" t="s">
        <v>760</v>
      </c>
      <c r="K1258" s="109" t="s">
        <v>602</v>
      </c>
      <c r="L1258" s="89">
        <v>20000</v>
      </c>
      <c r="M1258" s="202">
        <v>60</v>
      </c>
      <c r="N1258" s="39" t="s">
        <v>48</v>
      </c>
      <c r="O1258" s="39" t="s">
        <v>49</v>
      </c>
      <c r="P1258" s="210"/>
      <c r="Q1258" s="19">
        <f>R1258*I1258</f>
        <v>120</v>
      </c>
      <c r="R1258" s="15">
        <v>0.12</v>
      </c>
      <c r="S1258" s="5">
        <f>($AC1258*$AD1258)/(($Z1258/$Y1258)+($AA1258/$Z1258)+($AB1258/$AA1258))</f>
        <v>133.04347826086956</v>
      </c>
      <c r="U1258" s="109" t="s">
        <v>125</v>
      </c>
      <c r="V1258" s="10" t="s">
        <v>121</v>
      </c>
      <c r="W1258" s="10"/>
      <c r="Y1258" s="2">
        <v>1.5</v>
      </c>
      <c r="Z1258" s="2">
        <v>4</v>
      </c>
      <c r="AA1258" s="2">
        <v>10</v>
      </c>
      <c r="AB1258" s="2">
        <v>25</v>
      </c>
      <c r="AC1258" s="2">
        <v>17</v>
      </c>
      <c r="AD1258" s="2">
        <v>60</v>
      </c>
      <c r="AE1258" s="2">
        <f>AC1258*AD1258</f>
        <v>1020</v>
      </c>
      <c r="AF1258" s="2">
        <f>Z1258/Y1258</f>
        <v>2.6666666666666665</v>
      </c>
      <c r="AG1258" s="2">
        <f>AA1258/Z1258</f>
        <v>2.5</v>
      </c>
      <c r="AH1258" s="2">
        <f>AB1258/AA1258</f>
        <v>2.5</v>
      </c>
    </row>
    <row r="1259" spans="1:34">
      <c r="A1259" s="165" t="s">
        <v>1383</v>
      </c>
      <c r="B1259" s="36" t="s">
        <v>63</v>
      </c>
      <c r="C1259" s="192">
        <v>46200</v>
      </c>
      <c r="D1259" s="144" t="s">
        <v>116</v>
      </c>
      <c r="E1259" s="8">
        <v>71</v>
      </c>
      <c r="F1259" s="8" t="s">
        <v>174</v>
      </c>
      <c r="G1259" s="2">
        <v>3</v>
      </c>
      <c r="H1259" s="2">
        <v>7</v>
      </c>
      <c r="I1259" s="37">
        <v>2500</v>
      </c>
      <c r="J1259" s="2" t="s">
        <v>762</v>
      </c>
      <c r="K1259" s="109" t="s">
        <v>815</v>
      </c>
      <c r="L1259" s="89">
        <v>35000</v>
      </c>
      <c r="M1259" s="202" t="s">
        <v>97</v>
      </c>
      <c r="N1259" s="39" t="s">
        <v>48</v>
      </c>
      <c r="O1259" s="39" t="s">
        <v>873</v>
      </c>
      <c r="P1259" s="213"/>
      <c r="Q1259" s="38">
        <f>R1259*I1259</f>
        <v>275</v>
      </c>
      <c r="R1259" s="15">
        <v>0.11</v>
      </c>
      <c r="S1259" s="149" t="s">
        <v>110</v>
      </c>
      <c r="T1259" s="149"/>
      <c r="U1259" s="109" t="s">
        <v>767</v>
      </c>
      <c r="V1259" s="10" t="s">
        <v>121</v>
      </c>
      <c r="W1259" s="10"/>
      <c r="AE1259" s="2" t="e">
        <f>AD1259*#REF!</f>
        <v>#REF!</v>
      </c>
      <c r="AF1259" s="2" t="e">
        <f>Z1259/Y1259</f>
        <v>#DIV/0!</v>
      </c>
      <c r="AG1259" s="2" t="e">
        <f>AA1259/Z1259</f>
        <v>#DIV/0!</v>
      </c>
      <c r="AH1259" s="2" t="e">
        <f>AC1259/AA1259</f>
        <v>#DIV/0!</v>
      </c>
    </row>
    <row r="1260" spans="1:34">
      <c r="A1260" s="165" t="s">
        <v>1383</v>
      </c>
      <c r="B1260" s="36" t="s">
        <v>63</v>
      </c>
      <c r="C1260" s="192">
        <v>46200</v>
      </c>
      <c r="D1260" s="144" t="s">
        <v>118</v>
      </c>
      <c r="E1260" s="14">
        <v>63</v>
      </c>
      <c r="F1260" s="8" t="s">
        <v>982</v>
      </c>
      <c r="G1260" s="2">
        <v>3</v>
      </c>
      <c r="H1260" s="2">
        <v>9</v>
      </c>
      <c r="I1260" s="37">
        <v>1000</v>
      </c>
      <c r="J1260" s="2" t="s">
        <v>763</v>
      </c>
      <c r="K1260" s="109" t="s">
        <v>601</v>
      </c>
      <c r="L1260" s="89">
        <v>40000</v>
      </c>
      <c r="M1260" s="202" t="s">
        <v>113</v>
      </c>
      <c r="N1260" s="39" t="s">
        <v>48</v>
      </c>
      <c r="O1260" s="39" t="s">
        <v>49</v>
      </c>
      <c r="P1260" s="210"/>
      <c r="Q1260" s="19">
        <f>R1260*I1260</f>
        <v>120</v>
      </c>
      <c r="R1260" s="15">
        <v>0.12</v>
      </c>
      <c r="S1260" s="5">
        <f>($AC1260*$AD1260)/(($Z1260/$Y1260)+($AA1260/$Z1260)+($AB1260/$AA1260))</f>
        <v>51.298026998961582</v>
      </c>
      <c r="U1260" s="109" t="s">
        <v>767</v>
      </c>
      <c r="V1260" s="10" t="s">
        <v>121</v>
      </c>
      <c r="W1260" s="10"/>
      <c r="Y1260" s="2">
        <v>2</v>
      </c>
      <c r="Z1260" s="2">
        <v>5</v>
      </c>
      <c r="AA1260" s="2">
        <v>13</v>
      </c>
      <c r="AB1260" s="2">
        <v>30</v>
      </c>
      <c r="AC1260" s="2">
        <v>19</v>
      </c>
      <c r="AD1260" s="2">
        <v>20</v>
      </c>
      <c r="AE1260" s="2">
        <f>AC1260*AD1260</f>
        <v>380</v>
      </c>
      <c r="AF1260" s="2">
        <f>Z1260/Y1260</f>
        <v>2.5</v>
      </c>
      <c r="AG1260" s="2">
        <f>AA1260/Z1260</f>
        <v>2.6</v>
      </c>
      <c r="AH1260" s="2">
        <f>AB1260/AA1260</f>
        <v>2.3076923076923075</v>
      </c>
    </row>
    <row r="1261" spans="1:34">
      <c r="A1261" s="165" t="s">
        <v>1383</v>
      </c>
      <c r="B1261" s="36" t="s">
        <v>63</v>
      </c>
      <c r="C1261" s="192">
        <v>46200</v>
      </c>
      <c r="D1261" s="144" t="s">
        <v>876</v>
      </c>
      <c r="E1261" s="8">
        <v>69</v>
      </c>
      <c r="F1261" s="8" t="s">
        <v>1236</v>
      </c>
      <c r="G1261" s="2">
        <v>3</v>
      </c>
      <c r="H1261" s="2">
        <v>9</v>
      </c>
      <c r="I1261" s="37">
        <v>1500</v>
      </c>
      <c r="J1261" s="2" t="s">
        <v>110</v>
      </c>
      <c r="K1261" s="109" t="s">
        <v>598</v>
      </c>
      <c r="L1261" s="89">
        <v>25000</v>
      </c>
      <c r="M1261" s="202" t="s">
        <v>97</v>
      </c>
      <c r="N1261" s="39" t="s">
        <v>48</v>
      </c>
      <c r="O1261" s="39" t="s">
        <v>376</v>
      </c>
      <c r="P1261" s="19"/>
      <c r="Q1261" s="38">
        <f>R1261*I1261</f>
        <v>172.5</v>
      </c>
      <c r="R1261" s="15">
        <v>0.115</v>
      </c>
      <c r="S1261" s="149" t="s">
        <v>110</v>
      </c>
      <c r="T1261" s="149"/>
      <c r="U1261" s="109" t="s">
        <v>767</v>
      </c>
      <c r="V1261" s="10" t="s">
        <v>121</v>
      </c>
      <c r="W1261" s="10"/>
      <c r="AE1261" s="2" t="e">
        <f>AD1261*#REF!</f>
        <v>#REF!</v>
      </c>
      <c r="AF1261" s="2" t="e">
        <f>Z1261/Y1261</f>
        <v>#DIV/0!</v>
      </c>
      <c r="AG1261" s="2" t="e">
        <f>AA1261/Z1261</f>
        <v>#DIV/0!</v>
      </c>
      <c r="AH1261" s="2" t="e">
        <f>AC1261/AA1261</f>
        <v>#DIV/0!</v>
      </c>
    </row>
    <row r="1262" spans="1:34">
      <c r="A1262" s="96" t="s">
        <v>461</v>
      </c>
      <c r="B1262" s="96" t="s">
        <v>462</v>
      </c>
      <c r="C1262" s="192">
        <v>46201</v>
      </c>
      <c r="D1262" s="42">
        <v>0.4236111111111111</v>
      </c>
      <c r="E1262" s="193"/>
      <c r="F1262" s="8" t="s">
        <v>457</v>
      </c>
      <c r="G1262" s="2">
        <v>1</v>
      </c>
      <c r="I1262" s="125">
        <v>120</v>
      </c>
      <c r="J1262" s="2" t="s">
        <v>766</v>
      </c>
      <c r="K1262" s="109" t="s">
        <v>602</v>
      </c>
      <c r="L1262" s="8">
        <v>20000</v>
      </c>
      <c r="M1262" s="202">
        <v>20</v>
      </c>
      <c r="N1262" s="39" t="s">
        <v>48</v>
      </c>
      <c r="O1262" s="39" t="s">
        <v>49</v>
      </c>
      <c r="P1262" s="135" t="s">
        <v>832</v>
      </c>
      <c r="Q1262" s="19">
        <v>24</v>
      </c>
      <c r="R1262" s="15">
        <f>Q1262/I1262</f>
        <v>0.2</v>
      </c>
      <c r="S1262" s="5">
        <f>($AC1262*$AD1262)/(($Z1262/$Y1262)+($AA1262/$Z1262)+($AB1262/$AA1262))</f>
        <v>25.161290322580644</v>
      </c>
      <c r="U1262" s="109" t="s">
        <v>767</v>
      </c>
      <c r="V1262" s="10" t="s">
        <v>735</v>
      </c>
      <c r="W1262" s="10"/>
      <c r="Y1262" s="2">
        <v>2.5</v>
      </c>
      <c r="Z1262" s="2">
        <v>7.5</v>
      </c>
      <c r="AA1262" s="2">
        <v>30</v>
      </c>
      <c r="AB1262" s="2">
        <v>100</v>
      </c>
      <c r="AC1262" s="2">
        <v>13</v>
      </c>
      <c r="AD1262" s="2">
        <v>20</v>
      </c>
      <c r="AE1262" s="2">
        <f>AC1262*AD1262</f>
        <v>260</v>
      </c>
      <c r="AF1262" s="2">
        <f>Z1262/Y1262</f>
        <v>3</v>
      </c>
      <c r="AG1262" s="2">
        <f>AA1262/Z1262</f>
        <v>4</v>
      </c>
      <c r="AH1262" s="2">
        <f>AB1262/AA1262</f>
        <v>3.3333333333333335</v>
      </c>
    </row>
    <row r="1263" spans="1:34">
      <c r="A1263" s="96" t="s">
        <v>461</v>
      </c>
      <c r="B1263" s="119" t="s">
        <v>755</v>
      </c>
      <c r="C1263" s="192">
        <v>46201</v>
      </c>
      <c r="D1263" s="42">
        <v>0.4236111111111111</v>
      </c>
      <c r="E1263" s="193"/>
      <c r="F1263" s="8" t="s">
        <v>759</v>
      </c>
      <c r="G1263" s="2">
        <v>1</v>
      </c>
      <c r="I1263" s="37">
        <v>240</v>
      </c>
      <c r="J1263" s="2" t="s">
        <v>766</v>
      </c>
      <c r="K1263" s="109" t="s">
        <v>767</v>
      </c>
      <c r="M1263" s="202"/>
      <c r="N1263" s="39" t="s">
        <v>48</v>
      </c>
      <c r="O1263" s="39" t="s">
        <v>856</v>
      </c>
      <c r="P1263" s="213"/>
      <c r="Q1263" s="2"/>
      <c r="S1263" s="149" t="s">
        <v>110</v>
      </c>
      <c r="T1263" s="149"/>
      <c r="U1263" s="109" t="s">
        <v>125</v>
      </c>
      <c r="V1263" s="10"/>
      <c r="W1263" s="10"/>
    </row>
    <row r="1264" spans="1:34">
      <c r="A1264" s="68" t="s">
        <v>357</v>
      </c>
      <c r="B1264" s="68" t="s">
        <v>358</v>
      </c>
      <c r="C1264" s="48">
        <v>46201</v>
      </c>
      <c r="D1264" s="42">
        <v>0.4236111111111111</v>
      </c>
      <c r="E1264" s="8">
        <v>70</v>
      </c>
      <c r="F1264" s="63" t="s">
        <v>325</v>
      </c>
      <c r="G1264" s="2">
        <v>2</v>
      </c>
      <c r="H1264" s="2">
        <v>9</v>
      </c>
      <c r="I1264" s="125">
        <v>1100</v>
      </c>
      <c r="J1264" s="2" t="s">
        <v>766</v>
      </c>
      <c r="K1264" s="137" t="s">
        <v>598</v>
      </c>
      <c r="L1264" s="89">
        <v>40000</v>
      </c>
      <c r="M1264" s="202">
        <v>40</v>
      </c>
      <c r="N1264" s="39" t="s">
        <v>48</v>
      </c>
      <c r="O1264" s="39" t="s">
        <v>49</v>
      </c>
      <c r="P1264" s="135" t="s">
        <v>842</v>
      </c>
      <c r="Q1264" s="19">
        <v>140</v>
      </c>
      <c r="R1264" s="15">
        <f>Q1264/I1264</f>
        <v>0.12727272727272726</v>
      </c>
      <c r="S1264" s="5">
        <f>($AC1264*$AD1264)/(($Z1264/$Y1264)+($AA1264/$Z1264)+($AB1264/$AA1264))</f>
        <v>102.59605399792316</v>
      </c>
      <c r="U1264" s="109" t="s">
        <v>54</v>
      </c>
      <c r="V1264" s="10" t="s">
        <v>686</v>
      </c>
      <c r="W1264" s="10"/>
      <c r="Y1264" s="2">
        <v>2</v>
      </c>
      <c r="Z1264" s="2">
        <v>5</v>
      </c>
      <c r="AA1264" s="2">
        <v>13</v>
      </c>
      <c r="AB1264" s="2">
        <v>30</v>
      </c>
      <c r="AC1264" s="2">
        <v>40</v>
      </c>
      <c r="AD1264" s="2">
        <v>19</v>
      </c>
      <c r="AE1264" s="2">
        <f>AC1264*AD1264</f>
        <v>760</v>
      </c>
      <c r="AF1264" s="2">
        <f>Z1264/Y1264</f>
        <v>2.5</v>
      </c>
      <c r="AG1264" s="2">
        <f>AA1264/Z1264</f>
        <v>2.6</v>
      </c>
      <c r="AH1264" s="2">
        <f>AB1264/AA1264</f>
        <v>2.3076923076923075</v>
      </c>
    </row>
    <row r="1265" spans="1:34">
      <c r="A1265" s="95" t="s">
        <v>447</v>
      </c>
      <c r="B1265" s="95" t="s">
        <v>448</v>
      </c>
      <c r="C1265" s="40">
        <v>46201</v>
      </c>
      <c r="D1265" s="42">
        <v>0.45833333333333331</v>
      </c>
      <c r="E1265" s="193"/>
      <c r="F1265" s="8" t="s">
        <v>440</v>
      </c>
      <c r="G1265" s="2">
        <v>1</v>
      </c>
      <c r="H1265" s="2">
        <v>9</v>
      </c>
      <c r="I1265" s="125">
        <v>1100</v>
      </c>
      <c r="J1265" s="2" t="s">
        <v>766</v>
      </c>
      <c r="K1265" s="109" t="s">
        <v>602</v>
      </c>
      <c r="L1265" s="8">
        <v>30000</v>
      </c>
      <c r="M1265" s="8">
        <v>30</v>
      </c>
      <c r="N1265" s="39" t="s">
        <v>48</v>
      </c>
      <c r="O1265" s="39" t="s">
        <v>49</v>
      </c>
      <c r="P1265" s="135" t="s">
        <v>841</v>
      </c>
      <c r="Q1265" s="19">
        <v>135</v>
      </c>
      <c r="R1265" s="15">
        <f>Q1265/I1265</f>
        <v>0.12272727272727273</v>
      </c>
      <c r="S1265" s="5">
        <f>($AC1265*$AD1265)/(($Z1265/$Y1265)+($AA1265/$Z1265)+($AB1265/$AA1265))</f>
        <v>72.897196261682254</v>
      </c>
      <c r="U1265" s="109" t="s">
        <v>767</v>
      </c>
      <c r="V1265" s="10" t="s">
        <v>741</v>
      </c>
      <c r="W1265" s="10"/>
      <c r="Y1265" s="2">
        <v>2</v>
      </c>
      <c r="Z1265" s="2">
        <v>5</v>
      </c>
      <c r="AA1265" s="2">
        <v>13</v>
      </c>
      <c r="AB1265" s="2">
        <v>30</v>
      </c>
      <c r="AC1265" s="2">
        <v>18</v>
      </c>
      <c r="AD1265" s="2">
        <v>30</v>
      </c>
      <c r="AE1265" s="2">
        <f>AC1265*AD1265</f>
        <v>540</v>
      </c>
      <c r="AF1265" s="2">
        <f>Z1265/Y1265</f>
        <v>2.5</v>
      </c>
      <c r="AG1265" s="2">
        <f>AA1265/Z1265</f>
        <v>2.6</v>
      </c>
      <c r="AH1265" s="2">
        <f>AB1265/AA1265</f>
        <v>2.3076923076923075</v>
      </c>
    </row>
    <row r="1266" spans="1:34">
      <c r="A1266" s="103" t="s">
        <v>539</v>
      </c>
      <c r="B1266" s="103" t="s">
        <v>540</v>
      </c>
      <c r="C1266" s="48">
        <v>46201</v>
      </c>
      <c r="D1266" s="42">
        <v>0.45833333333333331</v>
      </c>
      <c r="E1266" s="8">
        <v>87</v>
      </c>
      <c r="F1266" s="63" t="s">
        <v>530</v>
      </c>
      <c r="G1266" s="2">
        <v>1</v>
      </c>
      <c r="H1266" s="2">
        <v>9</v>
      </c>
      <c r="I1266" s="125">
        <v>250</v>
      </c>
      <c r="J1266" s="179" t="s">
        <v>766</v>
      </c>
      <c r="K1266" s="179" t="s">
        <v>816</v>
      </c>
      <c r="L1266" s="89">
        <v>50000</v>
      </c>
      <c r="M1266" s="54">
        <v>30</v>
      </c>
      <c r="N1266" s="39" t="s">
        <v>48</v>
      </c>
      <c r="O1266" s="39" t="s">
        <v>49</v>
      </c>
      <c r="P1266" s="135" t="s">
        <v>837</v>
      </c>
      <c r="Q1266" s="19">
        <v>61</v>
      </c>
      <c r="R1266" s="15">
        <f>Q1266/I1266</f>
        <v>0.24399999999999999</v>
      </c>
      <c r="S1266" s="5">
        <f>($AC1266*$AD1266)/(($Z1266/$Y1266)+($AA1266/$Z1266)+($AB1266/$AA1266))</f>
        <v>46.451612903225801</v>
      </c>
      <c r="U1266" s="109"/>
      <c r="V1266" s="21" t="s">
        <v>1395</v>
      </c>
      <c r="W1266" s="182" t="s">
        <v>1394</v>
      </c>
      <c r="Y1266" s="2">
        <v>2.5</v>
      </c>
      <c r="Z1266" s="2">
        <v>7.5</v>
      </c>
      <c r="AA1266" s="2">
        <v>25</v>
      </c>
      <c r="AB1266" s="2">
        <v>100</v>
      </c>
      <c r="AC1266" s="2">
        <v>16</v>
      </c>
      <c r="AD1266" s="2">
        <v>30</v>
      </c>
      <c r="AE1266" s="2">
        <f>AC1266*AD1266</f>
        <v>480</v>
      </c>
      <c r="AF1266" s="2">
        <f>Z1266/Y1266</f>
        <v>3</v>
      </c>
      <c r="AG1266" s="2">
        <f>AA1266/Z1266</f>
        <v>3.3333333333333335</v>
      </c>
      <c r="AH1266" s="2">
        <f>AB1266/AA1266</f>
        <v>4</v>
      </c>
    </row>
    <row r="1267" spans="1:34">
      <c r="A1267" s="165" t="s">
        <v>1383</v>
      </c>
      <c r="B1267" s="36" t="s">
        <v>63</v>
      </c>
      <c r="C1267" s="192">
        <v>46201</v>
      </c>
      <c r="D1267" s="144">
        <v>0.45833333333333331</v>
      </c>
      <c r="E1267" s="14">
        <v>63</v>
      </c>
      <c r="F1267" s="8" t="s">
        <v>1114</v>
      </c>
      <c r="G1267" s="2">
        <v>3</v>
      </c>
      <c r="H1267" s="2">
        <v>9</v>
      </c>
      <c r="I1267" s="37">
        <v>1000</v>
      </c>
      <c r="J1267" s="2" t="s">
        <v>763</v>
      </c>
      <c r="K1267" s="109" t="s">
        <v>601</v>
      </c>
      <c r="L1267" s="89">
        <v>40000</v>
      </c>
      <c r="M1267" s="202" t="s">
        <v>113</v>
      </c>
      <c r="N1267" s="39" t="s">
        <v>48</v>
      </c>
      <c r="O1267" s="39" t="s">
        <v>49</v>
      </c>
      <c r="Q1267" s="19">
        <f>R1267*I1267</f>
        <v>120</v>
      </c>
      <c r="R1267" s="15">
        <v>0.12</v>
      </c>
      <c r="S1267" s="5">
        <f>($AC1267*$AD1267)/(($Z1267/$Y1267)+($AA1267/$Z1267)+($AB1267/$AA1267))</f>
        <v>76.947040498442377</v>
      </c>
      <c r="U1267" s="109" t="s">
        <v>767</v>
      </c>
      <c r="V1267" s="10" t="s">
        <v>121</v>
      </c>
      <c r="W1267" s="10"/>
      <c r="Y1267" s="2">
        <v>2</v>
      </c>
      <c r="Z1267" s="2">
        <v>5</v>
      </c>
      <c r="AA1267" s="2">
        <v>13</v>
      </c>
      <c r="AB1267" s="2">
        <v>30</v>
      </c>
      <c r="AC1267" s="2">
        <v>19</v>
      </c>
      <c r="AD1267" s="2">
        <v>30</v>
      </c>
      <c r="AE1267" s="2">
        <f>AC1267*AD1267</f>
        <v>570</v>
      </c>
      <c r="AF1267" s="2">
        <f>Z1267/Y1267</f>
        <v>2.5</v>
      </c>
      <c r="AG1267" s="2">
        <f>AA1267/Z1267</f>
        <v>2.6</v>
      </c>
      <c r="AH1267" s="2">
        <f>AB1267/AA1267</f>
        <v>2.3076923076923075</v>
      </c>
    </row>
    <row r="1268" spans="1:34">
      <c r="A1268" s="102" t="s">
        <v>475</v>
      </c>
      <c r="B1268" s="102" t="s">
        <v>476</v>
      </c>
      <c r="C1268" s="40">
        <v>46201</v>
      </c>
      <c r="D1268" s="42">
        <v>0.45833333333333331</v>
      </c>
      <c r="E1268" s="8">
        <v>33</v>
      </c>
      <c r="F1268" s="8" t="s">
        <v>521</v>
      </c>
      <c r="G1268" s="2">
        <v>1</v>
      </c>
      <c r="H1268" s="2">
        <v>8</v>
      </c>
      <c r="I1268" s="125">
        <v>600</v>
      </c>
      <c r="J1268" s="2" t="s">
        <v>766</v>
      </c>
      <c r="K1268" s="109" t="s">
        <v>602</v>
      </c>
      <c r="L1268" s="105">
        <v>30000</v>
      </c>
      <c r="M1268" s="64">
        <v>30</v>
      </c>
      <c r="N1268" s="39" t="s">
        <v>48</v>
      </c>
      <c r="O1268" s="39" t="s">
        <v>359</v>
      </c>
      <c r="P1268" s="63">
        <v>40000</v>
      </c>
      <c r="Q1268" s="2">
        <v>80</v>
      </c>
      <c r="R1268" s="15">
        <f>Q1268/I1268</f>
        <v>0.13333333333333333</v>
      </c>
      <c r="S1268" s="149" t="s">
        <v>110</v>
      </c>
      <c r="T1268" s="149"/>
      <c r="U1268" s="109" t="s">
        <v>767</v>
      </c>
      <c r="V1268" s="10" t="s">
        <v>624</v>
      </c>
      <c r="W1268" s="10"/>
      <c r="AE1268" s="2">
        <f>AC1268*AD1268</f>
        <v>0</v>
      </c>
      <c r="AF1268" s="2" t="e">
        <f>Z1268/Y1268</f>
        <v>#DIV/0!</v>
      </c>
      <c r="AG1268" s="2" t="e">
        <f>AA1268/Z1268</f>
        <v>#DIV/0!</v>
      </c>
      <c r="AH1268" s="2" t="e">
        <f>AB1268/AA1268</f>
        <v>#DIV/0!</v>
      </c>
    </row>
    <row r="1269" spans="1:34">
      <c r="A1269" s="52" t="s">
        <v>229</v>
      </c>
      <c r="B1269" s="52" t="s">
        <v>230</v>
      </c>
      <c r="C1269" s="40">
        <v>46201</v>
      </c>
      <c r="D1269" s="42">
        <v>0.45833333333333331</v>
      </c>
      <c r="E1269" s="193"/>
      <c r="F1269" s="8" t="s">
        <v>245</v>
      </c>
      <c r="G1269" s="2">
        <v>1</v>
      </c>
      <c r="I1269" s="125">
        <v>300</v>
      </c>
      <c r="J1269" s="2" t="s">
        <v>766</v>
      </c>
      <c r="K1269" s="88" t="s">
        <v>788</v>
      </c>
      <c r="L1269" s="90">
        <v>25000</v>
      </c>
      <c r="M1269" s="8">
        <v>30</v>
      </c>
      <c r="N1269" s="39" t="s">
        <v>48</v>
      </c>
      <c r="O1269" s="39" t="s">
        <v>49</v>
      </c>
      <c r="P1269" s="134" t="s">
        <v>838</v>
      </c>
      <c r="Q1269" s="19">
        <v>60</v>
      </c>
      <c r="R1269" s="15">
        <f>IF(Q1269&gt;0,Q1269/I1269,"")</f>
        <v>0.2</v>
      </c>
      <c r="S1269" s="5">
        <f>($AC1269*$AD1269)/(($Z1269/$Y1269)+($AA1269/$Z1269)+($AB1269/$AA1269))</f>
        <v>80.996884735202499</v>
      </c>
      <c r="U1269" s="109" t="s">
        <v>767</v>
      </c>
      <c r="V1269" s="10" t="s">
        <v>719</v>
      </c>
      <c r="W1269" s="10"/>
      <c r="Y1269" s="2">
        <v>2</v>
      </c>
      <c r="Z1269" s="2">
        <v>5</v>
      </c>
      <c r="AA1269" s="2">
        <v>13</v>
      </c>
      <c r="AB1269" s="2">
        <v>30</v>
      </c>
      <c r="AC1269" s="2">
        <v>30</v>
      </c>
      <c r="AD1269" s="2">
        <v>20</v>
      </c>
      <c r="AE1269" s="2">
        <f>AC1269*AD1269</f>
        <v>600</v>
      </c>
      <c r="AF1269" s="2">
        <f>Z1269/Y1269</f>
        <v>2.5</v>
      </c>
      <c r="AG1269" s="2">
        <f>AA1269/Z1269</f>
        <v>2.6</v>
      </c>
      <c r="AH1269" s="2">
        <f>AB1269/AA1269</f>
        <v>2.3076923076923075</v>
      </c>
    </row>
    <row r="1270" spans="1:34">
      <c r="A1270" s="103" t="s">
        <v>539</v>
      </c>
      <c r="B1270" s="103" t="s">
        <v>540</v>
      </c>
      <c r="C1270" s="48">
        <v>46201</v>
      </c>
      <c r="D1270" s="42">
        <v>0.5</v>
      </c>
      <c r="E1270" s="8">
        <v>75</v>
      </c>
      <c r="F1270" s="63" t="s">
        <v>1336</v>
      </c>
      <c r="G1270" s="2">
        <v>2</v>
      </c>
      <c r="H1270" s="2">
        <v>9</v>
      </c>
      <c r="I1270" s="125">
        <v>600</v>
      </c>
      <c r="J1270" s="179" t="s">
        <v>766</v>
      </c>
      <c r="K1270" s="179" t="s">
        <v>601</v>
      </c>
      <c r="L1270" s="89">
        <v>30000</v>
      </c>
      <c r="M1270" s="207" t="s">
        <v>97</v>
      </c>
      <c r="N1270" s="39" t="s">
        <v>48</v>
      </c>
      <c r="O1270" s="39" t="s">
        <v>49</v>
      </c>
      <c r="P1270" s="135" t="s">
        <v>843</v>
      </c>
      <c r="Q1270" s="19">
        <v>92</v>
      </c>
      <c r="R1270" s="15">
        <f>Q1270/I1270</f>
        <v>0.15333333333333332</v>
      </c>
      <c r="S1270" s="5">
        <f>($AC1270*$AD1270)/(($Z1270/$Y1270)+($AA1270/$Z1270)+($AB1270/$AA1270))</f>
        <v>99.130434782608702</v>
      </c>
      <c r="U1270" s="109" t="s">
        <v>767</v>
      </c>
      <c r="V1270" s="21" t="s">
        <v>1395</v>
      </c>
      <c r="W1270" s="10"/>
      <c r="Y1270" s="2">
        <v>1.5</v>
      </c>
      <c r="Z1270" s="2">
        <v>4</v>
      </c>
      <c r="AA1270" s="2">
        <v>10</v>
      </c>
      <c r="AB1270" s="2">
        <v>25</v>
      </c>
      <c r="AC1270" s="2">
        <v>19</v>
      </c>
      <c r="AD1270" s="2">
        <v>40</v>
      </c>
      <c r="AE1270" s="2">
        <f>AC1270*AD1270</f>
        <v>760</v>
      </c>
      <c r="AF1270" s="2">
        <f>Z1270/Y1270</f>
        <v>2.6666666666666665</v>
      </c>
      <c r="AG1270" s="2">
        <f>AA1270/Z1270</f>
        <v>2.5</v>
      </c>
      <c r="AH1270" s="2">
        <f>AB1270/AA1270</f>
        <v>2.5</v>
      </c>
    </row>
    <row r="1271" spans="1:34">
      <c r="A1271" s="52" t="s">
        <v>220</v>
      </c>
      <c r="B1271" s="52" t="s">
        <v>221</v>
      </c>
      <c r="C1271" s="48">
        <v>46201</v>
      </c>
      <c r="D1271" s="42">
        <v>0.5</v>
      </c>
      <c r="E1271" s="193"/>
      <c r="F1271" s="8" t="s">
        <v>1053</v>
      </c>
      <c r="G1271" s="2">
        <v>1</v>
      </c>
      <c r="H1271" s="2">
        <v>9</v>
      </c>
      <c r="I1271" s="125">
        <v>1100</v>
      </c>
      <c r="J1271" s="2" t="s">
        <v>766</v>
      </c>
      <c r="K1271" s="88" t="s">
        <v>780</v>
      </c>
      <c r="L1271" s="90">
        <v>30000</v>
      </c>
      <c r="M1271" s="64">
        <v>30</v>
      </c>
      <c r="N1271" s="39" t="s">
        <v>48</v>
      </c>
      <c r="O1271" s="39" t="s">
        <v>49</v>
      </c>
      <c r="P1271" s="135" t="s">
        <v>841</v>
      </c>
      <c r="Q1271" s="19">
        <v>125</v>
      </c>
      <c r="R1271" s="15">
        <f>Q1271/I1271</f>
        <v>0.11363636363636363</v>
      </c>
      <c r="S1271" s="5">
        <f>($AC1271*$AD1271)/(($Z1271/$Y1271)+($AA1271/$Z1271)+($AB1271/$AA1271))</f>
        <v>62.448979591836739</v>
      </c>
      <c r="U1271" s="109" t="s">
        <v>767</v>
      </c>
      <c r="V1271" s="10" t="s">
        <v>738</v>
      </c>
      <c r="W1271" s="10"/>
      <c r="Y1271" s="2">
        <v>2</v>
      </c>
      <c r="Z1271" s="2">
        <v>5</v>
      </c>
      <c r="AA1271" s="2">
        <v>15</v>
      </c>
      <c r="AB1271" s="2">
        <v>40</v>
      </c>
      <c r="AC1271" s="2">
        <v>17</v>
      </c>
      <c r="AD1271" s="2">
        <v>30</v>
      </c>
      <c r="AE1271" s="2">
        <f>AC1271*AD1271</f>
        <v>510</v>
      </c>
      <c r="AF1271" s="2">
        <f>Z1271/Y1271</f>
        <v>2.5</v>
      </c>
      <c r="AG1271" s="2">
        <f>AA1271/Z1271</f>
        <v>3</v>
      </c>
      <c r="AH1271" s="2">
        <f>AB1271/AA1271</f>
        <v>2.6666666666666665</v>
      </c>
    </row>
    <row r="1272" spans="1:34">
      <c r="A1272" s="165" t="s">
        <v>1383</v>
      </c>
      <c r="B1272" s="36" t="s">
        <v>63</v>
      </c>
      <c r="C1272" s="192">
        <v>46201</v>
      </c>
      <c r="D1272" s="144">
        <v>0.54166666666666663</v>
      </c>
      <c r="E1272" s="8">
        <v>71</v>
      </c>
      <c r="F1272" s="8" t="s">
        <v>1164</v>
      </c>
      <c r="G1272" s="2">
        <v>3</v>
      </c>
      <c r="H1272" s="2">
        <v>7</v>
      </c>
      <c r="I1272" s="37">
        <v>2500</v>
      </c>
      <c r="J1272" s="2" t="s">
        <v>762</v>
      </c>
      <c r="K1272" s="109" t="s">
        <v>815</v>
      </c>
      <c r="L1272" s="89">
        <v>35000</v>
      </c>
      <c r="M1272" s="202" t="s">
        <v>97</v>
      </c>
      <c r="N1272" s="39" t="s">
        <v>48</v>
      </c>
      <c r="O1272" s="39" t="s">
        <v>873</v>
      </c>
      <c r="P1272" s="19"/>
      <c r="Q1272" s="38">
        <f>R1272*I1272</f>
        <v>275</v>
      </c>
      <c r="R1272" s="15">
        <v>0.11</v>
      </c>
      <c r="S1272" s="149" t="s">
        <v>110</v>
      </c>
      <c r="T1272" s="149"/>
      <c r="U1272" s="109" t="s">
        <v>767</v>
      </c>
      <c r="V1272" s="10" t="s">
        <v>121</v>
      </c>
      <c r="W1272" s="10"/>
      <c r="AE1272" s="2" t="e">
        <f>AD1272*#REF!</f>
        <v>#REF!</v>
      </c>
      <c r="AF1272" s="2" t="e">
        <f>Z1272/Y1272</f>
        <v>#DIV/0!</v>
      </c>
      <c r="AG1272" s="2" t="e">
        <f>AA1272/Z1272</f>
        <v>#DIV/0!</v>
      </c>
      <c r="AH1272" s="2" t="e">
        <f>AC1272/AA1272</f>
        <v>#DIV/0!</v>
      </c>
    </row>
    <row r="1273" spans="1:34">
      <c r="A1273" s="165" t="s">
        <v>1383</v>
      </c>
      <c r="B1273" s="36" t="s">
        <v>63</v>
      </c>
      <c r="C1273" s="192">
        <v>46201</v>
      </c>
      <c r="D1273" s="144">
        <v>0.54166666666666663</v>
      </c>
      <c r="E1273" s="8">
        <v>70</v>
      </c>
      <c r="F1273" s="8" t="s">
        <v>1251</v>
      </c>
      <c r="G1273" s="2">
        <v>4</v>
      </c>
      <c r="H1273" s="2">
        <v>8</v>
      </c>
      <c r="I1273" s="37">
        <v>10000</v>
      </c>
      <c r="J1273" s="2" t="s">
        <v>110</v>
      </c>
      <c r="K1273" s="109" t="s">
        <v>601</v>
      </c>
      <c r="L1273" s="89">
        <v>60000</v>
      </c>
      <c r="M1273" s="202">
        <v>60</v>
      </c>
      <c r="N1273" s="39" t="s">
        <v>48</v>
      </c>
      <c r="O1273" s="39" t="s">
        <v>57</v>
      </c>
      <c r="P1273" s="213"/>
      <c r="Q1273" s="38">
        <f>R1273*I1273</f>
        <v>700.00000000000011</v>
      </c>
      <c r="R1273" s="15">
        <v>7.0000000000000007E-2</v>
      </c>
      <c r="S1273" s="149" t="s">
        <v>110</v>
      </c>
      <c r="T1273" s="149"/>
      <c r="U1273" s="109" t="s">
        <v>767</v>
      </c>
      <c r="V1273" s="10" t="s">
        <v>121</v>
      </c>
      <c r="W1273" s="10"/>
      <c r="Y1273" s="70"/>
      <c r="Z1273" s="70"/>
      <c r="AA1273" s="70"/>
      <c r="AC1273" s="70"/>
      <c r="AD1273" s="70"/>
      <c r="AE1273" s="2" t="e">
        <f>AD1273*#REF!</f>
        <v>#REF!</v>
      </c>
      <c r="AF1273" s="2" t="e">
        <f>Z1273/Y1273</f>
        <v>#DIV/0!</v>
      </c>
      <c r="AG1273" s="2" t="e">
        <f>AA1273/Z1273</f>
        <v>#DIV/0!</v>
      </c>
      <c r="AH1273" s="2" t="e">
        <f>AC1273/AA1273</f>
        <v>#DIV/0!</v>
      </c>
    </row>
    <row r="1274" spans="1:34">
      <c r="A1274" s="165" t="s">
        <v>1383</v>
      </c>
      <c r="B1274" s="39" t="s">
        <v>63</v>
      </c>
      <c r="C1274" s="192">
        <v>46201</v>
      </c>
      <c r="D1274" s="144">
        <v>0.54166666666666663</v>
      </c>
      <c r="E1274" s="8"/>
      <c r="F1274" s="8" t="s">
        <v>881</v>
      </c>
      <c r="G1274" s="2">
        <v>1</v>
      </c>
      <c r="H1274" s="2">
        <v>9</v>
      </c>
      <c r="I1274" s="37">
        <v>250</v>
      </c>
      <c r="J1274" s="2" t="s">
        <v>766</v>
      </c>
      <c r="K1274" s="88" t="s">
        <v>787</v>
      </c>
      <c r="L1274" s="89">
        <v>25000</v>
      </c>
      <c r="M1274" s="205">
        <v>30</v>
      </c>
      <c r="N1274" s="39" t="s">
        <v>817</v>
      </c>
      <c r="O1274" s="39" t="s">
        <v>49</v>
      </c>
      <c r="P1274" s="210"/>
      <c r="Q1274" s="19">
        <v>50</v>
      </c>
      <c r="R1274" s="15">
        <f>Q1274/I1274</f>
        <v>0.2</v>
      </c>
      <c r="S1274" s="5">
        <v>44</v>
      </c>
      <c r="U1274" s="109" t="s">
        <v>767</v>
      </c>
      <c r="V1274" s="21" t="s">
        <v>360</v>
      </c>
      <c r="W1274" s="10"/>
      <c r="Y1274" s="175"/>
      <c r="Z1274" s="175"/>
      <c r="AA1274" s="175"/>
      <c r="AB1274" s="175"/>
      <c r="AC1274" s="175"/>
      <c r="AD1274" s="175"/>
      <c r="AE1274" s="175"/>
      <c r="AF1274" s="175"/>
      <c r="AG1274" s="175"/>
      <c r="AH1274" s="175"/>
    </row>
    <row r="1275" spans="1:34">
      <c r="A1275" s="52" t="s">
        <v>220</v>
      </c>
      <c r="B1275" s="52" t="s">
        <v>221</v>
      </c>
      <c r="C1275" s="48">
        <v>46201</v>
      </c>
      <c r="D1275" s="42">
        <v>0.54166666666666663</v>
      </c>
      <c r="E1275" s="193"/>
      <c r="F1275" s="8" t="s">
        <v>1067</v>
      </c>
      <c r="G1275" s="2">
        <v>2</v>
      </c>
      <c r="H1275" s="2">
        <v>8</v>
      </c>
      <c r="I1275" s="125">
        <v>1600</v>
      </c>
      <c r="J1275" s="2" t="s">
        <v>766</v>
      </c>
      <c r="K1275" s="88" t="s">
        <v>798</v>
      </c>
      <c r="L1275" s="90">
        <v>40000</v>
      </c>
      <c r="M1275" s="64">
        <v>40</v>
      </c>
      <c r="N1275" s="39" t="s">
        <v>48</v>
      </c>
      <c r="O1275" s="39" t="s">
        <v>57</v>
      </c>
      <c r="P1275" s="63">
        <v>1000000</v>
      </c>
      <c r="Q1275" s="2">
        <v>170</v>
      </c>
      <c r="R1275" s="15">
        <f>Q1275/I1275</f>
        <v>0.10625</v>
      </c>
      <c r="S1275" s="149" t="s">
        <v>110</v>
      </c>
      <c r="T1275" s="149"/>
      <c r="U1275" s="109" t="s">
        <v>767</v>
      </c>
      <c r="V1275" s="10" t="s">
        <v>738</v>
      </c>
      <c r="W1275" s="10"/>
      <c r="Y1275" s="70"/>
      <c r="Z1275" s="70"/>
      <c r="AA1275" s="70"/>
      <c r="AB1275" s="70"/>
      <c r="AC1275" s="70"/>
      <c r="AD1275" s="70"/>
      <c r="AE1275" s="2">
        <f>AC1275*AD1275</f>
        <v>0</v>
      </c>
      <c r="AF1275" s="2" t="e">
        <f>Z1275/Y1275</f>
        <v>#DIV/0!</v>
      </c>
      <c r="AG1275" s="2" t="e">
        <f>AA1275/Z1275</f>
        <v>#DIV/0!</v>
      </c>
      <c r="AH1275" s="2" t="e">
        <f>AB1275/AA1275</f>
        <v>#DIV/0!</v>
      </c>
    </row>
    <row r="1276" spans="1:34">
      <c r="A1276" s="103" t="s">
        <v>539</v>
      </c>
      <c r="B1276" s="103" t="s">
        <v>540</v>
      </c>
      <c r="C1276" s="48">
        <v>46201</v>
      </c>
      <c r="D1276" s="42">
        <v>0.58333333333333337</v>
      </c>
      <c r="E1276" s="8">
        <v>88</v>
      </c>
      <c r="F1276" s="63" t="s">
        <v>552</v>
      </c>
      <c r="G1276" s="2">
        <v>1</v>
      </c>
      <c r="H1276" s="2">
        <v>7</v>
      </c>
      <c r="I1276" s="125">
        <v>500</v>
      </c>
      <c r="J1276" s="179" t="s">
        <v>766</v>
      </c>
      <c r="K1276" s="179" t="s">
        <v>815</v>
      </c>
      <c r="L1276" s="89">
        <v>35000</v>
      </c>
      <c r="M1276" s="207" t="s">
        <v>22</v>
      </c>
      <c r="N1276" s="39" t="s">
        <v>48</v>
      </c>
      <c r="O1276" s="39" t="s">
        <v>373</v>
      </c>
      <c r="P1276" s="63">
        <v>30000</v>
      </c>
      <c r="Q1276" s="2">
        <v>70</v>
      </c>
      <c r="R1276" s="15">
        <f>Q1276/I1276</f>
        <v>0.14000000000000001</v>
      </c>
      <c r="S1276" s="142"/>
      <c r="U1276" s="109" t="s">
        <v>767</v>
      </c>
      <c r="V1276" s="21" t="s">
        <v>1395</v>
      </c>
      <c r="W1276" s="10"/>
      <c r="AE1276" s="2">
        <f>AC1276*AD1276</f>
        <v>0</v>
      </c>
      <c r="AF1276" s="2" t="e">
        <f>Z1276/Y1276</f>
        <v>#DIV/0!</v>
      </c>
      <c r="AG1276" s="2" t="e">
        <f>AA1276/Z1276</f>
        <v>#DIV/0!</v>
      </c>
      <c r="AH1276" s="2" t="e">
        <f>AB1276/AA1276</f>
        <v>#DIV/0!</v>
      </c>
    </row>
    <row r="1277" spans="1:34">
      <c r="A1277" s="165" t="s">
        <v>1383</v>
      </c>
      <c r="B1277" s="39" t="s">
        <v>63</v>
      </c>
      <c r="C1277" s="192">
        <v>46201</v>
      </c>
      <c r="D1277" s="144">
        <v>0.625</v>
      </c>
      <c r="F1277" s="8" t="s">
        <v>912</v>
      </c>
      <c r="G1277" s="2">
        <v>1</v>
      </c>
      <c r="H1277" s="2">
        <v>9</v>
      </c>
      <c r="I1277" s="37">
        <v>240</v>
      </c>
      <c r="J1277" s="2" t="s">
        <v>766</v>
      </c>
      <c r="K1277" s="88" t="s">
        <v>784</v>
      </c>
      <c r="L1277" s="89">
        <v>10000</v>
      </c>
      <c r="M1277" s="202">
        <v>20</v>
      </c>
      <c r="N1277" s="132" t="s">
        <v>821</v>
      </c>
      <c r="O1277" s="39" t="s">
        <v>49</v>
      </c>
      <c r="Q1277" s="19">
        <v>40</v>
      </c>
      <c r="R1277" s="15">
        <v>0.16666666666666666</v>
      </c>
      <c r="S1277" s="5">
        <v>29</v>
      </c>
      <c r="U1277" s="109" t="s">
        <v>767</v>
      </c>
      <c r="V1277" s="21" t="s">
        <v>362</v>
      </c>
      <c r="W1277" s="194" t="s">
        <v>367</v>
      </c>
      <c r="Y1277" s="175"/>
      <c r="Z1277" s="175"/>
      <c r="AA1277" s="175"/>
      <c r="AB1277" s="175"/>
      <c r="AC1277" s="175"/>
      <c r="AD1277" s="175"/>
      <c r="AE1277" s="175"/>
      <c r="AF1277" s="175"/>
      <c r="AG1277" s="175"/>
      <c r="AH1277" s="175"/>
    </row>
    <row r="1278" spans="1:34">
      <c r="A1278" s="165" t="s">
        <v>1383</v>
      </c>
      <c r="B1278" s="39" t="s">
        <v>63</v>
      </c>
      <c r="C1278" s="192">
        <v>46201</v>
      </c>
      <c r="D1278" s="144">
        <v>0.66666666666666663</v>
      </c>
      <c r="E1278" s="8"/>
      <c r="F1278" s="8" t="s">
        <v>1024</v>
      </c>
      <c r="G1278" s="2">
        <v>1</v>
      </c>
      <c r="H1278" s="2">
        <v>9</v>
      </c>
      <c r="I1278" s="37">
        <v>400</v>
      </c>
      <c r="J1278" s="2" t="s">
        <v>766</v>
      </c>
      <c r="K1278" s="88" t="s">
        <v>794</v>
      </c>
      <c r="L1278" s="89">
        <v>30000</v>
      </c>
      <c r="M1278" s="205">
        <v>20</v>
      </c>
      <c r="N1278" s="39" t="s">
        <v>817</v>
      </c>
      <c r="O1278" s="39" t="s">
        <v>49</v>
      </c>
      <c r="Q1278" s="19">
        <v>70</v>
      </c>
      <c r="R1278" s="15">
        <f>Q1278/I1278</f>
        <v>0.17499999999999999</v>
      </c>
      <c r="S1278" s="5">
        <v>37</v>
      </c>
      <c r="U1278" s="109" t="s">
        <v>129</v>
      </c>
      <c r="V1278" s="21" t="s">
        <v>360</v>
      </c>
      <c r="W1278" s="10"/>
      <c r="Y1278" s="175"/>
      <c r="Z1278" s="175"/>
      <c r="AA1278" s="175"/>
      <c r="AB1278" s="175"/>
      <c r="AC1278" s="175"/>
      <c r="AD1278" s="175"/>
      <c r="AE1278" s="175"/>
      <c r="AF1278" s="175"/>
      <c r="AG1278" s="175"/>
      <c r="AH1278" s="175"/>
    </row>
    <row r="1279" spans="1:34">
      <c r="A1279" s="52" t="s">
        <v>220</v>
      </c>
      <c r="B1279" s="52" t="s">
        <v>221</v>
      </c>
      <c r="C1279" s="48">
        <v>46201</v>
      </c>
      <c r="D1279" s="42">
        <v>0.66666666666666663</v>
      </c>
      <c r="E1279" s="193"/>
      <c r="F1279" s="8" t="s">
        <v>1089</v>
      </c>
      <c r="G1279" s="2">
        <v>1</v>
      </c>
      <c r="H1279" s="2">
        <v>9</v>
      </c>
      <c r="I1279" s="125">
        <v>300</v>
      </c>
      <c r="J1279" s="2" t="s">
        <v>766</v>
      </c>
      <c r="K1279" s="88" t="s">
        <v>792</v>
      </c>
      <c r="L1279" s="89">
        <v>20000</v>
      </c>
      <c r="M1279" s="205">
        <v>20</v>
      </c>
      <c r="N1279" s="39" t="s">
        <v>61</v>
      </c>
      <c r="O1279" s="39" t="s">
        <v>49</v>
      </c>
      <c r="P1279" s="131" t="s">
        <v>228</v>
      </c>
      <c r="Q1279" s="19">
        <v>50</v>
      </c>
      <c r="R1279" s="15">
        <f>Q1279/I1279</f>
        <v>0.16666666666666666</v>
      </c>
      <c r="S1279" s="5">
        <f>($AC1279*$AD1279)/(($Z1279/$Y1279)+($AA1279/$Z1279)+($AB1279/$AA1279))</f>
        <v>31.111111111111111</v>
      </c>
      <c r="U1279" s="109" t="s">
        <v>125</v>
      </c>
      <c r="V1279" s="10" t="s">
        <v>738</v>
      </c>
      <c r="W1279" s="10"/>
      <c r="Y1279" s="2">
        <v>2</v>
      </c>
      <c r="Z1279" s="2">
        <v>5</v>
      </c>
      <c r="AA1279" s="2">
        <v>20</v>
      </c>
      <c r="AB1279" s="2">
        <v>50</v>
      </c>
      <c r="AC1279" s="2">
        <v>14</v>
      </c>
      <c r="AD1279" s="2">
        <v>20</v>
      </c>
      <c r="AE1279" s="2">
        <f>AC1279*AD1279</f>
        <v>280</v>
      </c>
      <c r="AF1279" s="2">
        <f>Z1279/Y1279</f>
        <v>2.5</v>
      </c>
      <c r="AG1279" s="2">
        <f>AA1279/Z1279</f>
        <v>4</v>
      </c>
      <c r="AH1279" s="2">
        <f>AB1279/AA1279</f>
        <v>2.5</v>
      </c>
    </row>
    <row r="1280" spans="1:34">
      <c r="A1280" s="68" t="s">
        <v>357</v>
      </c>
      <c r="B1280" s="68" t="s">
        <v>358</v>
      </c>
      <c r="C1280" s="48">
        <v>46201</v>
      </c>
      <c r="D1280" s="42">
        <v>0.67361111111111116</v>
      </c>
      <c r="E1280" s="8">
        <v>72</v>
      </c>
      <c r="F1280" s="63" t="s">
        <v>326</v>
      </c>
      <c r="G1280" s="2">
        <v>1</v>
      </c>
      <c r="H1280" s="2">
        <v>9</v>
      </c>
      <c r="I1280" s="125">
        <v>300</v>
      </c>
      <c r="J1280" s="2" t="s">
        <v>766</v>
      </c>
      <c r="K1280" s="137" t="s">
        <v>603</v>
      </c>
      <c r="L1280" s="89">
        <v>20000</v>
      </c>
      <c r="M1280" s="54">
        <v>20</v>
      </c>
      <c r="N1280" s="132" t="s">
        <v>821</v>
      </c>
      <c r="O1280" s="39" t="s">
        <v>49</v>
      </c>
      <c r="P1280" s="212" t="s">
        <v>824</v>
      </c>
      <c r="Q1280" s="19">
        <v>45</v>
      </c>
      <c r="R1280" s="15">
        <f>Q1280/I1280</f>
        <v>0.15</v>
      </c>
      <c r="S1280" s="5">
        <f>($AC1280*$AD1280)/(($Z1280/$Y1280)+($AA1280/$Z1280)+($AB1280/$AA1280))</f>
        <v>34.242709313264342</v>
      </c>
      <c r="U1280" s="109" t="s">
        <v>125</v>
      </c>
      <c r="V1280" s="10" t="s">
        <v>687</v>
      </c>
      <c r="W1280" s="110" t="s">
        <v>688</v>
      </c>
      <c r="Y1280" s="2">
        <v>2.5</v>
      </c>
      <c r="Z1280" s="2">
        <v>6.5</v>
      </c>
      <c r="AA1280" s="2">
        <v>20</v>
      </c>
      <c r="AB1280" s="2">
        <v>50</v>
      </c>
      <c r="AC1280" s="2">
        <v>20</v>
      </c>
      <c r="AD1280" s="2">
        <v>14</v>
      </c>
      <c r="AE1280" s="2">
        <f>AC1280*AD1280</f>
        <v>280</v>
      </c>
      <c r="AF1280" s="2">
        <f>Z1280/Y1280</f>
        <v>2.6</v>
      </c>
      <c r="AG1280" s="2">
        <f>AA1280/Z1280</f>
        <v>3.0769230769230771</v>
      </c>
      <c r="AH1280" s="2">
        <f>AB1280/AA1280</f>
        <v>2.5</v>
      </c>
    </row>
    <row r="1281" spans="1:34">
      <c r="A1281" s="102" t="s">
        <v>475</v>
      </c>
      <c r="B1281" s="102" t="s">
        <v>476</v>
      </c>
      <c r="C1281" s="40">
        <v>46201</v>
      </c>
      <c r="D1281" s="42">
        <v>0.75</v>
      </c>
      <c r="E1281" s="8">
        <v>34</v>
      </c>
      <c r="F1281" s="8" t="s">
        <v>522</v>
      </c>
      <c r="G1281" s="2">
        <v>1</v>
      </c>
      <c r="H1281" s="2">
        <v>9</v>
      </c>
      <c r="I1281" s="125">
        <v>250</v>
      </c>
      <c r="J1281" s="2" t="s">
        <v>766</v>
      </c>
      <c r="K1281" s="109" t="s">
        <v>602</v>
      </c>
      <c r="L1281" s="105">
        <v>25000</v>
      </c>
      <c r="M1281" s="64">
        <v>30</v>
      </c>
      <c r="N1281" s="39" t="s">
        <v>48</v>
      </c>
      <c r="O1281" s="39" t="s">
        <v>49</v>
      </c>
      <c r="P1281" s="212" t="s">
        <v>831</v>
      </c>
      <c r="Q1281" s="19">
        <v>50</v>
      </c>
      <c r="R1281" s="15">
        <f>Q1281/I1281</f>
        <v>0.2</v>
      </c>
      <c r="S1281" s="5">
        <f>($AC1281*$AD1281)/(($Z1281/$Y1281)+($AA1281/$Z1281)+($AB1281/$AA1281))</f>
        <v>55.03292568203198</v>
      </c>
      <c r="U1281" s="109" t="s">
        <v>219</v>
      </c>
      <c r="V1281" s="10" t="s">
        <v>623</v>
      </c>
      <c r="W1281" s="253" t="s">
        <v>538</v>
      </c>
      <c r="Y1281" s="2">
        <v>2.5</v>
      </c>
      <c r="Z1281" s="2">
        <v>6.5</v>
      </c>
      <c r="AA1281" s="2">
        <v>20</v>
      </c>
      <c r="AB1281" s="2">
        <v>50</v>
      </c>
      <c r="AC1281" s="2">
        <v>30</v>
      </c>
      <c r="AD1281" s="2">
        <v>15</v>
      </c>
      <c r="AE1281" s="2">
        <f>AC1281*AD1281</f>
        <v>450</v>
      </c>
      <c r="AF1281" s="2">
        <f>Z1281/Y1281</f>
        <v>2.6</v>
      </c>
      <c r="AG1281" s="2">
        <f>AA1281/Z1281</f>
        <v>3.0769230769230771</v>
      </c>
      <c r="AH1281" s="2">
        <f>AB1281/AA1281</f>
        <v>2.5</v>
      </c>
    </row>
    <row r="1282" spans="1:34">
      <c r="A1282" s="52" t="s">
        <v>229</v>
      </c>
      <c r="B1282" s="52" t="s">
        <v>230</v>
      </c>
      <c r="C1282" s="40">
        <v>46201</v>
      </c>
      <c r="D1282" s="42">
        <v>0.75</v>
      </c>
      <c r="E1282" s="193"/>
      <c r="F1282" s="8" t="s">
        <v>264</v>
      </c>
      <c r="G1282" s="2">
        <v>1</v>
      </c>
      <c r="I1282" s="125">
        <v>240</v>
      </c>
      <c r="J1282" s="2" t="s">
        <v>766</v>
      </c>
      <c r="K1282" s="88" t="s">
        <v>804</v>
      </c>
      <c r="L1282" s="90">
        <v>30000</v>
      </c>
      <c r="M1282" s="8">
        <v>20</v>
      </c>
      <c r="N1282" s="39" t="s">
        <v>48</v>
      </c>
      <c r="O1282" s="39" t="s">
        <v>373</v>
      </c>
      <c r="P1282" s="213">
        <v>10000</v>
      </c>
      <c r="Q1282" s="2">
        <v>40</v>
      </c>
      <c r="R1282" s="15">
        <f>IF(Q1282&gt;0,Q1282/I1282,"")</f>
        <v>0.16666666666666666</v>
      </c>
      <c r="S1282" s="149" t="s">
        <v>110</v>
      </c>
      <c r="T1282" s="149"/>
      <c r="U1282" s="109" t="s">
        <v>767</v>
      </c>
      <c r="V1282" s="10" t="s">
        <v>719</v>
      </c>
      <c r="W1282" s="10"/>
      <c r="AE1282" s="2">
        <f>AC1282*AD1282</f>
        <v>0</v>
      </c>
      <c r="AF1282" s="2" t="e">
        <f>Z1282/Y1282</f>
        <v>#DIV/0!</v>
      </c>
      <c r="AG1282" s="2" t="e">
        <f>AA1282/Z1282</f>
        <v>#DIV/0!</v>
      </c>
      <c r="AH1282" s="2" t="e">
        <f>AB1282/AA1282</f>
        <v>#DIV/0!</v>
      </c>
    </row>
    <row r="1283" spans="1:34">
      <c r="A1283" s="52" t="s">
        <v>220</v>
      </c>
      <c r="B1283" s="52" t="s">
        <v>221</v>
      </c>
      <c r="C1283" s="48">
        <v>46201</v>
      </c>
      <c r="D1283" s="42">
        <v>0.75</v>
      </c>
      <c r="E1283" s="193"/>
      <c r="F1283" s="8" t="s">
        <v>1073</v>
      </c>
      <c r="G1283" s="2">
        <v>1</v>
      </c>
      <c r="H1283" s="2">
        <v>9</v>
      </c>
      <c r="I1283" s="125">
        <v>1100</v>
      </c>
      <c r="J1283" s="2" t="s">
        <v>766</v>
      </c>
      <c r="K1283" s="88" t="s">
        <v>799</v>
      </c>
      <c r="L1283" s="90">
        <v>30000</v>
      </c>
      <c r="M1283" s="64">
        <v>20</v>
      </c>
      <c r="N1283" s="39" t="s">
        <v>48</v>
      </c>
      <c r="O1283" s="39" t="s">
        <v>49</v>
      </c>
      <c r="P1283" s="134" t="s">
        <v>838</v>
      </c>
      <c r="Q1283" s="19">
        <v>125</v>
      </c>
      <c r="R1283" s="15">
        <f>Q1283/I1283</f>
        <v>0.11363636363636363</v>
      </c>
      <c r="S1283" s="5">
        <f>($AC1283*$AD1283)/(($Z1283/$Y1283)+($AA1283/$Z1283)+($AB1283/$AA1283))</f>
        <v>41.632653061224495</v>
      </c>
      <c r="U1283" s="109" t="s">
        <v>129</v>
      </c>
      <c r="V1283" s="10" t="s">
        <v>738</v>
      </c>
      <c r="W1283" s="10"/>
      <c r="Y1283" s="2">
        <v>2</v>
      </c>
      <c r="Z1283" s="2">
        <v>5</v>
      </c>
      <c r="AA1283" s="2">
        <v>15</v>
      </c>
      <c r="AB1283" s="2">
        <v>40</v>
      </c>
      <c r="AC1283" s="2">
        <v>17</v>
      </c>
      <c r="AD1283" s="115">
        <v>20</v>
      </c>
      <c r="AE1283" s="2">
        <f>AC1283*AD1283</f>
        <v>340</v>
      </c>
      <c r="AF1283" s="2">
        <f>Z1283/Y1283</f>
        <v>2.5</v>
      </c>
      <c r="AG1283" s="2">
        <f>AA1283/Z1283</f>
        <v>3</v>
      </c>
      <c r="AH1283" s="2">
        <f>AB1283/AA1283</f>
        <v>2.6666666666666665</v>
      </c>
    </row>
    <row r="1284" spans="1:34">
      <c r="A1284" s="96" t="s">
        <v>461</v>
      </c>
      <c r="B1284" s="96" t="s">
        <v>462</v>
      </c>
      <c r="C1284" s="192">
        <v>46201</v>
      </c>
      <c r="D1284" s="42">
        <v>0.75694444444444442</v>
      </c>
      <c r="E1284" s="193"/>
      <c r="F1284" s="8" t="s">
        <v>459</v>
      </c>
      <c r="G1284" s="2">
        <v>1</v>
      </c>
      <c r="I1284" s="125">
        <v>120</v>
      </c>
      <c r="J1284" s="2" t="s">
        <v>766</v>
      </c>
      <c r="K1284" s="109" t="s">
        <v>602</v>
      </c>
      <c r="L1284" s="8">
        <v>20000</v>
      </c>
      <c r="M1284" s="202">
        <v>20</v>
      </c>
      <c r="N1284" s="39" t="s">
        <v>48</v>
      </c>
      <c r="O1284" s="39" t="s">
        <v>465</v>
      </c>
      <c r="P1284" s="63">
        <v>10000</v>
      </c>
      <c r="Q1284" s="2">
        <v>24</v>
      </c>
      <c r="R1284" s="15">
        <f>Q1284/I1284</f>
        <v>0.2</v>
      </c>
      <c r="S1284" s="149" t="s">
        <v>110</v>
      </c>
      <c r="T1284" s="149"/>
      <c r="U1284" s="109" t="s">
        <v>767</v>
      </c>
      <c r="V1284" s="10" t="s">
        <v>735</v>
      </c>
      <c r="W1284" s="10"/>
      <c r="AE1284" s="2">
        <f>AC1284*AD1284</f>
        <v>0</v>
      </c>
      <c r="AF1284" s="2" t="e">
        <f>Z1284/Y1284</f>
        <v>#DIV/0!</v>
      </c>
      <c r="AG1284" s="2" t="e">
        <f>AA1284/Z1284</f>
        <v>#DIV/0!</v>
      </c>
      <c r="AH1284" s="2" t="e">
        <f>AB1284/AA1284</f>
        <v>#DIV/0!</v>
      </c>
    </row>
    <row r="1285" spans="1:34">
      <c r="A1285" s="68" t="s">
        <v>357</v>
      </c>
      <c r="B1285" s="68" t="s">
        <v>358</v>
      </c>
      <c r="C1285" s="48">
        <v>46201</v>
      </c>
      <c r="D1285" s="42">
        <v>0.75694444444444442</v>
      </c>
      <c r="E1285" s="8">
        <v>73</v>
      </c>
      <c r="F1285" s="197" t="s">
        <v>290</v>
      </c>
      <c r="G1285" s="2">
        <v>1</v>
      </c>
      <c r="H1285" s="2">
        <v>9</v>
      </c>
      <c r="I1285" s="125">
        <v>600</v>
      </c>
      <c r="J1285" s="2" t="s">
        <v>766</v>
      </c>
      <c r="K1285" s="137" t="s">
        <v>602</v>
      </c>
      <c r="L1285" s="89">
        <v>25000</v>
      </c>
      <c r="M1285" s="54">
        <v>30</v>
      </c>
      <c r="N1285" s="39" t="s">
        <v>48</v>
      </c>
      <c r="O1285" s="39" t="s">
        <v>49</v>
      </c>
      <c r="P1285" s="212" t="s">
        <v>836</v>
      </c>
      <c r="Q1285" s="19">
        <v>80</v>
      </c>
      <c r="R1285" s="15">
        <f>Q1285/I1285</f>
        <v>0.13333333333333333</v>
      </c>
      <c r="S1285" s="5">
        <f>($AC1285*$AD1285)/(($Z1285/$Y1285)+($AA1285/$Z1285)+($AB1285/$AA1285))</f>
        <v>55.03292568203198</v>
      </c>
      <c r="U1285" s="109" t="s">
        <v>219</v>
      </c>
      <c r="V1285" s="10" t="s">
        <v>662</v>
      </c>
      <c r="W1285" s="86" t="s">
        <v>389</v>
      </c>
      <c r="Y1285" s="2">
        <v>2.5</v>
      </c>
      <c r="Z1285" s="2">
        <v>6.5</v>
      </c>
      <c r="AA1285" s="2">
        <v>20</v>
      </c>
      <c r="AB1285" s="2">
        <v>50</v>
      </c>
      <c r="AC1285" s="2">
        <v>30</v>
      </c>
      <c r="AD1285" s="2">
        <v>15</v>
      </c>
      <c r="AE1285" s="2">
        <f>AC1285*AD1285</f>
        <v>450</v>
      </c>
      <c r="AF1285" s="2">
        <f>Z1285/Y1285</f>
        <v>2.6</v>
      </c>
      <c r="AG1285" s="2">
        <f>AA1285/Z1285</f>
        <v>3.0769230769230771</v>
      </c>
      <c r="AH1285" s="2">
        <f>AB1285/AA1285</f>
        <v>2.5</v>
      </c>
    </row>
    <row r="1286" spans="1:34" s="85" customFormat="1">
      <c r="A1286" s="95" t="s">
        <v>447</v>
      </c>
      <c r="B1286" s="95" t="s">
        <v>448</v>
      </c>
      <c r="C1286" s="40">
        <v>46201</v>
      </c>
      <c r="D1286" s="42">
        <v>0.79166666666666663</v>
      </c>
      <c r="E1286" s="193"/>
      <c r="F1286" s="194" t="s">
        <v>416</v>
      </c>
      <c r="G1286" s="2">
        <v>1</v>
      </c>
      <c r="H1286" s="2">
        <v>9</v>
      </c>
      <c r="I1286" s="125">
        <v>160</v>
      </c>
      <c r="J1286" s="2" t="s">
        <v>766</v>
      </c>
      <c r="K1286" s="109" t="s">
        <v>602</v>
      </c>
      <c r="L1286" s="8">
        <v>20000</v>
      </c>
      <c r="M1286" s="8">
        <v>20</v>
      </c>
      <c r="N1286" s="39" t="s">
        <v>61</v>
      </c>
      <c r="O1286" s="39" t="s">
        <v>49</v>
      </c>
      <c r="P1286" s="131" t="s">
        <v>225</v>
      </c>
      <c r="Q1286" s="19">
        <v>35</v>
      </c>
      <c r="R1286" s="15">
        <f>Q1286/I1286</f>
        <v>0.21875</v>
      </c>
      <c r="S1286" s="5">
        <f>($AC1286*$AD1286)/(($Z1286/$Y1286)+($AA1286/$Z1286)+($AB1286/$AA1286))</f>
        <v>31.111111111111111</v>
      </c>
      <c r="T1286" s="5"/>
      <c r="U1286" s="109" t="s">
        <v>767</v>
      </c>
      <c r="V1286" s="10" t="s">
        <v>741</v>
      </c>
      <c r="W1286" s="238" t="s">
        <v>744</v>
      </c>
      <c r="X1286" s="2"/>
      <c r="Y1286" s="2">
        <v>2</v>
      </c>
      <c r="Z1286" s="2">
        <v>5</v>
      </c>
      <c r="AA1286" s="2">
        <v>20</v>
      </c>
      <c r="AB1286" s="2">
        <v>50</v>
      </c>
      <c r="AC1286" s="2">
        <v>14</v>
      </c>
      <c r="AD1286" s="2">
        <v>20</v>
      </c>
      <c r="AE1286" s="2">
        <f>AC1286*AD1286</f>
        <v>280</v>
      </c>
      <c r="AF1286" s="2">
        <f>Z1286/Y1286</f>
        <v>2.5</v>
      </c>
      <c r="AG1286" s="2">
        <f>AA1286/Z1286</f>
        <v>4</v>
      </c>
      <c r="AH1286" s="2">
        <f>AB1286/AA1286</f>
        <v>2.5</v>
      </c>
    </row>
    <row r="1287" spans="1:34">
      <c r="A1287" s="103" t="s">
        <v>539</v>
      </c>
      <c r="B1287" s="103" t="s">
        <v>540</v>
      </c>
      <c r="C1287" s="48">
        <v>46201</v>
      </c>
      <c r="D1287" s="42">
        <v>0.79166666666666663</v>
      </c>
      <c r="E1287" s="8">
        <v>89</v>
      </c>
      <c r="F1287" s="63" t="s">
        <v>544</v>
      </c>
      <c r="G1287" s="2">
        <v>1</v>
      </c>
      <c r="H1287" s="2">
        <v>9</v>
      </c>
      <c r="I1287" s="125">
        <v>150</v>
      </c>
      <c r="J1287" s="179" t="s">
        <v>766</v>
      </c>
      <c r="K1287" s="179" t="s">
        <v>602</v>
      </c>
      <c r="L1287" s="89">
        <v>30000</v>
      </c>
      <c r="M1287" s="202">
        <v>15</v>
      </c>
      <c r="N1287" s="39" t="s">
        <v>48</v>
      </c>
      <c r="O1287" s="39" t="s">
        <v>49</v>
      </c>
      <c r="P1287" s="135" t="s">
        <v>828</v>
      </c>
      <c r="Q1287" s="19">
        <v>46</v>
      </c>
      <c r="R1287" s="15">
        <f>Q1287/I1287</f>
        <v>0.30666666666666664</v>
      </c>
      <c r="S1287" s="5">
        <f>($AC1287*$AD1287)/(($Z1287/$Y1287)+($AA1287/$Z1287)+($AB1287/$AA1287))</f>
        <v>19.534883720930232</v>
      </c>
      <c r="U1287" s="109" t="s">
        <v>129</v>
      </c>
      <c r="V1287" s="21" t="s">
        <v>1395</v>
      </c>
      <c r="W1287" s="182" t="s">
        <v>1389</v>
      </c>
      <c r="Y1287" s="2">
        <v>4</v>
      </c>
      <c r="Z1287" s="2">
        <v>8</v>
      </c>
      <c r="AA1287" s="2">
        <v>30</v>
      </c>
      <c r="AB1287" s="2">
        <v>150</v>
      </c>
      <c r="AC1287" s="2">
        <v>14</v>
      </c>
      <c r="AD1287" s="2">
        <v>15</v>
      </c>
      <c r="AE1287" s="2">
        <f>AC1287*AD1287</f>
        <v>210</v>
      </c>
      <c r="AF1287" s="2">
        <f>Z1287/Y1287</f>
        <v>2</v>
      </c>
      <c r="AG1287" s="2">
        <f>AA1287/Z1287</f>
        <v>3.75</v>
      </c>
      <c r="AH1287" s="2">
        <f>AB1287/AA1287</f>
        <v>5</v>
      </c>
    </row>
    <row r="1288" spans="1:34">
      <c r="A1288" s="165" t="s">
        <v>1383</v>
      </c>
      <c r="B1288" s="39" t="s">
        <v>63</v>
      </c>
      <c r="C1288" s="192">
        <v>46201</v>
      </c>
      <c r="D1288" s="144">
        <v>0.79166666666666663</v>
      </c>
      <c r="F1288" s="8" t="s">
        <v>888</v>
      </c>
      <c r="G1288" s="2">
        <v>1</v>
      </c>
      <c r="I1288" s="37">
        <v>1100</v>
      </c>
      <c r="J1288" s="2" t="s">
        <v>766</v>
      </c>
      <c r="K1288" s="88" t="s">
        <v>807</v>
      </c>
      <c r="L1288" s="89">
        <v>15000</v>
      </c>
      <c r="M1288" s="209">
        <v>30</v>
      </c>
      <c r="N1288" s="132" t="s">
        <v>821</v>
      </c>
      <c r="O1288" s="39" t="s">
        <v>376</v>
      </c>
      <c r="P1288" s="213"/>
      <c r="Q1288" s="2">
        <f>88+37</f>
        <v>125</v>
      </c>
      <c r="R1288" s="15">
        <f>Q1288/I1288</f>
        <v>0.11363636363636363</v>
      </c>
      <c r="S1288" s="149" t="s">
        <v>110</v>
      </c>
      <c r="T1288" s="149"/>
      <c r="U1288" s="109" t="s">
        <v>767</v>
      </c>
      <c r="V1288" s="71" t="s">
        <v>362</v>
      </c>
      <c r="W1288" s="194" t="s">
        <v>370</v>
      </c>
      <c r="AE1288" s="2" t="e">
        <f>AD1288*#REF!</f>
        <v>#REF!</v>
      </c>
      <c r="AF1288" s="2" t="e">
        <f>Z1288/Y1288</f>
        <v>#DIV/0!</v>
      </c>
      <c r="AG1288" s="2" t="e">
        <f>AA1288/Z1288</f>
        <v>#DIV/0!</v>
      </c>
      <c r="AH1288" s="2" t="e">
        <f>AC1288/AA1288</f>
        <v>#DIV/0!</v>
      </c>
    </row>
    <row r="1289" spans="1:34">
      <c r="A1289" s="165" t="s">
        <v>1383</v>
      </c>
      <c r="B1289" s="39" t="s">
        <v>63</v>
      </c>
      <c r="C1289" s="192">
        <v>46201</v>
      </c>
      <c r="D1289" s="144">
        <v>0.83333333333333337</v>
      </c>
      <c r="E1289" s="8"/>
      <c r="F1289" s="8" t="s">
        <v>1023</v>
      </c>
      <c r="G1289" s="2">
        <v>1</v>
      </c>
      <c r="H1289" s="2">
        <v>9</v>
      </c>
      <c r="I1289" s="37">
        <v>200</v>
      </c>
      <c r="J1289" s="2" t="s">
        <v>766</v>
      </c>
      <c r="K1289" s="88" t="s">
        <v>806</v>
      </c>
      <c r="L1289" s="89">
        <v>20000</v>
      </c>
      <c r="M1289" s="205">
        <v>20</v>
      </c>
      <c r="N1289" s="39" t="s">
        <v>817</v>
      </c>
      <c r="O1289" s="39" t="s">
        <v>49</v>
      </c>
      <c r="P1289" s="210"/>
      <c r="Q1289" s="19">
        <v>45</v>
      </c>
      <c r="R1289" s="15">
        <f>Q1289/I1289</f>
        <v>0.22500000000000001</v>
      </c>
      <c r="S1289" s="5">
        <v>23</v>
      </c>
      <c r="U1289" s="109" t="s">
        <v>129</v>
      </c>
      <c r="V1289" s="21" t="s">
        <v>360</v>
      </c>
      <c r="W1289" s="10"/>
      <c r="Y1289" s="175"/>
      <c r="Z1289" s="175"/>
      <c r="AA1289" s="175"/>
      <c r="AB1289" s="175"/>
      <c r="AC1289" s="175"/>
      <c r="AD1289" s="175"/>
      <c r="AE1289" s="175"/>
      <c r="AF1289" s="175"/>
      <c r="AG1289" s="175"/>
      <c r="AH1289" s="175"/>
    </row>
    <row r="1290" spans="1:34">
      <c r="A1290" s="165" t="s">
        <v>1383</v>
      </c>
      <c r="B1290" s="39" t="s">
        <v>63</v>
      </c>
      <c r="C1290" s="192">
        <v>46201</v>
      </c>
      <c r="D1290" s="144">
        <v>0.91666666666666663</v>
      </c>
      <c r="F1290" s="8" t="s">
        <v>909</v>
      </c>
      <c r="G1290" s="2">
        <v>1</v>
      </c>
      <c r="H1290" s="2">
        <v>9</v>
      </c>
      <c r="I1290" s="37">
        <v>135</v>
      </c>
      <c r="J1290" s="2" t="s">
        <v>766</v>
      </c>
      <c r="K1290" s="88" t="s">
        <v>813</v>
      </c>
      <c r="L1290" s="89">
        <v>10000</v>
      </c>
      <c r="M1290" s="202">
        <v>15</v>
      </c>
      <c r="N1290" s="132" t="s">
        <v>821</v>
      </c>
      <c r="O1290" s="39" t="s">
        <v>49</v>
      </c>
      <c r="P1290" s="210"/>
      <c r="Q1290" s="19">
        <v>35</v>
      </c>
      <c r="R1290" s="15">
        <f>Q1290/I1290</f>
        <v>0.25925925925925924</v>
      </c>
      <c r="S1290" s="5">
        <v>22</v>
      </c>
      <c r="U1290" s="109" t="s">
        <v>767</v>
      </c>
      <c r="V1290" s="21" t="s">
        <v>362</v>
      </c>
      <c r="W1290" s="194" t="s">
        <v>369</v>
      </c>
      <c r="Y1290" s="175"/>
      <c r="Z1290" s="175"/>
      <c r="AA1290" s="175"/>
      <c r="AB1290" s="175"/>
      <c r="AC1290" s="175"/>
      <c r="AD1290" s="175"/>
      <c r="AE1290" s="175"/>
      <c r="AF1290" s="175"/>
      <c r="AG1290" s="175"/>
      <c r="AH1290" s="175"/>
    </row>
    <row r="1291" spans="1:34">
      <c r="A1291" s="96" t="s">
        <v>461</v>
      </c>
      <c r="B1291" s="96" t="s">
        <v>462</v>
      </c>
      <c r="C1291" s="192">
        <v>46201</v>
      </c>
      <c r="D1291" s="42">
        <v>0.92361111111111116</v>
      </c>
      <c r="F1291" s="8" t="s">
        <v>456</v>
      </c>
      <c r="G1291" s="2">
        <v>1</v>
      </c>
      <c r="I1291" s="125">
        <v>120</v>
      </c>
      <c r="J1291" s="2" t="s">
        <v>766</v>
      </c>
      <c r="K1291" s="109" t="s">
        <v>737</v>
      </c>
      <c r="L1291" s="8">
        <v>20000</v>
      </c>
      <c r="M1291" s="202">
        <v>15</v>
      </c>
      <c r="N1291" s="39" t="s">
        <v>48</v>
      </c>
      <c r="O1291" s="39" t="s">
        <v>49</v>
      </c>
      <c r="P1291" s="135" t="s">
        <v>827</v>
      </c>
      <c r="Q1291" s="19">
        <v>24</v>
      </c>
      <c r="R1291" s="15">
        <f>Q1291/I1291</f>
        <v>0.2</v>
      </c>
      <c r="S1291" s="5">
        <f>($AC1291*$AD1291)/(($Z1291/$Y1291)+($AA1291/$Z1291)+($AB1291/$AA1291))</f>
        <v>25.161290322580644</v>
      </c>
      <c r="U1291" s="109" t="s">
        <v>463</v>
      </c>
      <c r="V1291" s="10" t="s">
        <v>735</v>
      </c>
      <c r="W1291" s="10" t="s">
        <v>464</v>
      </c>
      <c r="Y1291" s="2">
        <v>2.5</v>
      </c>
      <c r="Z1291" s="2">
        <v>7.5</v>
      </c>
      <c r="AA1291" s="2">
        <v>30</v>
      </c>
      <c r="AB1291" s="2">
        <v>100</v>
      </c>
      <c r="AC1291" s="2">
        <v>13</v>
      </c>
      <c r="AD1291" s="2">
        <v>20</v>
      </c>
      <c r="AE1291" s="2">
        <f>AC1291*AD1291</f>
        <v>260</v>
      </c>
      <c r="AF1291" s="2">
        <f>Z1291/Y1291</f>
        <v>3</v>
      </c>
      <c r="AG1291" s="2">
        <f>AA1291/Z1291</f>
        <v>4</v>
      </c>
      <c r="AH1291" s="2">
        <f>AB1291/AA1291</f>
        <v>3.3333333333333335</v>
      </c>
    </row>
    <row r="1292" spans="1:34">
      <c r="A1292" s="165" t="s">
        <v>1383</v>
      </c>
      <c r="B1292" s="36" t="s">
        <v>63</v>
      </c>
      <c r="C1292" s="41">
        <v>46201</v>
      </c>
      <c r="D1292" s="144" t="s">
        <v>117</v>
      </c>
      <c r="E1292" s="14">
        <v>72</v>
      </c>
      <c r="F1292" s="8" t="s">
        <v>994</v>
      </c>
      <c r="G1292" s="2">
        <v>3</v>
      </c>
      <c r="H1292" s="2">
        <v>9</v>
      </c>
      <c r="I1292" s="45">
        <v>1000</v>
      </c>
      <c r="J1292" s="2" t="s">
        <v>764</v>
      </c>
      <c r="K1292" s="109" t="s">
        <v>601</v>
      </c>
      <c r="L1292" s="89">
        <v>60000</v>
      </c>
      <c r="M1292" s="202">
        <v>30</v>
      </c>
      <c r="N1292" s="39" t="s">
        <v>48</v>
      </c>
      <c r="O1292" s="39" t="s">
        <v>49</v>
      </c>
      <c r="P1292" s="130"/>
      <c r="Q1292" s="19">
        <f>R1292*I1292</f>
        <v>120</v>
      </c>
      <c r="R1292" s="15">
        <v>0.12</v>
      </c>
      <c r="S1292" s="5">
        <f>($AC1292*$AD1292)/(($Z1292/$Y1292)+($AA1292/$Z1292)+($AB1292/$AA1292))</f>
        <v>85.046728971962622</v>
      </c>
      <c r="U1292" s="109" t="s">
        <v>767</v>
      </c>
      <c r="V1292" s="2" t="s">
        <v>121</v>
      </c>
      <c r="W1292" s="205"/>
      <c r="Y1292" s="2">
        <v>2</v>
      </c>
      <c r="Z1292" s="2">
        <v>5</v>
      </c>
      <c r="AA1292" s="2">
        <v>13</v>
      </c>
      <c r="AB1292" s="2">
        <v>30</v>
      </c>
      <c r="AC1292" s="2">
        <v>21</v>
      </c>
      <c r="AD1292" s="2">
        <v>30</v>
      </c>
      <c r="AE1292" s="2">
        <f>AC1292*AD1292</f>
        <v>630</v>
      </c>
      <c r="AF1292" s="2">
        <f>Z1292/Y1292</f>
        <v>2.5</v>
      </c>
      <c r="AG1292" s="2">
        <f>AA1292/Z1292</f>
        <v>2.6</v>
      </c>
      <c r="AH1292" s="2">
        <f>AB1292/AA1292</f>
        <v>2.3076923076923075</v>
      </c>
    </row>
    <row r="1293" spans="1:34">
      <c r="A1293" s="165" t="s">
        <v>1383</v>
      </c>
      <c r="B1293" s="36" t="s">
        <v>63</v>
      </c>
      <c r="C1293" s="41">
        <v>46201</v>
      </c>
      <c r="D1293" s="144" t="s">
        <v>115</v>
      </c>
      <c r="E1293" s="8">
        <v>73</v>
      </c>
      <c r="F1293" s="8" t="s">
        <v>995</v>
      </c>
      <c r="G1293" s="2">
        <v>4</v>
      </c>
      <c r="H1293" s="2">
        <v>6</v>
      </c>
      <c r="I1293" s="45">
        <v>5000</v>
      </c>
      <c r="J1293" s="2" t="s">
        <v>760</v>
      </c>
      <c r="K1293" s="109" t="s">
        <v>601</v>
      </c>
      <c r="L1293" s="92">
        <v>50000</v>
      </c>
      <c r="M1293" s="69">
        <v>60</v>
      </c>
      <c r="N1293" s="39" t="s">
        <v>48</v>
      </c>
      <c r="O1293" s="39" t="s">
        <v>49</v>
      </c>
      <c r="P1293" s="210"/>
      <c r="Q1293" s="19">
        <f>R1293*I1293</f>
        <v>400</v>
      </c>
      <c r="R1293" s="15">
        <v>0.08</v>
      </c>
      <c r="S1293" s="5">
        <f>($AC1293*$AD1293)/(($Z1293/$Y1293)+($AA1293/$Z1293)+($AB1293/$AA1293))</f>
        <v>161.993769470405</v>
      </c>
      <c r="U1293" s="109" t="s">
        <v>375</v>
      </c>
      <c r="V1293" s="2" t="s">
        <v>121</v>
      </c>
      <c r="W1293" s="10"/>
      <c r="Y1293" s="2">
        <v>2</v>
      </c>
      <c r="Z1293" s="2">
        <v>5</v>
      </c>
      <c r="AA1293" s="2">
        <v>13</v>
      </c>
      <c r="AB1293" s="2">
        <v>30</v>
      </c>
      <c r="AC1293" s="2">
        <v>20</v>
      </c>
      <c r="AD1293" s="2">
        <v>60</v>
      </c>
      <c r="AE1293" s="2">
        <f>AC1293*AD1293</f>
        <v>1200</v>
      </c>
      <c r="AF1293" s="2">
        <f>Z1293/Y1293</f>
        <v>2.5</v>
      </c>
      <c r="AG1293" s="2">
        <f>AA1293/Z1293</f>
        <v>2.6</v>
      </c>
      <c r="AH1293" s="2">
        <f>AB1293/AA1293</f>
        <v>2.3076923076923075</v>
      </c>
    </row>
    <row r="1294" spans="1:34" ht="15" thickBot="1">
      <c r="A1294" s="165" t="s">
        <v>1383</v>
      </c>
      <c r="B1294" s="36" t="s">
        <v>63</v>
      </c>
      <c r="C1294" s="41">
        <v>46201</v>
      </c>
      <c r="D1294" s="144" t="s">
        <v>116</v>
      </c>
      <c r="E1294" s="8">
        <v>74</v>
      </c>
      <c r="F1294" s="8" t="s">
        <v>175</v>
      </c>
      <c r="G1294" s="2">
        <v>3</v>
      </c>
      <c r="H1294" s="2">
        <v>6</v>
      </c>
      <c r="I1294" s="45">
        <v>1500</v>
      </c>
      <c r="J1294" s="2" t="s">
        <v>760</v>
      </c>
      <c r="K1294" s="109" t="s">
        <v>598</v>
      </c>
      <c r="L1294" s="92">
        <v>25000</v>
      </c>
      <c r="M1294" s="202" t="s">
        <v>97</v>
      </c>
      <c r="N1294" s="39" t="s">
        <v>48</v>
      </c>
      <c r="O1294" s="39" t="s">
        <v>377</v>
      </c>
      <c r="P1294" s="19"/>
      <c r="Q1294" s="38">
        <f>R1294*I1294</f>
        <v>172.5</v>
      </c>
      <c r="R1294" s="15">
        <v>0.115</v>
      </c>
      <c r="S1294" s="149" t="s">
        <v>110</v>
      </c>
      <c r="T1294" s="149"/>
      <c r="U1294" s="109" t="s">
        <v>375</v>
      </c>
      <c r="V1294" s="2" t="s">
        <v>121</v>
      </c>
      <c r="W1294" s="205"/>
      <c r="AE1294" s="2" t="e">
        <f>AD1294*#REF!</f>
        <v>#REF!</v>
      </c>
      <c r="AF1294" s="2" t="e">
        <f>Z1294/Y1294</f>
        <v>#DIV/0!</v>
      </c>
      <c r="AG1294" s="2" t="e">
        <f>AA1294/Z1294</f>
        <v>#DIV/0!</v>
      </c>
      <c r="AH1294" s="2" t="e">
        <f>AC1294/AA1294</f>
        <v>#DIV/0!</v>
      </c>
    </row>
    <row r="1295" spans="1:34">
      <c r="A1295" s="165" t="s">
        <v>1383</v>
      </c>
      <c r="B1295" s="36" t="s">
        <v>63</v>
      </c>
      <c r="C1295" s="41">
        <v>46201</v>
      </c>
      <c r="D1295" s="144" t="s">
        <v>876</v>
      </c>
      <c r="E1295">
        <v>68</v>
      </c>
      <c r="F1295" s="8" t="s">
        <v>1112</v>
      </c>
      <c r="G1295" s="2">
        <v>4</v>
      </c>
      <c r="H1295" s="2">
        <v>9</v>
      </c>
      <c r="I1295" s="99">
        <v>1000</v>
      </c>
      <c r="J1295" s="2" t="s">
        <v>760</v>
      </c>
      <c r="K1295" s="109" t="s">
        <v>602</v>
      </c>
      <c r="L1295" s="89">
        <v>20000</v>
      </c>
      <c r="M1295" s="106">
        <v>60</v>
      </c>
      <c r="N1295" s="39" t="s">
        <v>48</v>
      </c>
      <c r="O1295" s="39" t="s">
        <v>49</v>
      </c>
      <c r="P1295" s="210"/>
      <c r="Q1295" s="19">
        <f>R1295*I1295</f>
        <v>120</v>
      </c>
      <c r="R1295" s="15">
        <v>0.12</v>
      </c>
      <c r="S1295" s="5">
        <f>($AC1295*$AD1295)/(($Z1295/$Y1295)+($AA1295/$Z1295)+($AB1295/$AA1295))</f>
        <v>133.04347826086956</v>
      </c>
      <c r="U1295" s="109" t="s">
        <v>125</v>
      </c>
      <c r="V1295" s="2" t="s">
        <v>121</v>
      </c>
      <c r="Y1295" s="2">
        <v>1.5</v>
      </c>
      <c r="Z1295" s="2">
        <v>4</v>
      </c>
      <c r="AA1295" s="2">
        <v>10</v>
      </c>
      <c r="AB1295" s="2">
        <v>25</v>
      </c>
      <c r="AC1295" s="2">
        <v>17</v>
      </c>
      <c r="AD1295" s="2">
        <v>60</v>
      </c>
      <c r="AE1295" s="2">
        <f>AC1295*AD1295</f>
        <v>1020</v>
      </c>
      <c r="AF1295" s="2">
        <f>Z1295/Y1295</f>
        <v>2.6666666666666665</v>
      </c>
      <c r="AG1295" s="2">
        <f>AA1295/Z1295</f>
        <v>2.5</v>
      </c>
      <c r="AH1295" s="2">
        <f>AB1295/AA1295</f>
        <v>2.5</v>
      </c>
    </row>
    <row r="1296" spans="1:34">
      <c r="A1296" s="95" t="s">
        <v>447</v>
      </c>
      <c r="B1296" s="95" t="s">
        <v>448</v>
      </c>
      <c r="C1296" s="190">
        <v>46202</v>
      </c>
      <c r="D1296" s="42">
        <v>0.375</v>
      </c>
      <c r="E1296" s="193"/>
      <c r="F1296" s="8" t="s">
        <v>418</v>
      </c>
      <c r="G1296" s="2">
        <v>1</v>
      </c>
      <c r="H1296" s="2">
        <v>9</v>
      </c>
      <c r="I1296" s="126">
        <v>160</v>
      </c>
      <c r="J1296" s="2" t="s">
        <v>766</v>
      </c>
      <c r="K1296" s="109" t="s">
        <v>602</v>
      </c>
      <c r="L1296" s="194">
        <v>20000</v>
      </c>
      <c r="M1296" s="194">
        <v>15</v>
      </c>
      <c r="N1296" s="39" t="s">
        <v>61</v>
      </c>
      <c r="O1296" s="39" t="s">
        <v>49</v>
      </c>
      <c r="P1296" s="214" t="s">
        <v>228</v>
      </c>
      <c r="Q1296" s="19">
        <v>35</v>
      </c>
      <c r="R1296" s="15">
        <f>Q1296/I1296</f>
        <v>0.21875</v>
      </c>
      <c r="S1296" s="5">
        <f>($AC1296*$AD1296)/(($Z1296/$Y1296)+($AA1296/$Z1296)+($AB1296/$AA1296))</f>
        <v>23.333333333333332</v>
      </c>
      <c r="U1296" s="109" t="s">
        <v>129</v>
      </c>
      <c r="V1296" s="10" t="s">
        <v>741</v>
      </c>
      <c r="W1296" s="116" t="s">
        <v>744</v>
      </c>
      <c r="Y1296" s="2">
        <v>2</v>
      </c>
      <c r="Z1296" s="2">
        <v>5</v>
      </c>
      <c r="AA1296" s="2">
        <v>20</v>
      </c>
      <c r="AB1296" s="2">
        <v>50</v>
      </c>
      <c r="AC1296" s="2">
        <v>14</v>
      </c>
      <c r="AD1296" s="2">
        <v>15</v>
      </c>
      <c r="AE1296" s="2">
        <f>AC1296*AD1296</f>
        <v>210</v>
      </c>
      <c r="AF1296" s="2">
        <f>Z1296/Y1296</f>
        <v>2.5</v>
      </c>
      <c r="AG1296" s="2">
        <f>AA1296/Z1296</f>
        <v>4</v>
      </c>
      <c r="AH1296" s="2">
        <f>AB1296/AA1296</f>
        <v>2.5</v>
      </c>
    </row>
    <row r="1297" spans="1:34" ht="15" thickBot="1">
      <c r="A1297" s="68" t="s">
        <v>357</v>
      </c>
      <c r="B1297" s="68" t="s">
        <v>358</v>
      </c>
      <c r="C1297" s="60">
        <v>46202</v>
      </c>
      <c r="D1297" s="42">
        <v>0.41666666666666669</v>
      </c>
      <c r="E1297" s="98">
        <v>70</v>
      </c>
      <c r="F1297" s="63" t="s">
        <v>356</v>
      </c>
      <c r="G1297" s="2">
        <v>2</v>
      </c>
      <c r="H1297" s="2">
        <v>9</v>
      </c>
      <c r="I1297" s="125">
        <v>1100</v>
      </c>
      <c r="J1297" s="2" t="s">
        <v>766</v>
      </c>
      <c r="K1297" s="137" t="s">
        <v>598</v>
      </c>
      <c r="L1297" s="89">
        <v>40000</v>
      </c>
      <c r="M1297" s="202">
        <v>40</v>
      </c>
      <c r="N1297" s="39" t="s">
        <v>48</v>
      </c>
      <c r="O1297" s="39" t="s">
        <v>49</v>
      </c>
      <c r="P1297" s="135" t="s">
        <v>842</v>
      </c>
      <c r="Q1297" s="19">
        <v>140</v>
      </c>
      <c r="R1297" s="15">
        <f>Q1297/I1297</f>
        <v>0.12727272727272726</v>
      </c>
      <c r="S1297" s="5">
        <f>($AC1297*$AD1297)/(($Z1297/$Y1297)+($AA1297/$Z1297)+($AB1297/$AA1297))</f>
        <v>102.59605399792316</v>
      </c>
      <c r="U1297" s="109" t="s">
        <v>54</v>
      </c>
      <c r="V1297" s="205" t="s">
        <v>686</v>
      </c>
      <c r="W1297" s="205"/>
      <c r="Y1297" s="2">
        <v>2</v>
      </c>
      <c r="Z1297" s="2">
        <v>5</v>
      </c>
      <c r="AA1297" s="2">
        <v>13</v>
      </c>
      <c r="AB1297" s="2">
        <v>30</v>
      </c>
      <c r="AC1297" s="2">
        <v>40</v>
      </c>
      <c r="AD1297" s="2">
        <v>19</v>
      </c>
      <c r="AE1297" s="2">
        <f>AC1297*AD1297</f>
        <v>760</v>
      </c>
      <c r="AF1297" s="2">
        <f>Z1297/Y1297</f>
        <v>2.5</v>
      </c>
      <c r="AG1297" s="2">
        <f>AA1297/Z1297</f>
        <v>2.6</v>
      </c>
      <c r="AH1297" s="2">
        <f>AB1297/AA1297</f>
        <v>2.3076923076923075</v>
      </c>
    </row>
    <row r="1298" spans="1:34" s="85" customFormat="1" ht="15" thickBot="1">
      <c r="A1298" s="96" t="s">
        <v>461</v>
      </c>
      <c r="B1298" s="96" t="s">
        <v>462</v>
      </c>
      <c r="C1298" s="97">
        <v>46202</v>
      </c>
      <c r="D1298" s="42">
        <v>0.4236111111111111</v>
      </c>
      <c r="E1298" s="62"/>
      <c r="F1298" s="8" t="s">
        <v>467</v>
      </c>
      <c r="G1298" s="2">
        <v>2</v>
      </c>
      <c r="H1298" s="2"/>
      <c r="I1298" s="127">
        <v>300</v>
      </c>
      <c r="J1298" s="2" t="s">
        <v>766</v>
      </c>
      <c r="K1298" s="109" t="s">
        <v>598</v>
      </c>
      <c r="L1298" s="124">
        <v>30000</v>
      </c>
      <c r="M1298" s="106">
        <v>30</v>
      </c>
      <c r="N1298" s="39" t="s">
        <v>48</v>
      </c>
      <c r="O1298" s="39" t="s">
        <v>49</v>
      </c>
      <c r="P1298" s="135" t="s">
        <v>842</v>
      </c>
      <c r="Q1298" s="19">
        <v>65</v>
      </c>
      <c r="R1298" s="15">
        <f>Q1298/I1298</f>
        <v>0.21666666666666667</v>
      </c>
      <c r="S1298" s="5">
        <f>($AC1298*$AD1298)/(($Z1298/$Y1298)+($AA1298/$Z1298)+($AB1298/$AA1298))</f>
        <v>53.333333333333336</v>
      </c>
      <c r="T1298" s="5"/>
      <c r="U1298" s="109" t="s">
        <v>767</v>
      </c>
      <c r="V1298" s="205" t="s">
        <v>735</v>
      </c>
      <c r="W1298" s="10"/>
      <c r="X1298" s="2"/>
      <c r="Y1298" s="2">
        <v>2</v>
      </c>
      <c r="Z1298" s="2">
        <v>5</v>
      </c>
      <c r="AA1298" s="2">
        <v>20</v>
      </c>
      <c r="AB1298" s="2">
        <v>50</v>
      </c>
      <c r="AC1298" s="2">
        <v>16</v>
      </c>
      <c r="AD1298" s="2">
        <v>30</v>
      </c>
      <c r="AE1298" s="2">
        <f>AC1298*AD1298</f>
        <v>480</v>
      </c>
      <c r="AF1298" s="2">
        <f>Z1298/Y1298</f>
        <v>2.5</v>
      </c>
      <c r="AG1298" s="2">
        <f>AA1298/Z1298</f>
        <v>4</v>
      </c>
      <c r="AH1298" s="2">
        <f>AB1298/AA1298</f>
        <v>2.5</v>
      </c>
    </row>
    <row r="1299" spans="1:34" ht="15" thickBot="1">
      <c r="A1299" s="68" t="s">
        <v>357</v>
      </c>
      <c r="B1299" s="68" t="s">
        <v>358</v>
      </c>
      <c r="C1299" s="60">
        <v>46202</v>
      </c>
      <c r="D1299" s="42">
        <v>0.4236111111111111</v>
      </c>
      <c r="E1299" s="98">
        <v>74</v>
      </c>
      <c r="F1299" s="63" t="s">
        <v>327</v>
      </c>
      <c r="G1299" s="2">
        <v>2</v>
      </c>
      <c r="H1299" s="2">
        <v>9</v>
      </c>
      <c r="I1299" s="127">
        <v>800</v>
      </c>
      <c r="J1299" s="2" t="s">
        <v>766</v>
      </c>
      <c r="K1299" s="137" t="s">
        <v>603</v>
      </c>
      <c r="L1299" s="101">
        <v>40000</v>
      </c>
      <c r="M1299" s="106">
        <v>40</v>
      </c>
      <c r="N1299" s="39" t="s">
        <v>48</v>
      </c>
      <c r="O1299" s="39" t="s">
        <v>49</v>
      </c>
      <c r="P1299" s="135" t="s">
        <v>843</v>
      </c>
      <c r="Q1299" s="19">
        <v>110</v>
      </c>
      <c r="R1299" s="15">
        <f>Q1299/I1299</f>
        <v>0.13750000000000001</v>
      </c>
      <c r="S1299" s="5">
        <f>($AC1299*$AD1299)/(($Z1299/$Y1299)+($AA1299/$Z1299)+($AB1299/$AA1299))</f>
        <v>102.59605399792316</v>
      </c>
      <c r="U1299" s="109" t="s">
        <v>767</v>
      </c>
      <c r="V1299" s="2" t="s">
        <v>689</v>
      </c>
      <c r="Y1299" s="2">
        <v>2</v>
      </c>
      <c r="Z1299" s="2">
        <v>5</v>
      </c>
      <c r="AA1299" s="2">
        <v>13</v>
      </c>
      <c r="AB1299" s="2">
        <v>30</v>
      </c>
      <c r="AC1299" s="2">
        <v>40</v>
      </c>
      <c r="AD1299" s="2">
        <v>19</v>
      </c>
      <c r="AE1299" s="2">
        <f>AC1299*AD1299</f>
        <v>760</v>
      </c>
      <c r="AF1299" s="2">
        <f>Z1299/Y1299</f>
        <v>2.5</v>
      </c>
      <c r="AG1299" s="2">
        <f>AA1299/Z1299</f>
        <v>2.6</v>
      </c>
      <c r="AH1299" s="2">
        <f>AB1299/AA1299</f>
        <v>2.3076923076923075</v>
      </c>
    </row>
    <row r="1300" spans="1:34" ht="15" thickBot="1">
      <c r="A1300" s="95" t="s">
        <v>447</v>
      </c>
      <c r="B1300" s="95" t="s">
        <v>448</v>
      </c>
      <c r="C1300" s="61">
        <v>46202</v>
      </c>
      <c r="D1300" s="42">
        <v>0.45833333333333331</v>
      </c>
      <c r="E1300" s="62"/>
      <c r="F1300" s="8" t="s">
        <v>437</v>
      </c>
      <c r="G1300" s="2">
        <v>1</v>
      </c>
      <c r="H1300" s="2">
        <v>9</v>
      </c>
      <c r="I1300" s="127">
        <v>1100</v>
      </c>
      <c r="J1300" s="2" t="s">
        <v>766</v>
      </c>
      <c r="K1300" s="109" t="s">
        <v>602</v>
      </c>
      <c r="L1300" s="8">
        <v>30000</v>
      </c>
      <c r="M1300" s="124">
        <v>30</v>
      </c>
      <c r="N1300" s="39" t="s">
        <v>48</v>
      </c>
      <c r="O1300" s="39" t="s">
        <v>49</v>
      </c>
      <c r="P1300" s="135" t="s">
        <v>843</v>
      </c>
      <c r="Q1300" s="19">
        <v>135</v>
      </c>
      <c r="R1300" s="15">
        <f>Q1300/I1300</f>
        <v>0.12272727272727273</v>
      </c>
      <c r="S1300" s="5">
        <f>($AC1300*$AD1300)/(($Z1300/$Y1300)+($AA1300/$Z1300)+($AB1300/$AA1300))</f>
        <v>72.897196261682254</v>
      </c>
      <c r="U1300" s="109" t="s">
        <v>55</v>
      </c>
      <c r="V1300" s="205" t="s">
        <v>741</v>
      </c>
      <c r="W1300" s="116" t="s">
        <v>751</v>
      </c>
      <c r="Y1300" s="2">
        <v>2</v>
      </c>
      <c r="Z1300" s="2">
        <v>5</v>
      </c>
      <c r="AA1300" s="2">
        <v>13</v>
      </c>
      <c r="AB1300" s="2">
        <v>30</v>
      </c>
      <c r="AC1300" s="2">
        <v>18</v>
      </c>
      <c r="AD1300" s="2">
        <v>30</v>
      </c>
      <c r="AE1300" s="2">
        <f>AC1300*AD1300</f>
        <v>540</v>
      </c>
      <c r="AF1300" s="2">
        <f>Z1300/Y1300</f>
        <v>2.5</v>
      </c>
      <c r="AG1300" s="2">
        <f>AA1300/Z1300</f>
        <v>2.6</v>
      </c>
      <c r="AH1300" s="2">
        <f>AB1300/AA1300</f>
        <v>2.3076923076923075</v>
      </c>
    </row>
    <row r="1301" spans="1:34" ht="15" thickBot="1">
      <c r="A1301" s="167" t="s">
        <v>720</v>
      </c>
      <c r="B1301" s="167" t="s">
        <v>1385</v>
      </c>
      <c r="C1301" s="97">
        <v>46202</v>
      </c>
      <c r="D1301" s="143">
        <v>0.45833333333333331</v>
      </c>
      <c r="E1301" s="62"/>
      <c r="F1301" s="242" t="s">
        <v>1386</v>
      </c>
      <c r="G1301" s="2">
        <v>1</v>
      </c>
      <c r="I1301" s="99">
        <v>360</v>
      </c>
      <c r="J1301" s="2" t="s">
        <v>766</v>
      </c>
      <c r="K1301" s="167" t="s">
        <v>602</v>
      </c>
      <c r="L1301" s="101"/>
      <c r="M1301" s="106"/>
      <c r="N1301" s="167" t="s">
        <v>1387</v>
      </c>
      <c r="O1301" s="167" t="s">
        <v>49</v>
      </c>
      <c r="S1301" s="120"/>
      <c r="T1301" s="120"/>
      <c r="U1301" s="168" t="s">
        <v>125</v>
      </c>
      <c r="V1301" s="10"/>
      <c r="W1301" s="167" t="s">
        <v>1388</v>
      </c>
    </row>
    <row r="1302" spans="1:34">
      <c r="A1302" s="102" t="s">
        <v>475</v>
      </c>
      <c r="B1302" s="102" t="s">
        <v>476</v>
      </c>
      <c r="C1302" s="40">
        <v>46202</v>
      </c>
      <c r="D1302" s="42">
        <v>0.45833333333333331</v>
      </c>
      <c r="E1302" s="8">
        <v>35</v>
      </c>
      <c r="F1302" s="194" t="s">
        <v>496</v>
      </c>
      <c r="G1302" s="2">
        <v>1</v>
      </c>
      <c r="H1302" s="2">
        <v>9</v>
      </c>
      <c r="I1302" s="125">
        <v>400</v>
      </c>
      <c r="J1302" s="2" t="s">
        <v>766</v>
      </c>
      <c r="K1302" s="109" t="s">
        <v>601</v>
      </c>
      <c r="L1302" s="105">
        <v>30000</v>
      </c>
      <c r="M1302" s="64">
        <v>30</v>
      </c>
      <c r="N1302" s="39" t="s">
        <v>48</v>
      </c>
      <c r="O1302" s="39" t="s">
        <v>49</v>
      </c>
      <c r="P1302" s="212" t="s">
        <v>834</v>
      </c>
      <c r="Q1302" s="19">
        <v>70</v>
      </c>
      <c r="R1302" s="15">
        <f>Q1302/I1302</f>
        <v>0.17499999999999999</v>
      </c>
      <c r="S1302" s="5">
        <f>($AC1302*$AD1302)/(($Z1302/$Y1302)+($AA1302/$Z1302)+($AB1302/$AA1302))</f>
        <v>72.897196261682254</v>
      </c>
      <c r="U1302" s="109" t="s">
        <v>767</v>
      </c>
      <c r="V1302" s="10" t="s">
        <v>622</v>
      </c>
      <c r="W1302" s="10"/>
      <c r="Y1302" s="2">
        <v>2</v>
      </c>
      <c r="Z1302" s="2">
        <v>5</v>
      </c>
      <c r="AA1302" s="2">
        <v>13</v>
      </c>
      <c r="AB1302" s="2">
        <v>30</v>
      </c>
      <c r="AC1302" s="2">
        <v>30</v>
      </c>
      <c r="AD1302" s="2">
        <v>18</v>
      </c>
      <c r="AE1302" s="2">
        <f>AC1302*AD1302</f>
        <v>540</v>
      </c>
      <c r="AF1302" s="2">
        <f>Z1302/Y1302</f>
        <v>2.5</v>
      </c>
      <c r="AG1302" s="2">
        <f>AA1302/Z1302</f>
        <v>2.6</v>
      </c>
      <c r="AH1302" s="2">
        <f>AB1302/AA1302</f>
        <v>2.3076923076923075</v>
      </c>
    </row>
    <row r="1303" spans="1:34">
      <c r="A1303" s="52" t="s">
        <v>229</v>
      </c>
      <c r="B1303" s="52" t="s">
        <v>230</v>
      </c>
      <c r="C1303" s="40">
        <v>46202</v>
      </c>
      <c r="D1303" s="42">
        <v>0.45833333333333331</v>
      </c>
      <c r="E1303" s="193"/>
      <c r="F1303" s="194" t="s">
        <v>242</v>
      </c>
      <c r="G1303" s="2">
        <v>1</v>
      </c>
      <c r="I1303" s="125">
        <v>200</v>
      </c>
      <c r="J1303" s="2" t="s">
        <v>766</v>
      </c>
      <c r="K1303" s="88" t="s">
        <v>775</v>
      </c>
      <c r="L1303" s="90">
        <v>25000</v>
      </c>
      <c r="M1303" s="46" t="s">
        <v>128</v>
      </c>
      <c r="N1303" s="39" t="s">
        <v>48</v>
      </c>
      <c r="O1303" s="39" t="s">
        <v>49</v>
      </c>
      <c r="P1303" s="135" t="s">
        <v>832</v>
      </c>
      <c r="Q1303" s="19">
        <v>40</v>
      </c>
      <c r="R1303" s="15">
        <f>IF(Q1303&gt;0,Q1303/I1303,"")</f>
        <v>0.2</v>
      </c>
      <c r="S1303" s="5">
        <f>($AC1303*$AD1303)/(($Z1303/$Y1303)+($AA1303/$Z1303)+($AB1303/$AA1303))</f>
        <v>28.333333333333332</v>
      </c>
      <c r="U1303" s="109" t="s">
        <v>767</v>
      </c>
      <c r="V1303" s="205" t="s">
        <v>719</v>
      </c>
      <c r="W1303" s="205"/>
      <c r="Y1303" s="2">
        <v>2</v>
      </c>
      <c r="Z1303" s="2">
        <v>5</v>
      </c>
      <c r="AA1303" s="2">
        <v>20</v>
      </c>
      <c r="AB1303" s="2">
        <v>50</v>
      </c>
      <c r="AC1303" s="2">
        <v>255</v>
      </c>
      <c r="AD1303" s="2">
        <v>1</v>
      </c>
      <c r="AE1303" s="2">
        <f>AC1303*AD1303</f>
        <v>255</v>
      </c>
      <c r="AF1303" s="2">
        <f>Z1303/Y1303</f>
        <v>2.5</v>
      </c>
      <c r="AG1303" s="2">
        <f>AA1303/Z1303</f>
        <v>4</v>
      </c>
      <c r="AH1303" s="2">
        <f>AB1303/AA1303</f>
        <v>2.5</v>
      </c>
    </row>
    <row r="1304" spans="1:34">
      <c r="A1304" s="165" t="s">
        <v>1383</v>
      </c>
      <c r="B1304" s="36" t="s">
        <v>63</v>
      </c>
      <c r="C1304" s="192">
        <v>46202</v>
      </c>
      <c r="D1304" s="144">
        <v>0.5</v>
      </c>
      <c r="E1304" s="8">
        <v>74</v>
      </c>
      <c r="F1304" s="194" t="s">
        <v>1118</v>
      </c>
      <c r="G1304" s="2">
        <v>3</v>
      </c>
      <c r="H1304" s="2">
        <v>6</v>
      </c>
      <c r="I1304" s="37">
        <v>1500</v>
      </c>
      <c r="J1304" s="2" t="s">
        <v>760</v>
      </c>
      <c r="K1304" s="109" t="s">
        <v>598</v>
      </c>
      <c r="L1304" s="89">
        <v>25000</v>
      </c>
      <c r="M1304" s="202" t="s">
        <v>97</v>
      </c>
      <c r="N1304" s="39" t="s">
        <v>48</v>
      </c>
      <c r="O1304" s="39" t="s">
        <v>377</v>
      </c>
      <c r="P1304" s="19"/>
      <c r="Q1304" s="38">
        <f>R1304*I1304</f>
        <v>172.5</v>
      </c>
      <c r="R1304" s="15">
        <v>0.115</v>
      </c>
      <c r="S1304" s="149" t="s">
        <v>110</v>
      </c>
      <c r="T1304" s="149"/>
      <c r="U1304" s="109" t="s">
        <v>375</v>
      </c>
      <c r="V1304" s="10" t="s">
        <v>121</v>
      </c>
      <c r="W1304" s="10"/>
      <c r="AE1304" s="2">
        <f>AC1304*AD1304</f>
        <v>0</v>
      </c>
      <c r="AF1304" s="2" t="e">
        <f>Z1304/Y1304</f>
        <v>#DIV/0!</v>
      </c>
      <c r="AG1304" s="2" t="e">
        <f>AA1304/Z1304</f>
        <v>#DIV/0!</v>
      </c>
      <c r="AH1304" s="2" t="e">
        <f>AB1304/AA1304</f>
        <v>#DIV/0!</v>
      </c>
    </row>
    <row r="1305" spans="1:34">
      <c r="A1305" s="165" t="s">
        <v>1383</v>
      </c>
      <c r="B1305" s="39" t="s">
        <v>63</v>
      </c>
      <c r="C1305" s="40">
        <v>46202</v>
      </c>
      <c r="D1305" s="144">
        <v>0.5</v>
      </c>
      <c r="E1305" s="193"/>
      <c r="F1305" s="194" t="s">
        <v>136</v>
      </c>
      <c r="G1305" s="2">
        <v>1</v>
      </c>
      <c r="H1305" s="2">
        <v>8</v>
      </c>
      <c r="I1305" s="125">
        <v>120</v>
      </c>
      <c r="J1305" s="2" t="s">
        <v>766</v>
      </c>
      <c r="K1305" s="88" t="s">
        <v>771</v>
      </c>
      <c r="L1305" s="90">
        <v>10000</v>
      </c>
      <c r="M1305" s="8">
        <v>10</v>
      </c>
      <c r="N1305" s="132" t="s">
        <v>821</v>
      </c>
      <c r="O1305" s="39" t="s">
        <v>57</v>
      </c>
      <c r="P1305" s="19"/>
      <c r="Q1305" s="2">
        <f>35</f>
        <v>35</v>
      </c>
      <c r="R1305" s="15">
        <f>Q1305/I1305</f>
        <v>0.29166666666666669</v>
      </c>
      <c r="S1305" s="149" t="s">
        <v>110</v>
      </c>
      <c r="T1305" s="149"/>
      <c r="U1305" s="109" t="s">
        <v>767</v>
      </c>
      <c r="V1305" s="21" t="s">
        <v>362</v>
      </c>
      <c r="W1305" t="s">
        <v>140</v>
      </c>
      <c r="AE1305" s="2">
        <f>AC1305*AD1305</f>
        <v>0</v>
      </c>
      <c r="AF1305" s="2" t="e">
        <f>Z1305/Y1305</f>
        <v>#DIV/0!</v>
      </c>
      <c r="AG1305" s="2" t="e">
        <f>AA1305/Z1305</f>
        <v>#DIV/0!</v>
      </c>
      <c r="AH1305" s="2" t="e">
        <f>AB1305/AA1305</f>
        <v>#DIV/0!</v>
      </c>
    </row>
    <row r="1306" spans="1:34">
      <c r="A1306" s="52" t="s">
        <v>229</v>
      </c>
      <c r="B1306" s="52" t="s">
        <v>230</v>
      </c>
      <c r="C1306" s="40">
        <v>46202</v>
      </c>
      <c r="D1306" s="42">
        <v>0.5</v>
      </c>
      <c r="F1306" s="194" t="s">
        <v>272</v>
      </c>
      <c r="G1306" s="2">
        <v>1</v>
      </c>
      <c r="I1306" s="37">
        <v>600</v>
      </c>
      <c r="J1306" s="2" t="s">
        <v>766</v>
      </c>
      <c r="K1306" s="185" t="s">
        <v>601</v>
      </c>
      <c r="L1306" s="90">
        <v>40000</v>
      </c>
      <c r="M1306" s="46" t="s">
        <v>22</v>
      </c>
      <c r="N1306" s="39" t="s">
        <v>48</v>
      </c>
      <c r="O1306" s="39" t="s">
        <v>865</v>
      </c>
      <c r="P1306" s="213">
        <v>40000</v>
      </c>
      <c r="Q1306" s="2">
        <v>85</v>
      </c>
      <c r="R1306" s="15">
        <f>IF(Q1306&gt;0,Q1306/I1306,"")</f>
        <v>0.14166666666666666</v>
      </c>
      <c r="S1306" s="149" t="s">
        <v>110</v>
      </c>
      <c r="T1306" s="149"/>
      <c r="U1306" s="109" t="s">
        <v>767</v>
      </c>
      <c r="V1306" s="10" t="s">
        <v>719</v>
      </c>
      <c r="W1306" s="10"/>
      <c r="AE1306" s="2">
        <f>AC1306*AD1306</f>
        <v>0</v>
      </c>
      <c r="AF1306" s="2" t="e">
        <f>Z1306/Y1306</f>
        <v>#DIV/0!</v>
      </c>
      <c r="AG1306" s="2" t="e">
        <f>AA1306/Z1306</f>
        <v>#DIV/0!</v>
      </c>
      <c r="AH1306" s="2" t="e">
        <f>AB1306/AA1306</f>
        <v>#DIV/0!</v>
      </c>
    </row>
    <row r="1307" spans="1:34">
      <c r="A1307" s="52" t="s">
        <v>220</v>
      </c>
      <c r="B1307" s="52" t="s">
        <v>221</v>
      </c>
      <c r="C1307" s="48">
        <v>46202</v>
      </c>
      <c r="D1307" s="42">
        <v>0.5</v>
      </c>
      <c r="E1307" s="193"/>
      <c r="F1307" s="8" t="s">
        <v>1091</v>
      </c>
      <c r="G1307" s="2">
        <v>2</v>
      </c>
      <c r="H1307" s="2">
        <v>8</v>
      </c>
      <c r="I1307" s="125">
        <v>2500</v>
      </c>
      <c r="J1307" s="2" t="s">
        <v>766</v>
      </c>
      <c r="K1307" s="88" t="s">
        <v>793</v>
      </c>
      <c r="L1307" s="90">
        <v>200000</v>
      </c>
      <c r="M1307" s="64" t="s">
        <v>97</v>
      </c>
      <c r="N1307" s="39" t="s">
        <v>48</v>
      </c>
      <c r="O1307" s="39" t="s">
        <v>49</v>
      </c>
      <c r="P1307" s="131"/>
      <c r="Q1307" s="19">
        <v>240</v>
      </c>
      <c r="R1307" s="15">
        <f>Q1307/I1307</f>
        <v>9.6000000000000002E-2</v>
      </c>
      <c r="S1307" s="5">
        <f>($AC1307*$AD1307)/(($Z1307/$Y1307)+($AA1307/$Z1307)+($AB1307/$AA1307))</f>
        <v>102.59605399792316</v>
      </c>
      <c r="U1307" s="109" t="s">
        <v>125</v>
      </c>
      <c r="V1307" s="10" t="s">
        <v>738</v>
      </c>
      <c r="W1307" s="10"/>
      <c r="Y1307" s="2">
        <v>10</v>
      </c>
      <c r="Z1307" s="2">
        <v>25</v>
      </c>
      <c r="AA1307" s="2">
        <v>65</v>
      </c>
      <c r="AB1307" s="2">
        <v>150</v>
      </c>
      <c r="AC1307" s="2">
        <v>19</v>
      </c>
      <c r="AD1307" s="2">
        <v>40</v>
      </c>
      <c r="AE1307" s="2">
        <f>AC1307*AD1307</f>
        <v>760</v>
      </c>
      <c r="AF1307" s="2">
        <f>Z1307/Y1307</f>
        <v>2.5</v>
      </c>
      <c r="AG1307" s="2">
        <f>AA1307/Z1307</f>
        <v>2.6</v>
      </c>
      <c r="AH1307" s="2">
        <f>AB1307/AA1307</f>
        <v>2.3076923076923075</v>
      </c>
    </row>
    <row r="1308" spans="1:34">
      <c r="A1308" s="165" t="s">
        <v>1383</v>
      </c>
      <c r="B1308" s="36" t="s">
        <v>63</v>
      </c>
      <c r="C1308" s="192">
        <v>46202</v>
      </c>
      <c r="D1308" s="144">
        <v>0.54166666666666663</v>
      </c>
      <c r="E1308" s="8">
        <v>70</v>
      </c>
      <c r="F1308" s="8" t="s">
        <v>1150</v>
      </c>
      <c r="G1308" s="2">
        <v>4</v>
      </c>
      <c r="H1308" s="2">
        <v>8</v>
      </c>
      <c r="I1308" s="37">
        <v>10000</v>
      </c>
      <c r="J1308" s="2" t="s">
        <v>110</v>
      </c>
      <c r="K1308" s="109" t="s">
        <v>601</v>
      </c>
      <c r="L1308" s="89">
        <v>60000</v>
      </c>
      <c r="M1308" s="202">
        <v>60</v>
      </c>
      <c r="N1308" s="39" t="s">
        <v>48</v>
      </c>
      <c r="O1308" s="39" t="s">
        <v>57</v>
      </c>
      <c r="P1308" s="19"/>
      <c r="Q1308" s="38">
        <f>R1308*I1308</f>
        <v>700.00000000000011</v>
      </c>
      <c r="R1308" s="15">
        <v>7.0000000000000007E-2</v>
      </c>
      <c r="S1308" s="149" t="s">
        <v>110</v>
      </c>
      <c r="T1308" s="149"/>
      <c r="U1308" s="109" t="s">
        <v>767</v>
      </c>
      <c r="V1308" s="10" t="s">
        <v>121</v>
      </c>
      <c r="W1308" s="10"/>
      <c r="Y1308" s="70"/>
      <c r="Z1308" s="70"/>
      <c r="AA1308" s="70"/>
      <c r="AB1308" s="70"/>
      <c r="AC1308" s="70"/>
      <c r="AD1308" s="70"/>
      <c r="AE1308" s="2">
        <f>AC1308*AD1308</f>
        <v>0</v>
      </c>
      <c r="AF1308" s="2" t="e">
        <f>Z1308/Y1308</f>
        <v>#DIV/0!</v>
      </c>
      <c r="AG1308" s="2" t="e">
        <f>AA1308/Z1308</f>
        <v>#DIV/0!</v>
      </c>
      <c r="AH1308" s="2" t="e">
        <f>AB1308/AA1308</f>
        <v>#DIV/0!</v>
      </c>
    </row>
    <row r="1309" spans="1:34">
      <c r="A1309" s="165" t="s">
        <v>1383</v>
      </c>
      <c r="B1309" s="39" t="s">
        <v>63</v>
      </c>
      <c r="C1309" s="192">
        <v>46202</v>
      </c>
      <c r="D1309" s="144">
        <v>0.54166666666666663</v>
      </c>
      <c r="E1309" s="8"/>
      <c r="F1309" s="8" t="s">
        <v>881</v>
      </c>
      <c r="G1309" s="2">
        <v>1</v>
      </c>
      <c r="H1309" s="2">
        <v>9</v>
      </c>
      <c r="I1309" s="37">
        <v>250</v>
      </c>
      <c r="J1309" s="2" t="s">
        <v>766</v>
      </c>
      <c r="K1309" s="88" t="s">
        <v>787</v>
      </c>
      <c r="L1309" s="89">
        <v>25000</v>
      </c>
      <c r="M1309" s="205">
        <v>30</v>
      </c>
      <c r="N1309" s="39" t="s">
        <v>817</v>
      </c>
      <c r="O1309" s="39" t="s">
        <v>49</v>
      </c>
      <c r="P1309" s="210"/>
      <c r="Q1309" s="19">
        <v>50</v>
      </c>
      <c r="R1309" s="15">
        <f>Q1309/I1309</f>
        <v>0.2</v>
      </c>
      <c r="S1309" s="5">
        <v>44</v>
      </c>
      <c r="U1309" s="109" t="s">
        <v>767</v>
      </c>
      <c r="V1309" s="21" t="s">
        <v>360</v>
      </c>
      <c r="W1309" s="10"/>
      <c r="Y1309" s="175"/>
      <c r="Z1309" s="175"/>
      <c r="AA1309" s="175"/>
      <c r="AB1309" s="175"/>
      <c r="AC1309" s="175"/>
      <c r="AD1309" s="175"/>
      <c r="AE1309" s="175"/>
      <c r="AF1309" s="175"/>
      <c r="AG1309" s="175"/>
      <c r="AH1309" s="175"/>
    </row>
    <row r="1310" spans="1:34">
      <c r="A1310" s="52" t="s">
        <v>220</v>
      </c>
      <c r="B1310" s="52" t="s">
        <v>221</v>
      </c>
      <c r="C1310" s="48">
        <v>46202</v>
      </c>
      <c r="D1310" s="42">
        <v>0.54166666666666663</v>
      </c>
      <c r="E1310" s="193"/>
      <c r="F1310" s="8" t="s">
        <v>1068</v>
      </c>
      <c r="G1310" s="2">
        <v>2</v>
      </c>
      <c r="H1310" s="2">
        <v>8</v>
      </c>
      <c r="I1310" s="125">
        <v>1600</v>
      </c>
      <c r="J1310" s="2" t="s">
        <v>766</v>
      </c>
      <c r="K1310" s="88" t="s">
        <v>798</v>
      </c>
      <c r="L1310" s="90">
        <v>40000</v>
      </c>
      <c r="M1310" s="64">
        <v>40</v>
      </c>
      <c r="N1310" s="39" t="s">
        <v>48</v>
      </c>
      <c r="O1310" s="39" t="s">
        <v>57</v>
      </c>
      <c r="P1310" s="63">
        <v>1000000</v>
      </c>
      <c r="Q1310" s="2">
        <v>170</v>
      </c>
      <c r="R1310" s="15">
        <f>Q1310/I1310</f>
        <v>0.10625</v>
      </c>
      <c r="S1310" s="149" t="s">
        <v>110</v>
      </c>
      <c r="T1310" s="149"/>
      <c r="U1310" s="109" t="s">
        <v>767</v>
      </c>
      <c r="V1310" s="10" t="s">
        <v>738</v>
      </c>
      <c r="W1310" s="10"/>
      <c r="Y1310" s="70"/>
      <c r="Z1310" s="70"/>
      <c r="AA1310" s="70"/>
      <c r="AB1310" s="70"/>
      <c r="AC1310" s="70"/>
      <c r="AD1310" s="70"/>
      <c r="AE1310" s="2">
        <f>AC1310*AD1310</f>
        <v>0</v>
      </c>
      <c r="AF1310" s="2" t="e">
        <f>Z1310/Y1310</f>
        <v>#DIV/0!</v>
      </c>
      <c r="AG1310" s="2" t="e">
        <f>AA1310/Z1310</f>
        <v>#DIV/0!</v>
      </c>
      <c r="AH1310" s="2" t="e">
        <f>AB1310/AA1310</f>
        <v>#DIV/0!</v>
      </c>
    </row>
    <row r="1311" spans="1:34">
      <c r="A1311" s="96" t="s">
        <v>461</v>
      </c>
      <c r="B1311" s="96" t="s">
        <v>462</v>
      </c>
      <c r="C1311" s="192">
        <v>46202</v>
      </c>
      <c r="D1311" s="42">
        <v>0.59027777777777779</v>
      </c>
      <c r="F1311" s="8" t="s">
        <v>455</v>
      </c>
      <c r="G1311" s="2">
        <v>1</v>
      </c>
      <c r="I1311" s="125">
        <v>120</v>
      </c>
      <c r="J1311" s="2" t="s">
        <v>766</v>
      </c>
      <c r="K1311" s="109" t="s">
        <v>603</v>
      </c>
      <c r="L1311" s="8">
        <v>20000</v>
      </c>
      <c r="M1311" s="202">
        <v>20</v>
      </c>
      <c r="N1311" s="39" t="s">
        <v>736</v>
      </c>
      <c r="O1311" s="39" t="s">
        <v>49</v>
      </c>
      <c r="P1311" s="135" t="s">
        <v>829</v>
      </c>
      <c r="Q1311" s="19">
        <v>24</v>
      </c>
      <c r="R1311" s="15">
        <f>Q1311/I1311</f>
        <v>0.2</v>
      </c>
      <c r="S1311" s="178" t="s">
        <v>110</v>
      </c>
      <c r="T1311" s="120"/>
      <c r="U1311" s="109" t="s">
        <v>736</v>
      </c>
      <c r="V1311" s="10" t="s">
        <v>735</v>
      </c>
      <c r="W1311" s="10"/>
      <c r="AE1311" s="2">
        <f>AC1311*AD1311</f>
        <v>0</v>
      </c>
      <c r="AF1311" s="2" t="e">
        <f>Z1311/Y1311</f>
        <v>#DIV/0!</v>
      </c>
      <c r="AG1311" s="2" t="e">
        <f>AA1311/Z1311</f>
        <v>#DIV/0!</v>
      </c>
      <c r="AH1311" s="2" t="e">
        <f>AB1311/AA1311</f>
        <v>#DIV/0!</v>
      </c>
    </row>
    <row r="1312" spans="1:34">
      <c r="A1312" s="165" t="s">
        <v>1383</v>
      </c>
      <c r="B1312" s="39" t="s">
        <v>63</v>
      </c>
      <c r="C1312" s="40">
        <v>46202</v>
      </c>
      <c r="D1312" s="144">
        <v>0.625</v>
      </c>
      <c r="F1312" s="8" t="s">
        <v>137</v>
      </c>
      <c r="G1312" s="2">
        <v>1</v>
      </c>
      <c r="H1312" s="2">
        <v>8</v>
      </c>
      <c r="I1312" s="125">
        <v>850</v>
      </c>
      <c r="J1312" s="2" t="s">
        <v>766</v>
      </c>
      <c r="K1312" s="88" t="s">
        <v>784</v>
      </c>
      <c r="L1312" s="90">
        <v>10000</v>
      </c>
      <c r="M1312" s="8">
        <v>20</v>
      </c>
      <c r="N1312" s="132" t="s">
        <v>821</v>
      </c>
      <c r="O1312" s="39" t="s">
        <v>57</v>
      </c>
      <c r="P1312" s="213"/>
      <c r="Q1312" s="2">
        <f>100</f>
        <v>100</v>
      </c>
      <c r="R1312" s="15">
        <f>Q1312/I1312</f>
        <v>0.11764705882352941</v>
      </c>
      <c r="S1312" s="149" t="s">
        <v>110</v>
      </c>
      <c r="T1312" s="149"/>
      <c r="U1312" s="109" t="s">
        <v>767</v>
      </c>
      <c r="V1312" s="21" t="s">
        <v>362</v>
      </c>
      <c r="W1312" s="194" t="s">
        <v>153</v>
      </c>
      <c r="AC1312" s="85"/>
      <c r="AD1312" s="85"/>
      <c r="AE1312" s="2">
        <f>AC1312*AD1312</f>
        <v>0</v>
      </c>
      <c r="AF1312" s="2" t="e">
        <f>Z1312/Y1312</f>
        <v>#DIV/0!</v>
      </c>
      <c r="AG1312" s="2" t="e">
        <f>AA1312/Z1312</f>
        <v>#DIV/0!</v>
      </c>
      <c r="AH1312" s="2" t="e">
        <f>AB1312/AA1312</f>
        <v>#DIV/0!</v>
      </c>
    </row>
    <row r="1313" spans="1:34">
      <c r="A1313" s="165" t="s">
        <v>1383</v>
      </c>
      <c r="B1313" s="39" t="s">
        <v>63</v>
      </c>
      <c r="C1313" s="192">
        <v>46202</v>
      </c>
      <c r="D1313" s="144">
        <v>0.625</v>
      </c>
      <c r="F1313" s="8" t="s">
        <v>912</v>
      </c>
      <c r="G1313" s="2">
        <v>1</v>
      </c>
      <c r="H1313" s="2">
        <v>9</v>
      </c>
      <c r="I1313" s="37">
        <v>240</v>
      </c>
      <c r="J1313" s="2" t="s">
        <v>766</v>
      </c>
      <c r="K1313" s="88" t="s">
        <v>784</v>
      </c>
      <c r="L1313" s="89">
        <v>10000</v>
      </c>
      <c r="M1313" s="202">
        <v>20</v>
      </c>
      <c r="N1313" s="132" t="s">
        <v>821</v>
      </c>
      <c r="O1313" s="39" t="s">
        <v>49</v>
      </c>
      <c r="Q1313" s="19">
        <v>40</v>
      </c>
      <c r="R1313" s="15">
        <v>0.16666666666666666</v>
      </c>
      <c r="S1313" s="5">
        <v>29</v>
      </c>
      <c r="U1313" s="109" t="s">
        <v>767</v>
      </c>
      <c r="V1313" s="21" t="s">
        <v>362</v>
      </c>
      <c r="W1313" s="194" t="s">
        <v>367</v>
      </c>
      <c r="Y1313" s="175"/>
      <c r="Z1313" s="175"/>
      <c r="AA1313" s="175"/>
      <c r="AB1313" s="175"/>
      <c r="AC1313" s="175"/>
      <c r="AD1313" s="175"/>
      <c r="AE1313" s="175"/>
      <c r="AF1313" s="175"/>
      <c r="AG1313" s="175"/>
      <c r="AH1313" s="175"/>
    </row>
    <row r="1314" spans="1:34">
      <c r="A1314" s="165" t="s">
        <v>1383</v>
      </c>
      <c r="B1314" s="39" t="s">
        <v>63</v>
      </c>
      <c r="C1314" s="192">
        <v>46202</v>
      </c>
      <c r="D1314" s="144">
        <v>0.66666666666666663</v>
      </c>
      <c r="E1314" s="8"/>
      <c r="F1314" s="8" t="s">
        <v>1024</v>
      </c>
      <c r="G1314" s="2">
        <v>1</v>
      </c>
      <c r="H1314" s="2">
        <v>9</v>
      </c>
      <c r="I1314" s="37">
        <v>400</v>
      </c>
      <c r="J1314" s="2" t="s">
        <v>766</v>
      </c>
      <c r="K1314" s="88" t="s">
        <v>794</v>
      </c>
      <c r="L1314" s="89">
        <v>30000</v>
      </c>
      <c r="M1314" s="205">
        <v>20</v>
      </c>
      <c r="N1314" s="39" t="s">
        <v>817</v>
      </c>
      <c r="O1314" s="39" t="s">
        <v>49</v>
      </c>
      <c r="Q1314" s="19">
        <v>70</v>
      </c>
      <c r="R1314" s="15">
        <f>Q1314/I1314</f>
        <v>0.17499999999999999</v>
      </c>
      <c r="S1314" s="5">
        <v>37</v>
      </c>
      <c r="U1314" s="109" t="s">
        <v>129</v>
      </c>
      <c r="V1314" s="21" t="s">
        <v>360</v>
      </c>
      <c r="W1314" s="10"/>
      <c r="Y1314" s="175"/>
      <c r="Z1314" s="175"/>
      <c r="AA1314" s="175"/>
      <c r="AB1314" s="175"/>
      <c r="AC1314" s="175"/>
      <c r="AD1314" s="175"/>
      <c r="AE1314" s="175"/>
      <c r="AF1314" s="175"/>
      <c r="AG1314" s="175"/>
      <c r="AH1314" s="175"/>
    </row>
    <row r="1315" spans="1:34">
      <c r="A1315" s="52" t="s">
        <v>229</v>
      </c>
      <c r="B1315" s="52" t="s">
        <v>230</v>
      </c>
      <c r="C1315" s="40">
        <v>46202</v>
      </c>
      <c r="D1315" s="42">
        <v>0.66666666666666663</v>
      </c>
      <c r="E1315" s="193"/>
      <c r="F1315" s="8" t="s">
        <v>122</v>
      </c>
      <c r="G1315" s="2">
        <v>1</v>
      </c>
      <c r="I1315" s="125">
        <v>240</v>
      </c>
      <c r="J1315" s="2" t="s">
        <v>766</v>
      </c>
      <c r="K1315" s="88" t="s">
        <v>795</v>
      </c>
      <c r="L1315" s="90">
        <v>30000</v>
      </c>
      <c r="M1315" s="8">
        <v>20</v>
      </c>
      <c r="N1315" s="39" t="s">
        <v>48</v>
      </c>
      <c r="O1315" s="39" t="s">
        <v>122</v>
      </c>
      <c r="P1315" s="213">
        <v>10000</v>
      </c>
      <c r="Q1315" s="2">
        <v>40</v>
      </c>
      <c r="R1315" s="15">
        <f>IF(Q1315&gt;0,Q1315/I1315,"")</f>
        <v>0.16666666666666666</v>
      </c>
      <c r="S1315" s="149" t="s">
        <v>110</v>
      </c>
      <c r="T1315" s="149"/>
      <c r="U1315" s="109" t="s">
        <v>767</v>
      </c>
      <c r="V1315" s="205" t="s">
        <v>719</v>
      </c>
      <c r="W1315" s="10"/>
      <c r="AE1315" s="2">
        <f>AC1315*AD1315</f>
        <v>0</v>
      </c>
      <c r="AF1315" s="2" t="e">
        <f>Z1315/Y1315</f>
        <v>#DIV/0!</v>
      </c>
      <c r="AG1315" s="2" t="e">
        <f>AA1315/Z1315</f>
        <v>#DIV/0!</v>
      </c>
      <c r="AH1315" s="2" t="e">
        <f>AB1315/AA1315</f>
        <v>#DIV/0!</v>
      </c>
    </row>
    <row r="1316" spans="1:34" ht="15" thickBot="1">
      <c r="A1316" s="68" t="s">
        <v>357</v>
      </c>
      <c r="B1316" s="68" t="s">
        <v>358</v>
      </c>
      <c r="C1316" s="48">
        <v>46202</v>
      </c>
      <c r="D1316" s="42">
        <v>0.67361111111111116</v>
      </c>
      <c r="E1316" s="8">
        <v>75</v>
      </c>
      <c r="F1316" s="63" t="s">
        <v>326</v>
      </c>
      <c r="G1316" s="2">
        <v>1</v>
      </c>
      <c r="H1316" s="2">
        <v>9</v>
      </c>
      <c r="I1316" s="125">
        <v>300</v>
      </c>
      <c r="J1316" s="2" t="s">
        <v>766</v>
      </c>
      <c r="K1316" s="137" t="s">
        <v>603</v>
      </c>
      <c r="L1316" s="89">
        <v>20000</v>
      </c>
      <c r="M1316" s="54">
        <v>20</v>
      </c>
      <c r="N1316" s="132" t="s">
        <v>821</v>
      </c>
      <c r="O1316" s="39" t="s">
        <v>49</v>
      </c>
      <c r="P1316" s="212" t="s">
        <v>824</v>
      </c>
      <c r="Q1316" s="19">
        <v>45</v>
      </c>
      <c r="R1316" s="15">
        <f>Q1316/I1316</f>
        <v>0.15</v>
      </c>
      <c r="S1316" s="5">
        <f>($AC1316*$AD1316)/(($Z1316/$Y1316)+($AA1316/$Z1316)+($AB1316/$AA1316))</f>
        <v>34.242709313264342</v>
      </c>
      <c r="U1316" s="109" t="s">
        <v>125</v>
      </c>
      <c r="V1316" s="2" t="s">
        <v>687</v>
      </c>
      <c r="W1316" s="110" t="s">
        <v>688</v>
      </c>
      <c r="Y1316" s="2">
        <v>2.5</v>
      </c>
      <c r="Z1316" s="2">
        <v>6.5</v>
      </c>
      <c r="AA1316" s="2">
        <v>20</v>
      </c>
      <c r="AB1316" s="2">
        <v>50</v>
      </c>
      <c r="AC1316" s="2">
        <v>20</v>
      </c>
      <c r="AD1316" s="2">
        <v>14</v>
      </c>
      <c r="AE1316" s="2">
        <f>AC1316*AD1316</f>
        <v>280</v>
      </c>
      <c r="AF1316" s="2">
        <f>Z1316/Y1316</f>
        <v>2.6</v>
      </c>
      <c r="AG1316" s="2">
        <f>AA1316/Z1316</f>
        <v>3.0769230769230771</v>
      </c>
      <c r="AH1316" s="2">
        <f>AB1316/AA1316</f>
        <v>2.5</v>
      </c>
    </row>
    <row r="1317" spans="1:34">
      <c r="A1317" s="68" t="s">
        <v>357</v>
      </c>
      <c r="B1317" s="68" t="s">
        <v>358</v>
      </c>
      <c r="C1317" s="48">
        <v>46202</v>
      </c>
      <c r="D1317" s="42">
        <v>0.67361111111111116</v>
      </c>
      <c r="E1317" s="8">
        <v>74</v>
      </c>
      <c r="F1317" s="197" t="s">
        <v>690</v>
      </c>
      <c r="G1317" s="2">
        <v>2</v>
      </c>
      <c r="H1317" s="2">
        <v>9</v>
      </c>
      <c r="I1317" s="127">
        <v>800</v>
      </c>
      <c r="J1317" s="2" t="s">
        <v>766</v>
      </c>
      <c r="K1317" s="137" t="s">
        <v>603</v>
      </c>
      <c r="L1317" s="89">
        <v>40000</v>
      </c>
      <c r="M1317" s="106">
        <v>30</v>
      </c>
      <c r="N1317" s="39" t="s">
        <v>48</v>
      </c>
      <c r="O1317" s="39" t="s">
        <v>49</v>
      </c>
      <c r="P1317" s="135" t="s">
        <v>843</v>
      </c>
      <c r="Q1317" s="19">
        <v>110</v>
      </c>
      <c r="R1317" s="15">
        <f>Q1317/I1317</f>
        <v>0.13750000000000001</v>
      </c>
      <c r="S1317" s="5">
        <f>($AC1317*$AD1317)/(($Z1317/$Y1317)+($AA1317/$Z1317)+($AB1317/$AA1317))</f>
        <v>76.947040498442377</v>
      </c>
      <c r="U1317" s="109" t="s">
        <v>767</v>
      </c>
      <c r="V1317" s="71" t="s">
        <v>1416</v>
      </c>
      <c r="Y1317" s="2">
        <v>2</v>
      </c>
      <c r="Z1317" s="2">
        <v>5</v>
      </c>
      <c r="AA1317" s="2">
        <v>13</v>
      </c>
      <c r="AB1317" s="2">
        <v>30</v>
      </c>
      <c r="AC1317" s="2">
        <v>30</v>
      </c>
      <c r="AD1317" s="2">
        <v>19</v>
      </c>
      <c r="AE1317" s="2">
        <f>AC1317*AD1317</f>
        <v>570</v>
      </c>
      <c r="AF1317" s="2">
        <f>Z1317/Y1317</f>
        <v>2.5</v>
      </c>
      <c r="AG1317" s="2">
        <f>AA1317/Z1317</f>
        <v>2.6</v>
      </c>
      <c r="AH1317" s="2">
        <f>AB1317/AA1317</f>
        <v>2.3076923076923075</v>
      </c>
    </row>
    <row r="1318" spans="1:34">
      <c r="A1318" s="165" t="s">
        <v>1383</v>
      </c>
      <c r="B1318" s="39" t="s">
        <v>63</v>
      </c>
      <c r="C1318" s="40">
        <v>46202</v>
      </c>
      <c r="D1318" s="144">
        <v>0.75</v>
      </c>
      <c r="E1318" s="193"/>
      <c r="F1318" s="194" t="s">
        <v>138</v>
      </c>
      <c r="G1318" s="2">
        <v>1</v>
      </c>
      <c r="H1318" s="2">
        <v>8</v>
      </c>
      <c r="I1318" s="125">
        <v>7500</v>
      </c>
      <c r="J1318" s="2" t="s">
        <v>766</v>
      </c>
      <c r="K1318" s="88" t="s">
        <v>810</v>
      </c>
      <c r="L1318" s="90">
        <v>30000</v>
      </c>
      <c r="M1318" s="8">
        <v>30</v>
      </c>
      <c r="N1318" s="132" t="s">
        <v>821</v>
      </c>
      <c r="O1318" s="39" t="s">
        <v>57</v>
      </c>
      <c r="P1318" s="213"/>
      <c r="Q1318" s="2">
        <v>350</v>
      </c>
      <c r="R1318" s="15">
        <f>Q1318/I1318</f>
        <v>4.6666666666666669E-2</v>
      </c>
      <c r="S1318" s="149" t="s">
        <v>110</v>
      </c>
      <c r="T1318" s="149"/>
      <c r="U1318" s="109" t="s">
        <v>767</v>
      </c>
      <c r="V1318" s="71" t="s">
        <v>362</v>
      </c>
      <c r="W1318" s="194" t="s">
        <v>151</v>
      </c>
      <c r="AC1318" s="70"/>
      <c r="AD1318" s="70"/>
      <c r="AE1318" s="2">
        <f>AC1318*AD1318</f>
        <v>0</v>
      </c>
      <c r="AF1318" s="2" t="e">
        <f>Z1318/Y1318</f>
        <v>#DIV/0!</v>
      </c>
      <c r="AG1318" s="2" t="e">
        <f>AA1318/Z1318</f>
        <v>#DIV/0!</v>
      </c>
      <c r="AH1318" s="2" t="e">
        <f>AB1318/AA1318</f>
        <v>#DIV/0!</v>
      </c>
    </row>
    <row r="1319" spans="1:34">
      <c r="A1319" s="102" t="s">
        <v>475</v>
      </c>
      <c r="B1319" s="102" t="s">
        <v>476</v>
      </c>
      <c r="C1319" s="40">
        <v>46202</v>
      </c>
      <c r="D1319" s="42">
        <v>0.75</v>
      </c>
      <c r="E1319" s="8">
        <v>36</v>
      </c>
      <c r="F1319" s="194" t="s">
        <v>522</v>
      </c>
      <c r="G1319" s="2">
        <v>1</v>
      </c>
      <c r="H1319" s="2">
        <v>9</v>
      </c>
      <c r="I1319" s="125">
        <v>250</v>
      </c>
      <c r="J1319" s="2" t="s">
        <v>766</v>
      </c>
      <c r="K1319" s="109" t="s">
        <v>602</v>
      </c>
      <c r="L1319" s="105">
        <v>25000</v>
      </c>
      <c r="M1319" s="64">
        <v>30</v>
      </c>
      <c r="N1319" s="39" t="s">
        <v>48</v>
      </c>
      <c r="O1319" s="39" t="s">
        <v>49</v>
      </c>
      <c r="P1319" s="212" t="s">
        <v>831</v>
      </c>
      <c r="Q1319" s="19">
        <v>50</v>
      </c>
      <c r="R1319" s="15">
        <f>Q1319/I1319</f>
        <v>0.2</v>
      </c>
      <c r="S1319" s="5">
        <f>($AC1319*$AD1319)/(($Z1319/$Y1319)+($AA1319/$Z1319)+($AB1319/$AA1319))</f>
        <v>55.03292568203198</v>
      </c>
      <c r="U1319" s="109" t="s">
        <v>219</v>
      </c>
      <c r="V1319" s="10" t="s">
        <v>621</v>
      </c>
      <c r="W1319" s="253" t="s">
        <v>538</v>
      </c>
      <c r="Y1319" s="2">
        <v>2.5</v>
      </c>
      <c r="Z1319" s="2">
        <v>6.5</v>
      </c>
      <c r="AA1319" s="2">
        <v>20</v>
      </c>
      <c r="AB1319" s="2">
        <v>50</v>
      </c>
      <c r="AC1319" s="2">
        <v>30</v>
      </c>
      <c r="AD1319" s="2">
        <v>15</v>
      </c>
      <c r="AE1319" s="2">
        <f>AC1319*AD1319</f>
        <v>450</v>
      </c>
      <c r="AF1319" s="2">
        <f>Z1319/Y1319</f>
        <v>2.6</v>
      </c>
      <c r="AG1319" s="2">
        <f>AA1319/Z1319</f>
        <v>3.0769230769230771</v>
      </c>
      <c r="AH1319" s="2">
        <f>AB1319/AA1319</f>
        <v>2.5</v>
      </c>
    </row>
    <row r="1320" spans="1:34">
      <c r="A1320" s="52" t="s">
        <v>229</v>
      </c>
      <c r="B1320" s="52" t="s">
        <v>230</v>
      </c>
      <c r="C1320" s="40">
        <v>46202</v>
      </c>
      <c r="D1320" s="42">
        <v>0.75</v>
      </c>
      <c r="E1320" s="193"/>
      <c r="F1320" s="194" t="s">
        <v>244</v>
      </c>
      <c r="G1320" s="2">
        <v>1</v>
      </c>
      <c r="I1320" s="125">
        <v>200</v>
      </c>
      <c r="J1320" s="2" t="s">
        <v>766</v>
      </c>
      <c r="K1320" s="88" t="s">
        <v>804</v>
      </c>
      <c r="L1320" s="90">
        <v>30000</v>
      </c>
      <c r="M1320" s="8">
        <v>20</v>
      </c>
      <c r="N1320" s="39" t="s">
        <v>48</v>
      </c>
      <c r="O1320" s="39" t="s">
        <v>49</v>
      </c>
      <c r="P1320" s="135" t="s">
        <v>832</v>
      </c>
      <c r="Q1320" s="19">
        <v>40</v>
      </c>
      <c r="R1320" s="15">
        <f>IF(Q1320&gt;0,Q1320/I1320,"")</f>
        <v>0.2</v>
      </c>
      <c r="S1320" s="5">
        <f>($AC1320*$AD1320)/(($Z1320/$Y1320)+($AA1320/$Z1320)+($AB1320/$AA1320))</f>
        <v>35.555555555555557</v>
      </c>
      <c r="U1320" s="109" t="s">
        <v>767</v>
      </c>
      <c r="V1320" s="10" t="s">
        <v>719</v>
      </c>
      <c r="W1320" s="10"/>
      <c r="Y1320" s="2">
        <v>2</v>
      </c>
      <c r="Z1320" s="2">
        <v>5</v>
      </c>
      <c r="AA1320" s="2">
        <v>20</v>
      </c>
      <c r="AB1320" s="2">
        <v>50</v>
      </c>
      <c r="AC1320" s="2">
        <v>20</v>
      </c>
      <c r="AD1320" s="2">
        <v>16</v>
      </c>
      <c r="AE1320" s="2">
        <f>AC1320*AD1320</f>
        <v>320</v>
      </c>
      <c r="AF1320" s="2">
        <f>Z1320/Y1320</f>
        <v>2.5</v>
      </c>
      <c r="AG1320" s="2">
        <f>AA1320/Z1320</f>
        <v>4</v>
      </c>
      <c r="AH1320" s="2">
        <f>AB1320/AA1320</f>
        <v>2.5</v>
      </c>
    </row>
    <row r="1321" spans="1:34">
      <c r="A1321" s="52" t="s">
        <v>220</v>
      </c>
      <c r="B1321" s="52" t="s">
        <v>221</v>
      </c>
      <c r="C1321" s="48">
        <v>46202</v>
      </c>
      <c r="D1321" s="42">
        <v>0.75</v>
      </c>
      <c r="E1321" s="193"/>
      <c r="F1321" s="194" t="s">
        <v>1073</v>
      </c>
      <c r="G1321" s="2">
        <v>1</v>
      </c>
      <c r="H1321" s="2">
        <v>9</v>
      </c>
      <c r="I1321" s="125">
        <v>1100</v>
      </c>
      <c r="J1321" s="2" t="s">
        <v>766</v>
      </c>
      <c r="K1321" s="88" t="s">
        <v>799</v>
      </c>
      <c r="L1321" s="90">
        <v>30000</v>
      </c>
      <c r="M1321" s="64">
        <v>20</v>
      </c>
      <c r="N1321" s="39" t="s">
        <v>48</v>
      </c>
      <c r="O1321" s="39" t="s">
        <v>49</v>
      </c>
      <c r="P1321" s="212" t="s">
        <v>838</v>
      </c>
      <c r="Q1321" s="19">
        <v>125</v>
      </c>
      <c r="R1321" s="15">
        <f>Q1321/I1321</f>
        <v>0.11363636363636363</v>
      </c>
      <c r="S1321" s="5">
        <f>($AC1321*$AD1321)/(($Z1321/$Y1321)+($AA1321/$Z1321)+($AB1321/$AA1321))</f>
        <v>41.632653061224495</v>
      </c>
      <c r="U1321" s="109" t="s">
        <v>129</v>
      </c>
      <c r="V1321" s="10" t="s">
        <v>738</v>
      </c>
      <c r="W1321" s="10"/>
      <c r="Y1321" s="2">
        <v>2</v>
      </c>
      <c r="Z1321" s="2">
        <v>5</v>
      </c>
      <c r="AA1321" s="2">
        <v>15</v>
      </c>
      <c r="AB1321" s="2">
        <v>40</v>
      </c>
      <c r="AC1321" s="2">
        <v>17</v>
      </c>
      <c r="AD1321" s="115">
        <v>20</v>
      </c>
      <c r="AE1321" s="2">
        <f>AC1321*AD1321</f>
        <v>340</v>
      </c>
      <c r="AF1321" s="2">
        <f>Z1321/Y1321</f>
        <v>2.5</v>
      </c>
      <c r="AG1321" s="2">
        <f>AA1321/Z1321</f>
        <v>3</v>
      </c>
      <c r="AH1321" s="2">
        <f>AB1321/AA1321</f>
        <v>2.6666666666666665</v>
      </c>
    </row>
    <row r="1322" spans="1:34">
      <c r="A1322" s="96" t="s">
        <v>461</v>
      </c>
      <c r="B1322" s="96" t="s">
        <v>462</v>
      </c>
      <c r="C1322" s="192">
        <v>46202</v>
      </c>
      <c r="D1322" s="42">
        <v>0.75694444444444442</v>
      </c>
      <c r="F1322" s="194" t="s">
        <v>468</v>
      </c>
      <c r="G1322" s="2">
        <v>2</v>
      </c>
      <c r="I1322" s="125">
        <v>300</v>
      </c>
      <c r="J1322" s="2" t="s">
        <v>766</v>
      </c>
      <c r="K1322" s="109" t="s">
        <v>598</v>
      </c>
      <c r="L1322" s="8">
        <v>30000</v>
      </c>
      <c r="M1322" s="202">
        <v>30</v>
      </c>
      <c r="N1322" s="39" t="s">
        <v>48</v>
      </c>
      <c r="O1322" s="39" t="s">
        <v>49</v>
      </c>
      <c r="P1322" s="135" t="s">
        <v>842</v>
      </c>
      <c r="Q1322" s="19">
        <v>65</v>
      </c>
      <c r="R1322" s="15">
        <f>Q1322/I1322</f>
        <v>0.21666666666666667</v>
      </c>
      <c r="S1322" s="5">
        <f>($AC1322*$AD1322)/(($Z1322/$Y1322)+($AA1322/$Z1322)+($AB1322/$AA1322))</f>
        <v>53.333333333333336</v>
      </c>
      <c r="U1322" s="109" t="s">
        <v>767</v>
      </c>
      <c r="V1322" s="10" t="s">
        <v>735</v>
      </c>
      <c r="W1322" s="10"/>
      <c r="Y1322" s="2">
        <v>2</v>
      </c>
      <c r="Z1322" s="2">
        <v>5</v>
      </c>
      <c r="AA1322" s="2">
        <v>20</v>
      </c>
      <c r="AB1322" s="2">
        <v>50</v>
      </c>
      <c r="AC1322" s="2">
        <v>16</v>
      </c>
      <c r="AD1322" s="2">
        <v>30</v>
      </c>
      <c r="AE1322" s="2">
        <f>AC1322*AD1322</f>
        <v>480</v>
      </c>
      <c r="AF1322" s="2">
        <f>Z1322/Y1322</f>
        <v>2.5</v>
      </c>
      <c r="AG1322" s="2">
        <f>AA1322/Z1322</f>
        <v>4</v>
      </c>
      <c r="AH1322" s="2">
        <f>AB1322/AA1322</f>
        <v>2.5</v>
      </c>
    </row>
    <row r="1323" spans="1:34">
      <c r="A1323" s="117" t="s">
        <v>447</v>
      </c>
      <c r="B1323" s="117" t="s">
        <v>448</v>
      </c>
      <c r="C1323" s="122">
        <v>46202</v>
      </c>
      <c r="D1323" s="42">
        <v>0.79166666666666663</v>
      </c>
      <c r="E1323" s="227"/>
      <c r="F1323" s="8" t="s">
        <v>428</v>
      </c>
      <c r="G1323" s="70">
        <v>1</v>
      </c>
      <c r="H1323" s="70">
        <v>8</v>
      </c>
      <c r="I1323" s="159">
        <v>160</v>
      </c>
      <c r="J1323" s="2" t="s">
        <v>766</v>
      </c>
      <c r="K1323" s="109" t="s">
        <v>602</v>
      </c>
      <c r="L1323" s="123">
        <v>20000</v>
      </c>
      <c r="M1323" s="123">
        <v>20</v>
      </c>
      <c r="N1323" s="39" t="s">
        <v>61</v>
      </c>
      <c r="O1323" s="39" t="s">
        <v>57</v>
      </c>
      <c r="P1323" s="123" t="s">
        <v>417</v>
      </c>
      <c r="Q1323" s="70">
        <v>35</v>
      </c>
      <c r="R1323" s="15">
        <f>Q1323/I1323</f>
        <v>0.21875</v>
      </c>
      <c r="S1323" s="237" t="s">
        <v>110</v>
      </c>
      <c r="T1323" s="176"/>
      <c r="U1323" s="109" t="s">
        <v>767</v>
      </c>
      <c r="V1323" s="10" t="s">
        <v>741</v>
      </c>
      <c r="W1323" s="239"/>
      <c r="X1323" s="70"/>
      <c r="Y1323" s="70"/>
      <c r="Z1323" s="70"/>
      <c r="AA1323" s="70"/>
      <c r="AB1323" s="70"/>
      <c r="AC1323" s="70"/>
      <c r="AD1323" s="70"/>
      <c r="AE1323" s="70">
        <f>AC1323*AD1323</f>
        <v>0</v>
      </c>
      <c r="AF1323" s="70" t="e">
        <f>Z1323/Y1323</f>
        <v>#DIV/0!</v>
      </c>
      <c r="AG1323" s="70" t="e">
        <f>AA1323/Z1323</f>
        <v>#DIV/0!</v>
      </c>
      <c r="AH1323" s="70" t="e">
        <f>AB1323/AA1323</f>
        <v>#DIV/0!</v>
      </c>
    </row>
    <row r="1324" spans="1:34">
      <c r="A1324" s="165" t="s">
        <v>1383</v>
      </c>
      <c r="B1324" s="39" t="s">
        <v>63</v>
      </c>
      <c r="C1324" s="192">
        <v>46202</v>
      </c>
      <c r="D1324" s="144">
        <v>0.79166666666666663</v>
      </c>
      <c r="F1324" s="8" t="s">
        <v>917</v>
      </c>
      <c r="G1324" s="2">
        <v>1</v>
      </c>
      <c r="H1324" s="2">
        <v>9</v>
      </c>
      <c r="I1324" s="57">
        <v>585</v>
      </c>
      <c r="J1324" s="2" t="s">
        <v>766</v>
      </c>
      <c r="K1324" s="88" t="s">
        <v>800</v>
      </c>
      <c r="L1324" s="89">
        <v>10000</v>
      </c>
      <c r="M1324" s="202">
        <v>20</v>
      </c>
      <c r="N1324" s="132" t="s">
        <v>821</v>
      </c>
      <c r="O1324" s="39" t="s">
        <v>49</v>
      </c>
      <c r="P1324" s="210"/>
      <c r="Q1324" s="19">
        <v>89</v>
      </c>
      <c r="R1324" s="59">
        <f>Q1324/I1324</f>
        <v>0.15213675213675212</v>
      </c>
      <c r="S1324" s="12">
        <v>29</v>
      </c>
      <c r="U1324" s="109" t="s">
        <v>767</v>
      </c>
      <c r="V1324" s="84" t="s">
        <v>362</v>
      </c>
      <c r="W1324" s="194" t="s">
        <v>368</v>
      </c>
      <c r="Y1324" s="175"/>
      <c r="Z1324" s="175"/>
      <c r="AA1324" s="175"/>
      <c r="AB1324" s="175"/>
      <c r="AC1324" s="175"/>
      <c r="AD1324" s="175"/>
      <c r="AE1324" s="175"/>
      <c r="AF1324" s="175"/>
      <c r="AG1324" s="175"/>
      <c r="AH1324" s="175"/>
    </row>
    <row r="1325" spans="1:34">
      <c r="A1325" s="165" t="s">
        <v>1383</v>
      </c>
      <c r="B1325" s="39" t="s">
        <v>63</v>
      </c>
      <c r="C1325" s="192">
        <v>46202</v>
      </c>
      <c r="D1325" s="144">
        <v>0.83333333333333337</v>
      </c>
      <c r="E1325" s="8"/>
      <c r="F1325" s="8" t="s">
        <v>1023</v>
      </c>
      <c r="G1325" s="2">
        <v>1</v>
      </c>
      <c r="H1325" s="2">
        <v>9</v>
      </c>
      <c r="I1325" s="37">
        <v>200</v>
      </c>
      <c r="J1325" s="2" t="s">
        <v>766</v>
      </c>
      <c r="K1325" s="88" t="s">
        <v>806</v>
      </c>
      <c r="L1325" s="89">
        <v>20000</v>
      </c>
      <c r="M1325" s="2">
        <v>20</v>
      </c>
      <c r="N1325" s="39" t="s">
        <v>817</v>
      </c>
      <c r="O1325" s="39" t="s">
        <v>49</v>
      </c>
      <c r="P1325" s="210"/>
      <c r="Q1325" s="19">
        <v>45</v>
      </c>
      <c r="R1325" s="15">
        <f>Q1325/I1325</f>
        <v>0.22500000000000001</v>
      </c>
      <c r="S1325" s="12">
        <v>23</v>
      </c>
      <c r="U1325" s="109" t="s">
        <v>129</v>
      </c>
      <c r="V1325" s="21" t="s">
        <v>360</v>
      </c>
      <c r="W1325" s="10"/>
      <c r="Y1325" s="175"/>
      <c r="Z1325" s="175"/>
      <c r="AA1325" s="175"/>
      <c r="AB1325" s="175"/>
      <c r="AC1325" s="175"/>
      <c r="AD1325" s="175"/>
      <c r="AE1325" s="175"/>
      <c r="AF1325" s="175"/>
      <c r="AG1325" s="175"/>
      <c r="AH1325" s="175"/>
    </row>
    <row r="1326" spans="1:34">
      <c r="A1326" s="165" t="s">
        <v>1383</v>
      </c>
      <c r="B1326" s="39" t="s">
        <v>63</v>
      </c>
      <c r="C1326" s="192">
        <v>46202</v>
      </c>
      <c r="D1326" s="144">
        <v>0.91666666666666663</v>
      </c>
      <c r="F1326" s="8" t="s">
        <v>909</v>
      </c>
      <c r="G1326" s="2">
        <v>1</v>
      </c>
      <c r="H1326" s="2">
        <v>9</v>
      </c>
      <c r="I1326" s="37">
        <v>135</v>
      </c>
      <c r="J1326" s="2" t="s">
        <v>766</v>
      </c>
      <c r="K1326" s="88" t="s">
        <v>813</v>
      </c>
      <c r="L1326" s="89">
        <v>10000</v>
      </c>
      <c r="M1326" s="202">
        <v>15</v>
      </c>
      <c r="N1326" s="132" t="s">
        <v>821</v>
      </c>
      <c r="O1326" s="39" t="s">
        <v>49</v>
      </c>
      <c r="Q1326" s="19">
        <v>35</v>
      </c>
      <c r="R1326" s="15">
        <f>Q1326/I1326</f>
        <v>0.25925925925925924</v>
      </c>
      <c r="S1326" s="5">
        <v>22</v>
      </c>
      <c r="U1326" s="109" t="s">
        <v>767</v>
      </c>
      <c r="V1326" s="21" t="s">
        <v>362</v>
      </c>
      <c r="W1326" s="8" t="s">
        <v>369</v>
      </c>
      <c r="Y1326" s="175"/>
      <c r="Z1326" s="175"/>
      <c r="AA1326" s="175"/>
      <c r="AB1326" s="175"/>
      <c r="AC1326" s="175"/>
      <c r="AD1326" s="175"/>
      <c r="AE1326" s="175"/>
      <c r="AF1326" s="175"/>
      <c r="AG1326" s="175"/>
      <c r="AH1326" s="175"/>
    </row>
    <row r="1327" spans="1:34">
      <c r="A1327" s="96" t="s">
        <v>461</v>
      </c>
      <c r="B1327" s="96" t="s">
        <v>462</v>
      </c>
      <c r="C1327" s="192">
        <v>46202</v>
      </c>
      <c r="D1327" s="42">
        <v>0.92361111111111116</v>
      </c>
      <c r="F1327" s="8" t="s">
        <v>456</v>
      </c>
      <c r="G1327" s="2">
        <v>1</v>
      </c>
      <c r="I1327" s="125">
        <v>120</v>
      </c>
      <c r="J1327" s="2" t="s">
        <v>766</v>
      </c>
      <c r="K1327" s="109" t="s">
        <v>737</v>
      </c>
      <c r="L1327" s="8">
        <v>20000</v>
      </c>
      <c r="M1327" s="202">
        <v>15</v>
      </c>
      <c r="N1327" s="39" t="s">
        <v>48</v>
      </c>
      <c r="O1327" s="39" t="s">
        <v>49</v>
      </c>
      <c r="P1327" s="135" t="s">
        <v>827</v>
      </c>
      <c r="Q1327" s="19">
        <v>24</v>
      </c>
      <c r="R1327" s="15">
        <f>Q1327/I1327</f>
        <v>0.2</v>
      </c>
      <c r="S1327" s="5">
        <f>($AC1327*$AD1327)/(($Z1327/$Y1327)+($AA1327/$Z1327)+($AB1327/$AA1327))</f>
        <v>25.161290322580644</v>
      </c>
      <c r="U1327" s="109" t="s">
        <v>463</v>
      </c>
      <c r="V1327" s="10" t="s">
        <v>735</v>
      </c>
      <c r="W1327" s="2" t="s">
        <v>464</v>
      </c>
      <c r="Y1327" s="2">
        <v>2.5</v>
      </c>
      <c r="Z1327" s="2">
        <v>7.5</v>
      </c>
      <c r="AA1327" s="2">
        <v>30</v>
      </c>
      <c r="AB1327" s="2">
        <v>100</v>
      </c>
      <c r="AC1327" s="2">
        <v>13</v>
      </c>
      <c r="AD1327" s="2">
        <v>20</v>
      </c>
      <c r="AE1327" s="2">
        <f>AC1327*AD1327</f>
        <v>260</v>
      </c>
      <c r="AF1327" s="2">
        <f>Z1327/Y1327</f>
        <v>3</v>
      </c>
      <c r="AG1327" s="2">
        <f>AA1327/Z1327</f>
        <v>4</v>
      </c>
      <c r="AH1327" s="2">
        <f>AB1327/AA1327</f>
        <v>3.3333333333333335</v>
      </c>
    </row>
    <row r="1328" spans="1:34">
      <c r="A1328" s="165" t="s">
        <v>1383</v>
      </c>
      <c r="B1328" s="36" t="s">
        <v>63</v>
      </c>
      <c r="C1328" s="192">
        <v>46202</v>
      </c>
      <c r="D1328" s="144" t="s">
        <v>117</v>
      </c>
      <c r="E1328" s="14">
        <v>72</v>
      </c>
      <c r="F1328" s="8" t="s">
        <v>992</v>
      </c>
      <c r="G1328" s="2">
        <v>3</v>
      </c>
      <c r="H1328" s="2">
        <v>9</v>
      </c>
      <c r="I1328" s="37">
        <v>1000</v>
      </c>
      <c r="J1328" s="2" t="s">
        <v>765</v>
      </c>
      <c r="K1328" s="109" t="s">
        <v>601</v>
      </c>
      <c r="L1328" s="89">
        <v>60000</v>
      </c>
      <c r="M1328" s="202">
        <v>30</v>
      </c>
      <c r="N1328" s="39" t="s">
        <v>48</v>
      </c>
      <c r="O1328" s="39" t="s">
        <v>49</v>
      </c>
      <c r="P1328" s="210"/>
      <c r="Q1328" s="19">
        <f>R1328*I1328</f>
        <v>120</v>
      </c>
      <c r="R1328" s="15">
        <v>0.12</v>
      </c>
      <c r="S1328" s="5">
        <f>($AC1328*$AD1328)/(($Z1328/$Y1328)+($AA1328/$Z1328)+($AB1328/$AA1328))</f>
        <v>85.046728971962622</v>
      </c>
      <c r="U1328" s="109" t="s">
        <v>767</v>
      </c>
      <c r="V1328" s="10" t="s">
        <v>121</v>
      </c>
      <c r="W1328" s="205"/>
      <c r="Y1328" s="2">
        <v>2</v>
      </c>
      <c r="Z1328" s="2">
        <v>5</v>
      </c>
      <c r="AA1328" s="2">
        <v>13</v>
      </c>
      <c r="AB1328" s="2">
        <v>30</v>
      </c>
      <c r="AC1328" s="2">
        <v>30</v>
      </c>
      <c r="AD1328" s="2">
        <v>21</v>
      </c>
      <c r="AE1328" s="2">
        <f>AC1328*AD1328</f>
        <v>630</v>
      </c>
      <c r="AF1328" s="2">
        <f>Z1328/Y1328</f>
        <v>2.5</v>
      </c>
      <c r="AG1328" s="2">
        <f>AA1328/Z1328</f>
        <v>2.6</v>
      </c>
      <c r="AH1328" s="2">
        <f>AB1328/AA1328</f>
        <v>2.3076923076923075</v>
      </c>
    </row>
    <row r="1329" spans="1:34">
      <c r="A1329" s="165" t="s">
        <v>1383</v>
      </c>
      <c r="B1329" s="36" t="s">
        <v>63</v>
      </c>
      <c r="C1329" s="225">
        <v>46202</v>
      </c>
      <c r="D1329" s="144" t="s">
        <v>115</v>
      </c>
      <c r="E1329" s="8">
        <v>73</v>
      </c>
      <c r="F1329" s="8" t="s">
        <v>1185</v>
      </c>
      <c r="G1329" s="2">
        <v>4</v>
      </c>
      <c r="H1329" s="2">
        <v>6</v>
      </c>
      <c r="I1329" s="37">
        <v>5000</v>
      </c>
      <c r="J1329" s="2" t="s">
        <v>760</v>
      </c>
      <c r="K1329" s="109" t="s">
        <v>601</v>
      </c>
      <c r="L1329" s="89">
        <v>50000</v>
      </c>
      <c r="M1329" s="202">
        <v>60</v>
      </c>
      <c r="N1329" s="39" t="s">
        <v>48</v>
      </c>
      <c r="O1329" s="39" t="s">
        <v>49</v>
      </c>
      <c r="P1329" s="210"/>
      <c r="Q1329" s="19">
        <f>R1329*I1329</f>
        <v>400</v>
      </c>
      <c r="R1329" s="15">
        <v>0.08</v>
      </c>
      <c r="S1329" s="5">
        <f>($AC1329*$AD1329)/(($Z1329/$Y1329)+($AA1329/$Z1329)+($AB1329/$AA1329))</f>
        <v>161.993769470405</v>
      </c>
      <c r="U1329" s="109" t="s">
        <v>375</v>
      </c>
      <c r="V1329" s="10" t="s">
        <v>121</v>
      </c>
      <c r="W1329" s="10"/>
      <c r="Y1329" s="2">
        <v>2</v>
      </c>
      <c r="Z1329" s="2">
        <v>5</v>
      </c>
      <c r="AA1329" s="2">
        <v>13</v>
      </c>
      <c r="AB1329" s="2">
        <v>30</v>
      </c>
      <c r="AC1329" s="2">
        <v>60</v>
      </c>
      <c r="AD1329" s="2">
        <v>20</v>
      </c>
      <c r="AE1329" s="2">
        <f>AC1329*AD1329</f>
        <v>1200</v>
      </c>
      <c r="AF1329" s="2">
        <f>Z1329/Y1329</f>
        <v>2.5</v>
      </c>
      <c r="AG1329" s="2">
        <f>AA1329/Z1329</f>
        <v>2.6</v>
      </c>
      <c r="AH1329" s="2">
        <f>AB1329/AA1329</f>
        <v>2.3076923076923075</v>
      </c>
    </row>
    <row r="1330" spans="1:34">
      <c r="A1330" s="165" t="s">
        <v>1383</v>
      </c>
      <c r="B1330" s="36" t="s">
        <v>63</v>
      </c>
      <c r="C1330" s="192">
        <v>46202</v>
      </c>
      <c r="D1330" s="144" t="s">
        <v>116</v>
      </c>
      <c r="E1330" s="8">
        <v>75</v>
      </c>
      <c r="F1330" s="8" t="s">
        <v>996</v>
      </c>
      <c r="G1330" s="2">
        <v>3</v>
      </c>
      <c r="H1330" s="2">
        <v>9</v>
      </c>
      <c r="I1330" s="37">
        <v>10000</v>
      </c>
      <c r="J1330" s="2" t="s">
        <v>110</v>
      </c>
      <c r="K1330" s="109" t="s">
        <v>816</v>
      </c>
      <c r="L1330" s="89">
        <v>60000</v>
      </c>
      <c r="M1330" s="202" t="s">
        <v>111</v>
      </c>
      <c r="N1330" s="39" t="s">
        <v>48</v>
      </c>
      <c r="O1330" s="39" t="s">
        <v>376</v>
      </c>
      <c r="P1330" s="213"/>
      <c r="Q1330" s="38">
        <f>R1330*I1330</f>
        <v>700.00000000000011</v>
      </c>
      <c r="R1330" s="15">
        <v>7.0000000000000007E-2</v>
      </c>
      <c r="S1330" s="149" t="s">
        <v>110</v>
      </c>
      <c r="T1330" s="149"/>
      <c r="U1330" s="109" t="s">
        <v>767</v>
      </c>
      <c r="V1330" s="10" t="s">
        <v>121</v>
      </c>
      <c r="W1330" s="10"/>
      <c r="AE1330" s="2">
        <f>AC1330*AD1330</f>
        <v>0</v>
      </c>
      <c r="AF1330" s="2" t="e">
        <f>Z1330/Y1330</f>
        <v>#DIV/0!</v>
      </c>
      <c r="AG1330" s="2" t="e">
        <f>AA1330/Z1330</f>
        <v>#DIV/0!</v>
      </c>
      <c r="AH1330" s="2" t="e">
        <f>AB1330/AA1330</f>
        <v>#DIV/0!</v>
      </c>
    </row>
    <row r="1331" spans="1:34">
      <c r="A1331" s="165" t="s">
        <v>1383</v>
      </c>
      <c r="B1331" s="36" t="s">
        <v>63</v>
      </c>
      <c r="C1331" s="192">
        <v>46202</v>
      </c>
      <c r="D1331" s="144" t="s">
        <v>876</v>
      </c>
      <c r="E1331" s="228">
        <v>63</v>
      </c>
      <c r="F1331" s="8" t="s">
        <v>1212</v>
      </c>
      <c r="G1331" s="2">
        <v>3</v>
      </c>
      <c r="H1331" s="2">
        <v>9</v>
      </c>
      <c r="I1331" s="37">
        <v>1000</v>
      </c>
      <c r="J1331" s="2" t="s">
        <v>763</v>
      </c>
      <c r="K1331" s="109" t="s">
        <v>601</v>
      </c>
      <c r="L1331" s="89">
        <v>40000</v>
      </c>
      <c r="M1331" s="202" t="s">
        <v>113</v>
      </c>
      <c r="N1331" s="39" t="s">
        <v>48</v>
      </c>
      <c r="O1331" s="39" t="s">
        <v>49</v>
      </c>
      <c r="P1331" s="210"/>
      <c r="Q1331" s="19">
        <f>R1331*I1331</f>
        <v>120</v>
      </c>
      <c r="R1331" s="15">
        <v>0.12</v>
      </c>
      <c r="S1331" s="5">
        <f>($AC1331*$AD1331)/(($Z1331/$Y1331)+($AA1331/$Z1331)+($AB1331/$AA1331))</f>
        <v>76.947040498442377</v>
      </c>
      <c r="U1331" s="109" t="s">
        <v>767</v>
      </c>
      <c r="V1331" s="205" t="s">
        <v>121</v>
      </c>
      <c r="W1331" s="205"/>
      <c r="Y1331" s="2">
        <v>2</v>
      </c>
      <c r="Z1331" s="2">
        <v>5</v>
      </c>
      <c r="AA1331" s="2">
        <v>13</v>
      </c>
      <c r="AB1331" s="2">
        <v>30</v>
      </c>
      <c r="AC1331" s="2">
        <v>30</v>
      </c>
      <c r="AD1331" s="2">
        <v>19</v>
      </c>
      <c r="AE1331" s="2">
        <f>AC1331*AD1331</f>
        <v>570</v>
      </c>
      <c r="AF1331" s="2">
        <f>Z1331/Y1331</f>
        <v>2.5</v>
      </c>
      <c r="AG1331" s="2">
        <f>AA1331/Z1331</f>
        <v>2.6</v>
      </c>
      <c r="AH1331" s="2">
        <f>AB1331/AA1331</f>
        <v>2.3076923076923075</v>
      </c>
    </row>
    <row r="1332" spans="1:34">
      <c r="A1332" s="165" t="s">
        <v>1383</v>
      </c>
      <c r="B1332" s="36" t="s">
        <v>63</v>
      </c>
      <c r="C1332" s="41">
        <v>46202</v>
      </c>
      <c r="D1332" s="144" t="s">
        <v>876</v>
      </c>
      <c r="E1332" s="8">
        <v>71</v>
      </c>
      <c r="F1332" s="8" t="s">
        <v>1260</v>
      </c>
      <c r="G1332" s="2">
        <v>3</v>
      </c>
      <c r="H1332" s="2">
        <v>7</v>
      </c>
      <c r="I1332" s="45">
        <v>2500</v>
      </c>
      <c r="J1332" s="2" t="s">
        <v>762</v>
      </c>
      <c r="K1332" s="109" t="s">
        <v>815</v>
      </c>
      <c r="L1332" s="92">
        <v>35000</v>
      </c>
      <c r="M1332" s="69" t="s">
        <v>97</v>
      </c>
      <c r="N1332" s="39" t="s">
        <v>48</v>
      </c>
      <c r="O1332" s="39" t="s">
        <v>873</v>
      </c>
      <c r="P1332" s="66"/>
      <c r="Q1332" s="38">
        <f>R1332*I1332</f>
        <v>275</v>
      </c>
      <c r="R1332" s="15">
        <v>0.11</v>
      </c>
      <c r="S1332" s="149" t="s">
        <v>110</v>
      </c>
      <c r="T1332" s="149"/>
      <c r="U1332" s="109" t="s">
        <v>767</v>
      </c>
      <c r="V1332" s="205" t="s">
        <v>121</v>
      </c>
      <c r="W1332" s="205"/>
      <c r="AE1332" s="2">
        <f>AC1332*AD1332</f>
        <v>0</v>
      </c>
      <c r="AF1332" s="2" t="e">
        <f>Z1332/Y1332</f>
        <v>#DIV/0!</v>
      </c>
      <c r="AG1332" s="2" t="e">
        <f>AA1332/Z1332</f>
        <v>#DIV/0!</v>
      </c>
      <c r="AH1332" s="2" t="e">
        <f>AB1332/AA1332</f>
        <v>#DIV/0!</v>
      </c>
    </row>
    <row r="1333" spans="1:34">
      <c r="A1333" s="117" t="s">
        <v>447</v>
      </c>
      <c r="B1333" s="117" t="s">
        <v>448</v>
      </c>
      <c r="C1333" s="226">
        <v>46203</v>
      </c>
      <c r="D1333" s="42">
        <v>0.375</v>
      </c>
      <c r="E1333" s="227"/>
      <c r="F1333" s="8" t="s">
        <v>429</v>
      </c>
      <c r="G1333" s="70">
        <v>1</v>
      </c>
      <c r="H1333" s="70">
        <v>8</v>
      </c>
      <c r="I1333" s="231">
        <v>160</v>
      </c>
      <c r="J1333" s="2" t="s">
        <v>766</v>
      </c>
      <c r="K1333" s="109" t="s">
        <v>602</v>
      </c>
      <c r="L1333" s="229">
        <v>20000</v>
      </c>
      <c r="M1333" s="229">
        <v>15</v>
      </c>
      <c r="N1333" s="39" t="s">
        <v>61</v>
      </c>
      <c r="O1333" s="39" t="s">
        <v>57</v>
      </c>
      <c r="P1333" s="229" t="s">
        <v>402</v>
      </c>
      <c r="Q1333" s="70">
        <v>35</v>
      </c>
      <c r="R1333" s="15">
        <f>IF(Q1333&gt;0,Q1333/I1333,"")</f>
        <v>0.21875</v>
      </c>
      <c r="S1333" s="176" t="s">
        <v>110</v>
      </c>
      <c r="T1333" s="176"/>
      <c r="U1333" s="109" t="s">
        <v>129</v>
      </c>
      <c r="V1333" s="2" t="s">
        <v>741</v>
      </c>
      <c r="W1333" s="70"/>
      <c r="X1333" s="70"/>
      <c r="Y1333" s="70"/>
      <c r="Z1333" s="70"/>
      <c r="AA1333" s="70"/>
      <c r="AB1333" s="70"/>
      <c r="AC1333" s="70"/>
      <c r="AD1333" s="70"/>
      <c r="AE1333" s="70">
        <f>AC1333*AD1333</f>
        <v>0</v>
      </c>
      <c r="AF1333" s="70" t="e">
        <f>Z1333/Y1333</f>
        <v>#DIV/0!</v>
      </c>
      <c r="AG1333" s="70" t="e">
        <f>AA1333/Z1333</f>
        <v>#DIV/0!</v>
      </c>
      <c r="AH1333" s="70" t="e">
        <f>AB1333/AA1333</f>
        <v>#DIV/0!</v>
      </c>
    </row>
    <row r="1334" spans="1:34">
      <c r="A1334" s="96" t="s">
        <v>461</v>
      </c>
      <c r="B1334" s="96" t="s">
        <v>462</v>
      </c>
      <c r="C1334" s="41">
        <v>46203</v>
      </c>
      <c r="D1334" s="42">
        <v>0.4236111111111111</v>
      </c>
      <c r="E1334" s="193"/>
      <c r="F1334" s="8" t="s">
        <v>469</v>
      </c>
      <c r="G1334" s="2">
        <v>2</v>
      </c>
      <c r="I1334" s="126">
        <v>300</v>
      </c>
      <c r="J1334" s="2" t="s">
        <v>766</v>
      </c>
      <c r="K1334" s="109" t="s">
        <v>598</v>
      </c>
      <c r="L1334" s="194">
        <v>30000</v>
      </c>
      <c r="M1334" s="69">
        <v>30</v>
      </c>
      <c r="N1334" s="39" t="s">
        <v>48</v>
      </c>
      <c r="O1334" s="39" t="s">
        <v>49</v>
      </c>
      <c r="P1334" s="211" t="s">
        <v>842</v>
      </c>
      <c r="Q1334" s="19">
        <v>65</v>
      </c>
      <c r="R1334" s="15">
        <f>Q1334/I1334</f>
        <v>0.21666666666666667</v>
      </c>
      <c r="S1334" s="5">
        <f>($AC1334*$AD1334)/(($Z1334/$Y1334)+($AA1334/$Z1334)+($AB1334/$AA1334))</f>
        <v>53.333333333333336</v>
      </c>
      <c r="U1334" s="109" t="s">
        <v>767</v>
      </c>
      <c r="V1334" s="205" t="s">
        <v>735</v>
      </c>
      <c r="W1334" s="205"/>
      <c r="Y1334" s="2">
        <v>2</v>
      </c>
      <c r="Z1334" s="2">
        <v>5</v>
      </c>
      <c r="AA1334" s="2">
        <v>20</v>
      </c>
      <c r="AB1334" s="2">
        <v>50</v>
      </c>
      <c r="AC1334" s="2">
        <v>16</v>
      </c>
      <c r="AD1334" s="2">
        <v>30</v>
      </c>
      <c r="AE1334" s="2">
        <f>AC1334*AD1334</f>
        <v>480</v>
      </c>
      <c r="AF1334" s="2">
        <f>Z1334/Y1334</f>
        <v>2.5</v>
      </c>
      <c r="AG1334" s="2">
        <f>AA1334/Z1334</f>
        <v>4</v>
      </c>
      <c r="AH1334" s="2">
        <f>AB1334/AA1334</f>
        <v>2.5</v>
      </c>
    </row>
    <row r="1335" spans="1:34">
      <c r="A1335" s="68" t="s">
        <v>357</v>
      </c>
      <c r="B1335" s="68" t="s">
        <v>358</v>
      </c>
      <c r="C1335" s="191">
        <v>46203</v>
      </c>
      <c r="D1335" s="42">
        <v>0.4236111111111111</v>
      </c>
      <c r="E1335" s="8">
        <v>74</v>
      </c>
      <c r="F1335" s="63" t="s">
        <v>691</v>
      </c>
      <c r="G1335" s="2">
        <v>2</v>
      </c>
      <c r="H1335" s="2">
        <v>9</v>
      </c>
      <c r="I1335" s="126">
        <v>800</v>
      </c>
      <c r="J1335" s="2" t="s">
        <v>766</v>
      </c>
      <c r="K1335" s="137" t="s">
        <v>603</v>
      </c>
      <c r="L1335" s="92">
        <v>40000</v>
      </c>
      <c r="M1335" s="69">
        <v>40</v>
      </c>
      <c r="N1335" s="39" t="s">
        <v>48</v>
      </c>
      <c r="O1335" s="39" t="s">
        <v>49</v>
      </c>
      <c r="P1335" s="211" t="s">
        <v>843</v>
      </c>
      <c r="Q1335" s="19">
        <v>110</v>
      </c>
      <c r="R1335" s="15">
        <f>Q1335/I1335</f>
        <v>0.13750000000000001</v>
      </c>
      <c r="S1335" s="5">
        <f>($AC1335*$AD1335)/(($Z1335/$Y1335)+($AA1335/$Z1335)+($AB1335/$AA1335))</f>
        <v>102.59605399792316</v>
      </c>
      <c r="U1335" s="109" t="s">
        <v>767</v>
      </c>
      <c r="V1335" s="205" t="s">
        <v>689</v>
      </c>
      <c r="Y1335" s="2">
        <v>2</v>
      </c>
      <c r="Z1335" s="2">
        <v>5</v>
      </c>
      <c r="AA1335" s="2">
        <v>13</v>
      </c>
      <c r="AB1335" s="2">
        <v>30</v>
      </c>
      <c r="AC1335" s="2">
        <v>40</v>
      </c>
      <c r="AD1335" s="2">
        <v>19</v>
      </c>
      <c r="AE1335" s="2">
        <f>AC1335*AD1335</f>
        <v>760</v>
      </c>
      <c r="AF1335" s="2">
        <f>Z1335/Y1335</f>
        <v>2.5</v>
      </c>
      <c r="AG1335" s="2">
        <f>AA1335/Z1335</f>
        <v>2.6</v>
      </c>
      <c r="AH1335" s="2">
        <f>AB1335/AA1335</f>
        <v>2.3076923076923075</v>
      </c>
    </row>
    <row r="1336" spans="1:34">
      <c r="A1336" s="95" t="s">
        <v>447</v>
      </c>
      <c r="B1336" s="95" t="s">
        <v>448</v>
      </c>
      <c r="C1336" s="190">
        <v>46203</v>
      </c>
      <c r="D1336" s="42">
        <v>0.45833333333333331</v>
      </c>
      <c r="E1336" s="193"/>
      <c r="F1336" s="8" t="s">
        <v>443</v>
      </c>
      <c r="G1336" s="2">
        <v>1</v>
      </c>
      <c r="H1336" s="2">
        <v>8</v>
      </c>
      <c r="I1336" s="125">
        <v>1100</v>
      </c>
      <c r="J1336" s="2" t="s">
        <v>766</v>
      </c>
      <c r="K1336" s="109" t="s">
        <v>602</v>
      </c>
      <c r="L1336" s="8">
        <v>30000</v>
      </c>
      <c r="M1336" s="8">
        <v>30</v>
      </c>
      <c r="N1336" s="39" t="s">
        <v>48</v>
      </c>
      <c r="O1336" s="39" t="s">
        <v>57</v>
      </c>
      <c r="P1336" s="63">
        <v>500000</v>
      </c>
      <c r="Q1336" s="2">
        <v>135</v>
      </c>
      <c r="R1336" s="15">
        <f>Q1336/I1336</f>
        <v>0.12272727272727273</v>
      </c>
      <c r="S1336" s="176" t="s">
        <v>110</v>
      </c>
      <c r="T1336" s="176"/>
      <c r="U1336" s="109" t="s">
        <v>55</v>
      </c>
      <c r="V1336" s="10" t="s">
        <v>741</v>
      </c>
      <c r="W1336" s="238" t="s">
        <v>751</v>
      </c>
      <c r="AE1336" s="2">
        <f>AC1336*AD1336</f>
        <v>0</v>
      </c>
      <c r="AF1336" s="2" t="e">
        <f>Z1336/Y1336</f>
        <v>#DIV/0!</v>
      </c>
      <c r="AG1336" s="2" t="e">
        <f>AA1336/Z1336</f>
        <v>#DIV/0!</v>
      </c>
      <c r="AH1336" s="2" t="e">
        <f>AB1336/AA1336</f>
        <v>#DIV/0!</v>
      </c>
    </row>
    <row r="1337" spans="1:34">
      <c r="A1337" s="102" t="s">
        <v>475</v>
      </c>
      <c r="B1337" s="102" t="s">
        <v>476</v>
      </c>
      <c r="C1337" s="190">
        <v>46203</v>
      </c>
      <c r="D1337" s="42">
        <v>0.45833333333333331</v>
      </c>
      <c r="E1337" s="8" t="s">
        <v>523</v>
      </c>
      <c r="F1337" s="8" t="s">
        <v>492</v>
      </c>
      <c r="G1337" s="2">
        <v>2</v>
      </c>
      <c r="H1337" s="2">
        <v>9</v>
      </c>
      <c r="I1337" s="126">
        <v>400</v>
      </c>
      <c r="J1337" s="2" t="s">
        <v>766</v>
      </c>
      <c r="K1337" s="109" t="s">
        <v>601</v>
      </c>
      <c r="L1337" s="201">
        <v>30000</v>
      </c>
      <c r="M1337" s="203">
        <v>30</v>
      </c>
      <c r="N1337" s="39" t="s">
        <v>48</v>
      </c>
      <c r="O1337" s="39" t="s">
        <v>49</v>
      </c>
      <c r="P1337" s="140" t="s">
        <v>838</v>
      </c>
      <c r="Q1337" s="19">
        <v>70</v>
      </c>
      <c r="R1337" s="15">
        <f>Q1337/I1337</f>
        <v>0.17499999999999999</v>
      </c>
      <c r="S1337" s="5">
        <f>($AC1337*$AD1337)/(($Z1337/$Y1337)+($AA1337/$Z1337)+($AB1337/$AA1337))</f>
        <v>72.897196261682254</v>
      </c>
      <c r="U1337" s="109" t="s">
        <v>767</v>
      </c>
      <c r="V1337" s="2" t="s">
        <v>620</v>
      </c>
      <c r="Y1337" s="2">
        <v>2</v>
      </c>
      <c r="Z1337" s="2">
        <v>5</v>
      </c>
      <c r="AA1337" s="2">
        <v>13</v>
      </c>
      <c r="AB1337" s="2">
        <v>30</v>
      </c>
      <c r="AC1337" s="2">
        <v>30</v>
      </c>
      <c r="AD1337" s="2">
        <v>18</v>
      </c>
      <c r="AE1337" s="2">
        <f>AC1337*AD1337</f>
        <v>540</v>
      </c>
      <c r="AF1337" s="2">
        <f>Z1337/Y1337</f>
        <v>2.5</v>
      </c>
      <c r="AG1337" s="2">
        <f>AA1337/Z1337</f>
        <v>2.6</v>
      </c>
      <c r="AH1337" s="2">
        <f>AB1337/AA1337</f>
        <v>2.3076923076923075</v>
      </c>
    </row>
    <row r="1338" spans="1:34">
      <c r="A1338" s="52" t="s">
        <v>229</v>
      </c>
      <c r="B1338" s="52" t="s">
        <v>230</v>
      </c>
      <c r="C1338" s="190">
        <v>46203</v>
      </c>
      <c r="D1338" s="42">
        <v>0.45833333333333331</v>
      </c>
      <c r="E1338" s="193"/>
      <c r="F1338" s="8" t="s">
        <v>242</v>
      </c>
      <c r="G1338" s="2">
        <v>1</v>
      </c>
      <c r="I1338" s="126">
        <v>200</v>
      </c>
      <c r="J1338" s="2" t="s">
        <v>766</v>
      </c>
      <c r="K1338" s="88" t="s">
        <v>775</v>
      </c>
      <c r="L1338" s="91">
        <v>25000</v>
      </c>
      <c r="M1338" s="195" t="s">
        <v>128</v>
      </c>
      <c r="N1338" s="39" t="s">
        <v>48</v>
      </c>
      <c r="O1338" s="39" t="s">
        <v>49</v>
      </c>
      <c r="P1338" s="211" t="s">
        <v>832</v>
      </c>
      <c r="Q1338" s="19">
        <v>40</v>
      </c>
      <c r="R1338" s="15">
        <f>IF(Q1338&gt;0,Q1338/I1338,"")</f>
        <v>0.2</v>
      </c>
      <c r="S1338" s="5">
        <f>($AC1338*$AD1338)/(($Z1338/$Y1338)+($AA1338/$Z1338)+($AB1338/$AA1338))</f>
        <v>28.333333333333332</v>
      </c>
      <c r="U1338" s="109" t="s">
        <v>767</v>
      </c>
      <c r="V1338" s="205" t="s">
        <v>719</v>
      </c>
      <c r="W1338" s="205"/>
      <c r="Y1338" s="2">
        <v>2</v>
      </c>
      <c r="Z1338" s="2">
        <v>5</v>
      </c>
      <c r="AA1338" s="2">
        <v>20</v>
      </c>
      <c r="AB1338" s="2">
        <v>50</v>
      </c>
      <c r="AC1338" s="2">
        <v>255</v>
      </c>
      <c r="AD1338" s="2">
        <v>1</v>
      </c>
      <c r="AE1338" s="2">
        <f>AC1338*AD1338</f>
        <v>255</v>
      </c>
      <c r="AF1338" s="2">
        <f>Z1338/Y1338</f>
        <v>2.5</v>
      </c>
      <c r="AG1338" s="2">
        <f>AA1338/Z1338</f>
        <v>4</v>
      </c>
      <c r="AH1338" s="2">
        <f>AB1338/AA1338</f>
        <v>2.5</v>
      </c>
    </row>
    <row r="1339" spans="1:34">
      <c r="A1339" s="52" t="s">
        <v>229</v>
      </c>
      <c r="B1339" s="52" t="s">
        <v>230</v>
      </c>
      <c r="C1339" s="190">
        <v>46203</v>
      </c>
      <c r="D1339" s="42">
        <v>0.5</v>
      </c>
      <c r="F1339" s="8" t="s">
        <v>57</v>
      </c>
      <c r="G1339" s="2">
        <v>1</v>
      </c>
      <c r="I1339" s="126">
        <v>400</v>
      </c>
      <c r="J1339" s="2" t="s">
        <v>766</v>
      </c>
      <c r="K1339" s="185" t="s">
        <v>601</v>
      </c>
      <c r="L1339" s="91">
        <v>35000</v>
      </c>
      <c r="M1339" s="194">
        <v>30</v>
      </c>
      <c r="N1339" s="39" t="s">
        <v>48</v>
      </c>
      <c r="O1339" s="39" t="s">
        <v>57</v>
      </c>
      <c r="P1339" s="66">
        <v>30000</v>
      </c>
      <c r="Q1339" s="2">
        <v>60</v>
      </c>
      <c r="R1339" s="15">
        <f>IF(Q1339&gt;0,Q1339/I1339,"")</f>
        <v>0.15</v>
      </c>
      <c r="S1339" s="149" t="s">
        <v>110</v>
      </c>
      <c r="T1339" s="149"/>
      <c r="U1339" s="109" t="s">
        <v>767</v>
      </c>
      <c r="V1339" s="205" t="s">
        <v>719</v>
      </c>
      <c r="W1339" s="205"/>
      <c r="AE1339" s="2">
        <f>AC1339*AD1339</f>
        <v>0</v>
      </c>
      <c r="AF1339" s="2" t="e">
        <f>Z1339/Y1339</f>
        <v>#DIV/0!</v>
      </c>
      <c r="AG1339" s="2" t="e">
        <f>AA1339/Z1339</f>
        <v>#DIV/0!</v>
      </c>
      <c r="AH1339" s="2" t="e">
        <f>AB1339/AA1339</f>
        <v>#DIV/0!</v>
      </c>
    </row>
    <row r="1340" spans="1:34">
      <c r="A1340" s="52" t="s">
        <v>220</v>
      </c>
      <c r="B1340" s="52" t="s">
        <v>221</v>
      </c>
      <c r="C1340" s="191">
        <v>46203</v>
      </c>
      <c r="D1340" s="42">
        <v>0.5</v>
      </c>
      <c r="E1340" s="193"/>
      <c r="F1340" s="194" t="s">
        <v>1320</v>
      </c>
      <c r="G1340" s="2">
        <v>2</v>
      </c>
      <c r="H1340" s="2">
        <v>8</v>
      </c>
      <c r="I1340" s="126">
        <v>2500</v>
      </c>
      <c r="J1340" s="2" t="s">
        <v>766</v>
      </c>
      <c r="K1340" s="109" t="s">
        <v>767</v>
      </c>
      <c r="L1340" s="91">
        <v>200000</v>
      </c>
      <c r="M1340" s="203">
        <v>60</v>
      </c>
      <c r="N1340" s="39" t="s">
        <v>48</v>
      </c>
      <c r="O1340" s="39" t="s">
        <v>49</v>
      </c>
      <c r="P1340" s="214"/>
      <c r="Q1340" s="19">
        <v>240</v>
      </c>
      <c r="R1340" s="15">
        <f>Q1340/I1340</f>
        <v>9.6000000000000002E-2</v>
      </c>
      <c r="S1340" s="5">
        <f>($AC1340*$AD1340)/(($Z1340/$Y1340)+($AA1340/$Z1340)+($AB1340/$AA1340))</f>
        <v>102.59605399792316</v>
      </c>
      <c r="U1340" s="109" t="s">
        <v>125</v>
      </c>
      <c r="V1340" s="2" t="s">
        <v>738</v>
      </c>
      <c r="W1340" s="205"/>
      <c r="Y1340" s="2">
        <v>10</v>
      </c>
      <c r="Z1340" s="2">
        <v>25</v>
      </c>
      <c r="AA1340" s="2">
        <v>65</v>
      </c>
      <c r="AB1340" s="2">
        <v>150</v>
      </c>
      <c r="AC1340" s="2">
        <v>19</v>
      </c>
      <c r="AD1340" s="2">
        <v>40</v>
      </c>
      <c r="AE1340" s="2">
        <f>AC1340*AD1340</f>
        <v>760</v>
      </c>
      <c r="AF1340" s="2">
        <f>Z1340/Y1340</f>
        <v>2.5</v>
      </c>
      <c r="AG1340" s="2">
        <f>AA1340/Z1340</f>
        <v>2.6</v>
      </c>
      <c r="AH1340" s="2">
        <f>AB1340/AA1340</f>
        <v>2.3076923076923075</v>
      </c>
    </row>
    <row r="1341" spans="1:34">
      <c r="A1341" s="52" t="s">
        <v>220</v>
      </c>
      <c r="B1341" s="52" t="s">
        <v>221</v>
      </c>
      <c r="C1341" s="191">
        <v>46203</v>
      </c>
      <c r="D1341" s="42">
        <v>0.5</v>
      </c>
      <c r="E1341" s="193"/>
      <c r="F1341" s="194" t="s">
        <v>1053</v>
      </c>
      <c r="G1341" s="2">
        <v>1</v>
      </c>
      <c r="H1341" s="2">
        <v>9</v>
      </c>
      <c r="I1341" s="126">
        <v>1100</v>
      </c>
      <c r="J1341" s="2" t="s">
        <v>766</v>
      </c>
      <c r="K1341" s="88" t="s">
        <v>780</v>
      </c>
      <c r="L1341" s="91">
        <v>30000</v>
      </c>
      <c r="M1341" s="203">
        <v>30</v>
      </c>
      <c r="N1341" s="39" t="s">
        <v>48</v>
      </c>
      <c r="O1341" s="39" t="s">
        <v>49</v>
      </c>
      <c r="P1341" s="211" t="s">
        <v>841</v>
      </c>
      <c r="Q1341" s="19">
        <v>125</v>
      </c>
      <c r="R1341" s="15">
        <f>Q1341/I1341</f>
        <v>0.11363636363636363</v>
      </c>
      <c r="S1341" s="5">
        <f>($AC1341*$AD1341)/(($Z1341/$Y1341)+($AA1341/$Z1341)+($AB1341/$AA1341))</f>
        <v>62.448979591836739</v>
      </c>
      <c r="U1341" s="109" t="s">
        <v>767</v>
      </c>
      <c r="V1341" s="205" t="s">
        <v>738</v>
      </c>
      <c r="W1341" s="205"/>
      <c r="Y1341" s="2">
        <v>2</v>
      </c>
      <c r="Z1341" s="2">
        <v>5</v>
      </c>
      <c r="AA1341" s="2">
        <v>15</v>
      </c>
      <c r="AB1341" s="2">
        <v>40</v>
      </c>
      <c r="AC1341" s="2">
        <v>17</v>
      </c>
      <c r="AD1341" s="2">
        <v>30</v>
      </c>
      <c r="AE1341" s="2">
        <f>AC1341*AD1341</f>
        <v>510</v>
      </c>
      <c r="AF1341" s="2">
        <f>Z1341/Y1341</f>
        <v>2.5</v>
      </c>
      <c r="AG1341" s="2">
        <f>AA1341/Z1341</f>
        <v>3</v>
      </c>
      <c r="AH1341" s="2">
        <f>AB1341/AA1341</f>
        <v>2.6666666666666665</v>
      </c>
    </row>
    <row r="1342" spans="1:34">
      <c r="A1342" s="68" t="s">
        <v>357</v>
      </c>
      <c r="B1342" s="68" t="s">
        <v>358</v>
      </c>
      <c r="C1342" s="191">
        <v>46203</v>
      </c>
      <c r="D1342" s="42">
        <v>0.50694444444444442</v>
      </c>
      <c r="E1342" s="8">
        <v>76</v>
      </c>
      <c r="F1342" s="197" t="s">
        <v>328</v>
      </c>
      <c r="G1342" s="2">
        <v>3</v>
      </c>
      <c r="H1342" s="2">
        <v>9</v>
      </c>
      <c r="I1342" s="125">
        <v>2500</v>
      </c>
      <c r="J1342" s="2" t="s">
        <v>766</v>
      </c>
      <c r="K1342" s="137" t="s">
        <v>815</v>
      </c>
      <c r="L1342" s="89">
        <v>50000</v>
      </c>
      <c r="M1342" s="202">
        <v>50</v>
      </c>
      <c r="N1342" s="39" t="s">
        <v>48</v>
      </c>
      <c r="O1342" s="39" t="s">
        <v>49</v>
      </c>
      <c r="P1342" s="212" t="s">
        <v>839</v>
      </c>
      <c r="Q1342" s="19">
        <v>200</v>
      </c>
      <c r="R1342" s="15">
        <f>Q1342/I1342</f>
        <v>0.08</v>
      </c>
      <c r="S1342" s="5">
        <f>($AC1342*$AD1342)/(($Z1342/$Y1342)+($AA1342/$Z1342)+($AB1342/$AA1342))</f>
        <v>134.99480789200416</v>
      </c>
      <c r="U1342" s="109" t="s">
        <v>125</v>
      </c>
      <c r="V1342" s="10" t="s">
        <v>695</v>
      </c>
      <c r="W1342" s="10"/>
      <c r="Y1342" s="2">
        <v>2</v>
      </c>
      <c r="Z1342" s="2">
        <v>5</v>
      </c>
      <c r="AA1342" s="2">
        <v>13</v>
      </c>
      <c r="AB1342" s="2">
        <v>30</v>
      </c>
      <c r="AC1342" s="2">
        <v>50</v>
      </c>
      <c r="AD1342" s="2">
        <v>20</v>
      </c>
      <c r="AE1342" s="2">
        <f>AC1342*AD1342</f>
        <v>1000</v>
      </c>
      <c r="AF1342" s="2">
        <f>Z1342/Y1342</f>
        <v>2.5</v>
      </c>
      <c r="AG1342" s="2">
        <f>AA1342/Z1342</f>
        <v>2.6</v>
      </c>
      <c r="AH1342" s="2">
        <f>AB1342/AA1342</f>
        <v>2.3076923076923075</v>
      </c>
    </row>
    <row r="1343" spans="1:34">
      <c r="A1343" s="165" t="s">
        <v>1383</v>
      </c>
      <c r="B1343" s="36" t="s">
        <v>63</v>
      </c>
      <c r="C1343" s="41">
        <v>46203</v>
      </c>
      <c r="D1343" s="144">
        <v>0.54166666666666663</v>
      </c>
      <c r="E1343" s="8">
        <v>75</v>
      </c>
      <c r="F1343" s="194" t="s">
        <v>1154</v>
      </c>
      <c r="G1343" s="2">
        <v>3</v>
      </c>
      <c r="H1343" s="2">
        <v>9</v>
      </c>
      <c r="I1343" s="45">
        <v>10000</v>
      </c>
      <c r="J1343" s="2" t="s">
        <v>110</v>
      </c>
      <c r="K1343" s="109" t="s">
        <v>816</v>
      </c>
      <c r="L1343" s="92">
        <v>60000</v>
      </c>
      <c r="M1343" s="69" t="s">
        <v>111</v>
      </c>
      <c r="N1343" s="39" t="s">
        <v>48</v>
      </c>
      <c r="O1343" s="39" t="s">
        <v>376</v>
      </c>
      <c r="P1343" s="66"/>
      <c r="Q1343" s="38">
        <f>R1343*I1343</f>
        <v>700.00000000000011</v>
      </c>
      <c r="R1343" s="15">
        <v>7.0000000000000007E-2</v>
      </c>
      <c r="S1343" s="149" t="s">
        <v>110</v>
      </c>
      <c r="T1343" s="149"/>
      <c r="U1343" s="109" t="s">
        <v>767</v>
      </c>
      <c r="V1343" s="2" t="s">
        <v>121</v>
      </c>
      <c r="W1343" s="205"/>
      <c r="AE1343" s="2">
        <f>AC1343*AD1343</f>
        <v>0</v>
      </c>
      <c r="AF1343" s="2" t="e">
        <f>Z1343/Y1343</f>
        <v>#DIV/0!</v>
      </c>
      <c r="AG1343" s="2" t="e">
        <f>AA1343/Z1343</f>
        <v>#DIV/0!</v>
      </c>
      <c r="AH1343" s="2" t="e">
        <f>AB1343/AA1343</f>
        <v>#DIV/0!</v>
      </c>
    </row>
    <row r="1344" spans="1:34">
      <c r="A1344" s="165" t="s">
        <v>1383</v>
      </c>
      <c r="B1344" s="39" t="s">
        <v>63</v>
      </c>
      <c r="C1344" s="41">
        <v>46203</v>
      </c>
      <c r="D1344" s="144">
        <v>0.54166666666666663</v>
      </c>
      <c r="E1344" s="8"/>
      <c r="F1344" t="s">
        <v>881</v>
      </c>
      <c r="G1344" s="2">
        <v>1</v>
      </c>
      <c r="H1344" s="2">
        <v>9</v>
      </c>
      <c r="I1344" s="45">
        <v>250</v>
      </c>
      <c r="J1344" s="2" t="s">
        <v>766</v>
      </c>
      <c r="K1344" s="88" t="s">
        <v>787</v>
      </c>
      <c r="L1344" s="92">
        <v>25000</v>
      </c>
      <c r="M1344" s="10">
        <v>30</v>
      </c>
      <c r="N1344" s="39" t="s">
        <v>817</v>
      </c>
      <c r="O1344" s="39" t="s">
        <v>49</v>
      </c>
      <c r="P1344" s="130"/>
      <c r="Q1344" s="19">
        <v>50</v>
      </c>
      <c r="R1344" s="15">
        <f>Q1344/I1344</f>
        <v>0.2</v>
      </c>
      <c r="S1344" s="5">
        <v>44</v>
      </c>
      <c r="U1344" s="109" t="s">
        <v>767</v>
      </c>
      <c r="V1344" s="71" t="s">
        <v>360</v>
      </c>
      <c r="Y1344" s="175"/>
      <c r="Z1344" s="175"/>
      <c r="AA1344" s="175"/>
      <c r="AB1344" s="175"/>
      <c r="AC1344" s="175"/>
      <c r="AD1344" s="175"/>
      <c r="AE1344" s="175"/>
      <c r="AF1344" s="175"/>
      <c r="AG1344" s="175"/>
      <c r="AH1344" s="175"/>
    </row>
    <row r="1345" spans="1:34">
      <c r="A1345" s="52" t="s">
        <v>220</v>
      </c>
      <c r="B1345" s="52" t="s">
        <v>221</v>
      </c>
      <c r="C1345" s="191">
        <v>46203</v>
      </c>
      <c r="D1345" s="42">
        <v>0.54166666666666663</v>
      </c>
      <c r="E1345" s="193"/>
      <c r="F1345" s="194" t="s">
        <v>1304</v>
      </c>
      <c r="G1345" s="2">
        <v>2</v>
      </c>
      <c r="H1345" s="2">
        <v>8</v>
      </c>
      <c r="I1345" s="126">
        <v>1600</v>
      </c>
      <c r="J1345" s="2" t="s">
        <v>766</v>
      </c>
      <c r="K1345" s="109" t="s">
        <v>767</v>
      </c>
      <c r="L1345" s="91">
        <v>40000</v>
      </c>
      <c r="M1345" s="203">
        <v>40</v>
      </c>
      <c r="N1345" s="39" t="s">
        <v>48</v>
      </c>
      <c r="O1345" s="39" t="s">
        <v>57</v>
      </c>
      <c r="P1345" s="53">
        <v>1000000</v>
      </c>
      <c r="Q1345" s="2">
        <v>170</v>
      </c>
      <c r="R1345" s="15">
        <f>Q1345/I1345</f>
        <v>0.10625</v>
      </c>
      <c r="S1345" s="149" t="s">
        <v>110</v>
      </c>
      <c r="T1345" s="149"/>
      <c r="U1345" s="109" t="s">
        <v>767</v>
      </c>
      <c r="V1345" s="2" t="s">
        <v>738</v>
      </c>
      <c r="AE1345" s="2">
        <f>AC1345*AD1345</f>
        <v>0</v>
      </c>
      <c r="AF1345" s="2" t="e">
        <f>Z1345/Y1345</f>
        <v>#DIV/0!</v>
      </c>
      <c r="AG1345" s="2" t="e">
        <f>AA1345/Z1345</f>
        <v>#DIV/0!</v>
      </c>
      <c r="AH1345" s="2" t="e">
        <f>AB1345/AA1345</f>
        <v>#DIV/0!</v>
      </c>
    </row>
    <row r="1346" spans="1:34">
      <c r="A1346" s="52" t="s">
        <v>220</v>
      </c>
      <c r="B1346" s="52" t="s">
        <v>221</v>
      </c>
      <c r="C1346" s="191">
        <v>46203</v>
      </c>
      <c r="D1346" s="42">
        <v>0.58333333333333337</v>
      </c>
      <c r="E1346" s="193"/>
      <c r="F1346" s="194" t="s">
        <v>1072</v>
      </c>
      <c r="G1346" s="2">
        <v>1</v>
      </c>
      <c r="H1346" s="2">
        <v>9</v>
      </c>
      <c r="I1346" s="126">
        <v>400</v>
      </c>
      <c r="J1346" s="2" t="s">
        <v>766</v>
      </c>
      <c r="K1346" s="88" t="s">
        <v>783</v>
      </c>
      <c r="L1346" s="91">
        <v>20000</v>
      </c>
      <c r="M1346" s="194">
        <v>20</v>
      </c>
      <c r="N1346" s="39" t="s">
        <v>61</v>
      </c>
      <c r="O1346" s="39" t="s">
        <v>57</v>
      </c>
      <c r="P1346" s="197" t="s">
        <v>225</v>
      </c>
      <c r="Q1346" s="2">
        <v>63</v>
      </c>
      <c r="R1346" s="15">
        <f>Q1346/I1346</f>
        <v>0.1575</v>
      </c>
      <c r="S1346" s="149" t="s">
        <v>110</v>
      </c>
      <c r="T1346" s="149"/>
      <c r="U1346" s="109" t="s">
        <v>767</v>
      </c>
      <c r="V1346" s="205" t="s">
        <v>738</v>
      </c>
      <c r="AE1346" s="2">
        <f>AC1346*AD1346</f>
        <v>0</v>
      </c>
      <c r="AF1346" s="2" t="e">
        <f>Z1346/Y1346</f>
        <v>#DIV/0!</v>
      </c>
      <c r="AG1346" s="2" t="e">
        <f>AA1346/Z1346</f>
        <v>#DIV/0!</v>
      </c>
      <c r="AH1346" s="2" t="e">
        <f>AB1346/AA1346</f>
        <v>#DIV/0!</v>
      </c>
    </row>
    <row r="1347" spans="1:34">
      <c r="A1347" s="96" t="s">
        <v>461</v>
      </c>
      <c r="B1347" s="96" t="s">
        <v>462</v>
      </c>
      <c r="C1347" s="41">
        <v>46203</v>
      </c>
      <c r="D1347" s="42">
        <v>0.59027777777777779</v>
      </c>
      <c r="E1347" s="193"/>
      <c r="F1347" s="194" t="s">
        <v>276</v>
      </c>
      <c r="G1347" s="2">
        <v>1</v>
      </c>
      <c r="I1347" s="126">
        <v>120</v>
      </c>
      <c r="J1347" s="2" t="s">
        <v>766</v>
      </c>
      <c r="K1347" s="109" t="s">
        <v>602</v>
      </c>
      <c r="L1347" s="194">
        <v>15000</v>
      </c>
      <c r="M1347" s="69">
        <v>20</v>
      </c>
      <c r="N1347" s="39" t="s">
        <v>48</v>
      </c>
      <c r="O1347" s="39" t="s">
        <v>451</v>
      </c>
      <c r="P1347" s="53">
        <v>6000</v>
      </c>
      <c r="Q1347" s="2">
        <v>24</v>
      </c>
      <c r="R1347" s="15">
        <f>Q1347/I1347</f>
        <v>0.2</v>
      </c>
      <c r="S1347" s="149" t="s">
        <v>110</v>
      </c>
      <c r="T1347" s="149"/>
      <c r="U1347" s="109" t="s">
        <v>767</v>
      </c>
      <c r="V1347" s="2" t="s">
        <v>735</v>
      </c>
      <c r="AE1347" s="2">
        <f>AC1347*AD1347</f>
        <v>0</v>
      </c>
      <c r="AF1347" s="2" t="e">
        <f>Z1347/Y1347</f>
        <v>#DIV/0!</v>
      </c>
      <c r="AG1347" s="2" t="e">
        <f>AA1347/Z1347</f>
        <v>#DIV/0!</v>
      </c>
      <c r="AH1347" s="2" t="e">
        <f>AB1347/AA1347</f>
        <v>#DIV/0!</v>
      </c>
    </row>
    <row r="1348" spans="1:34">
      <c r="A1348" s="165" t="s">
        <v>1383</v>
      </c>
      <c r="B1348" s="39" t="s">
        <v>63</v>
      </c>
      <c r="C1348" s="41">
        <v>46203</v>
      </c>
      <c r="D1348" s="144">
        <v>0.625</v>
      </c>
      <c r="F1348" s="8" t="s">
        <v>127</v>
      </c>
      <c r="G1348" s="2">
        <v>1</v>
      </c>
      <c r="I1348" s="45">
        <v>250</v>
      </c>
      <c r="J1348" s="2" t="s">
        <v>766</v>
      </c>
      <c r="K1348" s="88" t="s">
        <v>785</v>
      </c>
      <c r="L1348" s="92">
        <v>25000</v>
      </c>
      <c r="M1348" s="44" t="s">
        <v>128</v>
      </c>
      <c r="N1348" s="39" t="s">
        <v>818</v>
      </c>
      <c r="O1348" s="39" t="s">
        <v>122</v>
      </c>
      <c r="P1348" s="66"/>
      <c r="Q1348" s="2">
        <v>50</v>
      </c>
      <c r="R1348" s="15">
        <f>Q1348/I1348</f>
        <v>0.2</v>
      </c>
      <c r="S1348" s="149" t="s">
        <v>110</v>
      </c>
      <c r="T1348" s="149"/>
      <c r="U1348" s="109" t="s">
        <v>767</v>
      </c>
      <c r="V1348" s="71" t="s">
        <v>360</v>
      </c>
      <c r="AE1348" s="2">
        <f>AC1348*AD1348</f>
        <v>0</v>
      </c>
      <c r="AF1348" s="2" t="e">
        <f>Z1348/Y1348</f>
        <v>#DIV/0!</v>
      </c>
      <c r="AG1348" s="2" t="e">
        <f>AA1348/Z1348</f>
        <v>#DIV/0!</v>
      </c>
      <c r="AH1348" s="2" t="e">
        <f>AB1348/AA1348</f>
        <v>#DIV/0!</v>
      </c>
    </row>
    <row r="1349" spans="1:34">
      <c r="A1349" s="165" t="s">
        <v>1383</v>
      </c>
      <c r="B1349" s="39" t="s">
        <v>63</v>
      </c>
      <c r="C1349" s="41">
        <v>46203</v>
      </c>
      <c r="D1349" s="144">
        <v>0.625</v>
      </c>
      <c r="F1349" s="8" t="s">
        <v>912</v>
      </c>
      <c r="G1349" s="2">
        <v>1</v>
      </c>
      <c r="H1349" s="2">
        <v>9</v>
      </c>
      <c r="I1349" s="45">
        <v>240</v>
      </c>
      <c r="J1349" s="2" t="s">
        <v>766</v>
      </c>
      <c r="K1349" s="88" t="s">
        <v>784</v>
      </c>
      <c r="L1349" s="92">
        <v>10000</v>
      </c>
      <c r="M1349" s="69">
        <v>20</v>
      </c>
      <c r="N1349" s="132" t="s">
        <v>821</v>
      </c>
      <c r="O1349" s="39" t="s">
        <v>49</v>
      </c>
      <c r="P1349" s="130"/>
      <c r="Q1349" s="19">
        <v>40</v>
      </c>
      <c r="R1349" s="15">
        <v>0.16666666666666666</v>
      </c>
      <c r="S1349" s="5">
        <v>29</v>
      </c>
      <c r="U1349" s="109" t="s">
        <v>767</v>
      </c>
      <c r="V1349" s="71" t="s">
        <v>362</v>
      </c>
      <c r="W1349" s="8" t="s">
        <v>367</v>
      </c>
      <c r="Y1349" s="175"/>
      <c r="Z1349" s="175"/>
      <c r="AA1349" s="175"/>
      <c r="AB1349" s="175"/>
      <c r="AC1349" s="175"/>
      <c r="AD1349" s="175"/>
      <c r="AE1349" s="175"/>
      <c r="AF1349" s="175"/>
      <c r="AG1349" s="175"/>
      <c r="AH1349" s="175"/>
    </row>
    <row r="1350" spans="1:34">
      <c r="A1350" s="165" t="s">
        <v>1383</v>
      </c>
      <c r="B1350" s="39" t="s">
        <v>63</v>
      </c>
      <c r="C1350" s="41">
        <v>46203</v>
      </c>
      <c r="D1350" s="144">
        <v>0.66666666666666663</v>
      </c>
      <c r="E1350" s="8"/>
      <c r="F1350" s="8" t="s">
        <v>1024</v>
      </c>
      <c r="G1350" s="2">
        <v>1</v>
      </c>
      <c r="H1350" s="2">
        <v>9</v>
      </c>
      <c r="I1350" s="45">
        <v>400</v>
      </c>
      <c r="J1350" s="2" t="s">
        <v>766</v>
      </c>
      <c r="K1350" s="88" t="s">
        <v>794</v>
      </c>
      <c r="L1350" s="92">
        <v>30000</v>
      </c>
      <c r="M1350" s="10">
        <v>20</v>
      </c>
      <c r="N1350" s="39" t="s">
        <v>817</v>
      </c>
      <c r="O1350" s="39" t="s">
        <v>49</v>
      </c>
      <c r="P1350" s="130"/>
      <c r="Q1350" s="19">
        <v>70</v>
      </c>
      <c r="R1350" s="15">
        <f>Q1350/I1350</f>
        <v>0.17499999999999999</v>
      </c>
      <c r="S1350" s="5">
        <v>37</v>
      </c>
      <c r="U1350" s="109" t="s">
        <v>129</v>
      </c>
      <c r="V1350" s="71" t="s">
        <v>360</v>
      </c>
      <c r="W1350" s="205"/>
      <c r="Y1350" s="175"/>
      <c r="Z1350" s="175"/>
      <c r="AA1350" s="175"/>
      <c r="AB1350" s="175"/>
      <c r="AC1350" s="175"/>
      <c r="AD1350" s="175"/>
      <c r="AE1350" s="175"/>
      <c r="AF1350" s="175"/>
      <c r="AG1350" s="175"/>
      <c r="AH1350" s="175"/>
    </row>
    <row r="1351" spans="1:34">
      <c r="A1351" s="52" t="s">
        <v>229</v>
      </c>
      <c r="B1351" s="52" t="s">
        <v>230</v>
      </c>
      <c r="C1351" s="190">
        <v>46203</v>
      </c>
      <c r="D1351" s="42">
        <v>0.66666666666666663</v>
      </c>
      <c r="E1351" s="193"/>
      <c r="F1351" s="8" t="s">
        <v>273</v>
      </c>
      <c r="G1351" s="2">
        <v>1</v>
      </c>
      <c r="I1351" s="126">
        <v>120</v>
      </c>
      <c r="J1351" s="2" t="s">
        <v>766</v>
      </c>
      <c r="K1351" s="88" t="s">
        <v>795</v>
      </c>
      <c r="L1351" s="91">
        <v>20000</v>
      </c>
      <c r="M1351" s="194">
        <v>20</v>
      </c>
      <c r="N1351" s="39" t="s">
        <v>61</v>
      </c>
      <c r="O1351" s="39" t="s">
        <v>49</v>
      </c>
      <c r="P1351" s="130"/>
      <c r="Q1351" s="19">
        <v>20</v>
      </c>
      <c r="R1351" s="15">
        <f>IF(Q1351&gt;0,Q1351/I1351,"")</f>
        <v>0.16666666666666666</v>
      </c>
      <c r="S1351" s="5">
        <f>($AC1351*$AD1351)/(($Z1351/$Y1351)+($AA1351/$Z1351)+($AB1351/$AA1351))</f>
        <v>31.111111111111111</v>
      </c>
      <c r="U1351" s="109" t="s">
        <v>767</v>
      </c>
      <c r="V1351" s="205" t="s">
        <v>719</v>
      </c>
      <c r="W1351" s="205"/>
      <c r="Y1351" s="2">
        <v>2</v>
      </c>
      <c r="Z1351" s="2">
        <v>5</v>
      </c>
      <c r="AA1351" s="2">
        <v>20</v>
      </c>
      <c r="AB1351" s="2">
        <v>50</v>
      </c>
      <c r="AC1351" s="2">
        <v>14</v>
      </c>
      <c r="AD1351" s="2">
        <v>20</v>
      </c>
      <c r="AE1351" s="2">
        <f>AC1351*AD1351</f>
        <v>280</v>
      </c>
      <c r="AF1351" s="2">
        <f>Z1351/Y1351</f>
        <v>2.5</v>
      </c>
      <c r="AG1351" s="2">
        <f>AA1351/Z1351</f>
        <v>4</v>
      </c>
      <c r="AH1351" s="2">
        <f>AB1351/AA1351</f>
        <v>2.5</v>
      </c>
    </row>
    <row r="1352" spans="1:34">
      <c r="A1352" s="68" t="s">
        <v>357</v>
      </c>
      <c r="B1352" s="68" t="s">
        <v>358</v>
      </c>
      <c r="C1352" s="191">
        <v>46203</v>
      </c>
      <c r="D1352" s="42">
        <v>0.67361111111111116</v>
      </c>
      <c r="E1352" s="8">
        <v>74</v>
      </c>
      <c r="F1352" s="63" t="s">
        <v>692</v>
      </c>
      <c r="G1352" s="2">
        <v>2</v>
      </c>
      <c r="H1352" s="2">
        <v>9</v>
      </c>
      <c r="I1352" s="126">
        <v>800</v>
      </c>
      <c r="J1352" s="2" t="s">
        <v>766</v>
      </c>
      <c r="K1352" s="137" t="s">
        <v>603</v>
      </c>
      <c r="L1352" s="92">
        <v>40000</v>
      </c>
      <c r="M1352" s="69">
        <v>30</v>
      </c>
      <c r="N1352" s="39" t="s">
        <v>48</v>
      </c>
      <c r="O1352" s="39" t="s">
        <v>49</v>
      </c>
      <c r="P1352" s="211" t="s">
        <v>843</v>
      </c>
      <c r="Q1352" s="19">
        <v>110</v>
      </c>
      <c r="R1352" s="15">
        <f>Q1352/I1352</f>
        <v>0.13750000000000001</v>
      </c>
      <c r="S1352" s="5">
        <f>($AC1352*$AD1352)/(($Z1352/$Y1352)+($AA1352/$Z1352)+($AB1352/$AA1352))</f>
        <v>76.947040498442377</v>
      </c>
      <c r="U1352" s="109" t="s">
        <v>767</v>
      </c>
      <c r="V1352" s="71" t="s">
        <v>1416</v>
      </c>
      <c r="Y1352" s="2">
        <v>2</v>
      </c>
      <c r="Z1352" s="2">
        <v>5</v>
      </c>
      <c r="AA1352" s="2">
        <v>13</v>
      </c>
      <c r="AB1352" s="2">
        <v>30</v>
      </c>
      <c r="AC1352" s="2">
        <v>30</v>
      </c>
      <c r="AD1352" s="2">
        <v>19</v>
      </c>
      <c r="AE1352" s="2">
        <f>AC1352*AD1352</f>
        <v>570</v>
      </c>
      <c r="AF1352" s="2">
        <f>Z1352/Y1352</f>
        <v>2.5</v>
      </c>
      <c r="AG1352" s="2">
        <f>AA1352/Z1352</f>
        <v>2.6</v>
      </c>
      <c r="AH1352" s="2">
        <f>AB1352/AA1352</f>
        <v>2.3076923076923075</v>
      </c>
    </row>
    <row r="1353" spans="1:34">
      <c r="A1353" s="102" t="s">
        <v>475</v>
      </c>
      <c r="B1353" s="102" t="s">
        <v>476</v>
      </c>
      <c r="C1353" s="190">
        <v>46203</v>
      </c>
      <c r="D1353" s="42">
        <v>0.75</v>
      </c>
      <c r="E1353" s="8" t="s">
        <v>524</v>
      </c>
      <c r="F1353" s="8" t="s">
        <v>492</v>
      </c>
      <c r="G1353" s="2">
        <v>2</v>
      </c>
      <c r="H1353" s="2">
        <v>9</v>
      </c>
      <c r="I1353" s="126">
        <v>400</v>
      </c>
      <c r="J1353" s="2" t="s">
        <v>766</v>
      </c>
      <c r="K1353" s="109" t="s">
        <v>601</v>
      </c>
      <c r="L1353" s="201">
        <v>30000</v>
      </c>
      <c r="M1353" s="203">
        <v>30</v>
      </c>
      <c r="N1353" s="39" t="s">
        <v>48</v>
      </c>
      <c r="O1353" s="39" t="s">
        <v>49</v>
      </c>
      <c r="P1353" s="140" t="s">
        <v>838</v>
      </c>
      <c r="Q1353" s="19">
        <v>70</v>
      </c>
      <c r="R1353" s="15">
        <f>Q1353/I1353</f>
        <v>0.17499999999999999</v>
      </c>
      <c r="S1353" s="5">
        <f>($AC1353*$AD1353)/(($Z1353/$Y1353)+($AA1353/$Z1353)+($AB1353/$AA1353))</f>
        <v>72.897196261682254</v>
      </c>
      <c r="U1353" s="109" t="s">
        <v>767</v>
      </c>
      <c r="V1353" s="2" t="s">
        <v>620</v>
      </c>
      <c r="Y1353" s="2">
        <v>2</v>
      </c>
      <c r="Z1353" s="2">
        <v>5</v>
      </c>
      <c r="AA1353" s="2">
        <v>13</v>
      </c>
      <c r="AB1353" s="2">
        <v>30</v>
      </c>
      <c r="AC1353" s="2">
        <v>30</v>
      </c>
      <c r="AD1353" s="2">
        <v>18</v>
      </c>
      <c r="AE1353" s="2">
        <f>AC1353*AD1353</f>
        <v>540</v>
      </c>
      <c r="AF1353" s="2">
        <f>Z1353/Y1353</f>
        <v>2.5</v>
      </c>
      <c r="AG1353" s="2">
        <f>AA1353/Z1353</f>
        <v>2.6</v>
      </c>
      <c r="AH1353" s="2">
        <f>AB1353/AA1353</f>
        <v>2.3076923076923075</v>
      </c>
    </row>
    <row r="1354" spans="1:34">
      <c r="A1354" s="52" t="s">
        <v>229</v>
      </c>
      <c r="B1354" s="52" t="s">
        <v>230</v>
      </c>
      <c r="C1354" s="190">
        <v>46203</v>
      </c>
      <c r="D1354" s="42">
        <v>0.75</v>
      </c>
      <c r="E1354" s="193"/>
      <c r="F1354" s="8" t="s">
        <v>244</v>
      </c>
      <c r="G1354" s="2">
        <v>1</v>
      </c>
      <c r="I1354" s="126">
        <v>200</v>
      </c>
      <c r="J1354" s="2" t="s">
        <v>766</v>
      </c>
      <c r="K1354" s="88" t="s">
        <v>804</v>
      </c>
      <c r="L1354" s="91">
        <v>30000</v>
      </c>
      <c r="M1354" s="194">
        <v>20</v>
      </c>
      <c r="N1354" s="39" t="s">
        <v>48</v>
      </c>
      <c r="O1354" s="39" t="s">
        <v>49</v>
      </c>
      <c r="P1354" s="211" t="s">
        <v>832</v>
      </c>
      <c r="Q1354" s="19">
        <v>40</v>
      </c>
      <c r="R1354" s="15">
        <f>IF(Q1354&gt;0,Q1354/I1354,"")</f>
        <v>0.2</v>
      </c>
      <c r="S1354" s="5">
        <f>($AC1354*$AD1354)/(($Z1354/$Y1354)+($AA1354/$Z1354)+($AB1354/$AA1354))</f>
        <v>35.555555555555557</v>
      </c>
      <c r="U1354" s="109" t="s">
        <v>767</v>
      </c>
      <c r="V1354" s="205" t="s">
        <v>719</v>
      </c>
      <c r="W1354" s="205"/>
      <c r="Y1354" s="2">
        <v>2</v>
      </c>
      <c r="Z1354" s="2">
        <v>5</v>
      </c>
      <c r="AA1354" s="2">
        <v>20</v>
      </c>
      <c r="AB1354" s="2">
        <v>50</v>
      </c>
      <c r="AC1354" s="2">
        <v>20</v>
      </c>
      <c r="AD1354" s="2">
        <v>16</v>
      </c>
      <c r="AE1354" s="2">
        <f>AC1354*AD1354</f>
        <v>320</v>
      </c>
      <c r="AF1354" s="2">
        <f>Z1354/Y1354</f>
        <v>2.5</v>
      </c>
      <c r="AG1354" s="2">
        <f>AA1354/Z1354</f>
        <v>4</v>
      </c>
      <c r="AH1354" s="2">
        <f>AB1354/AA1354</f>
        <v>2.5</v>
      </c>
    </row>
    <row r="1355" spans="1:34">
      <c r="A1355" s="52" t="s">
        <v>220</v>
      </c>
      <c r="B1355" s="52" t="s">
        <v>221</v>
      </c>
      <c r="C1355" s="191">
        <v>46203</v>
      </c>
      <c r="D1355" s="42">
        <v>0.75</v>
      </c>
      <c r="E1355" s="193"/>
      <c r="F1355" s="8" t="s">
        <v>1073</v>
      </c>
      <c r="G1355" s="2">
        <v>1</v>
      </c>
      <c r="H1355" s="2">
        <v>9</v>
      </c>
      <c r="I1355" s="125">
        <v>1100</v>
      </c>
      <c r="J1355" s="2" t="s">
        <v>766</v>
      </c>
      <c r="K1355" s="88" t="s">
        <v>799</v>
      </c>
      <c r="L1355" s="90">
        <v>30000</v>
      </c>
      <c r="M1355" s="64">
        <v>20</v>
      </c>
      <c r="N1355" s="39" t="s">
        <v>48</v>
      </c>
      <c r="O1355" s="39" t="s">
        <v>49</v>
      </c>
      <c r="P1355" s="212" t="s">
        <v>838</v>
      </c>
      <c r="Q1355" s="19">
        <v>125</v>
      </c>
      <c r="R1355" s="15">
        <f>Q1355/I1355</f>
        <v>0.11363636363636363</v>
      </c>
      <c r="S1355" s="5">
        <f>($AC1355*$AD1355)/(($Z1355/$Y1355)+($AA1355/$Z1355)+($AB1355/$AA1355))</f>
        <v>41.632653061224495</v>
      </c>
      <c r="U1355" s="109" t="s">
        <v>129</v>
      </c>
      <c r="V1355" s="10" t="s">
        <v>738</v>
      </c>
      <c r="W1355" s="10"/>
      <c r="Y1355" s="2">
        <v>2</v>
      </c>
      <c r="Z1355" s="2">
        <v>5</v>
      </c>
      <c r="AA1355" s="2">
        <v>15</v>
      </c>
      <c r="AB1355" s="2">
        <v>40</v>
      </c>
      <c r="AC1355" s="2">
        <v>17</v>
      </c>
      <c r="AD1355" s="115">
        <v>20</v>
      </c>
      <c r="AE1355" s="2">
        <f>AC1355*AD1355</f>
        <v>340</v>
      </c>
      <c r="AF1355" s="2">
        <f>Z1355/Y1355</f>
        <v>2.5</v>
      </c>
      <c r="AG1355" s="2">
        <f>AA1355/Z1355</f>
        <v>3</v>
      </c>
      <c r="AH1355" s="2">
        <f>AB1355/AA1355</f>
        <v>2.6666666666666665</v>
      </c>
    </row>
    <row r="1356" spans="1:34">
      <c r="A1356" s="96" t="s">
        <v>461</v>
      </c>
      <c r="B1356" s="96" t="s">
        <v>462</v>
      </c>
      <c r="C1356" s="41">
        <v>46203</v>
      </c>
      <c r="D1356" s="42">
        <v>0.75694444444444442</v>
      </c>
      <c r="F1356" s="8" t="s">
        <v>470</v>
      </c>
      <c r="G1356" s="2">
        <v>2</v>
      </c>
      <c r="I1356" s="126">
        <v>300</v>
      </c>
      <c r="J1356" s="2" t="s">
        <v>766</v>
      </c>
      <c r="K1356" s="109" t="s">
        <v>598</v>
      </c>
      <c r="L1356" s="194">
        <v>30000</v>
      </c>
      <c r="M1356" s="69">
        <v>30</v>
      </c>
      <c r="N1356" s="39" t="s">
        <v>48</v>
      </c>
      <c r="O1356" s="39" t="s">
        <v>49</v>
      </c>
      <c r="P1356" s="211" t="s">
        <v>842</v>
      </c>
      <c r="Q1356" s="19">
        <v>65</v>
      </c>
      <c r="R1356" s="15">
        <f>Q1356/I1356</f>
        <v>0.21666666666666667</v>
      </c>
      <c r="S1356" s="5">
        <f>($AC1356*$AD1356)/(($Z1356/$Y1356)+($AA1356/$Z1356)+($AB1356/$AA1356))</f>
        <v>53.333333333333336</v>
      </c>
      <c r="U1356" s="109" t="s">
        <v>767</v>
      </c>
      <c r="V1356" s="205" t="s">
        <v>735</v>
      </c>
      <c r="W1356" s="205"/>
      <c r="Y1356" s="2">
        <v>2</v>
      </c>
      <c r="Z1356" s="2">
        <v>5</v>
      </c>
      <c r="AA1356" s="2">
        <v>20</v>
      </c>
      <c r="AB1356" s="2">
        <v>50</v>
      </c>
      <c r="AC1356" s="2">
        <v>16</v>
      </c>
      <c r="AD1356" s="2">
        <v>30</v>
      </c>
      <c r="AE1356" s="2">
        <f>AC1356*AD1356</f>
        <v>480</v>
      </c>
      <c r="AF1356" s="2">
        <f>Z1356/Y1356</f>
        <v>2.5</v>
      </c>
      <c r="AG1356" s="2">
        <f>AA1356/Z1356</f>
        <v>4</v>
      </c>
      <c r="AH1356" s="2">
        <f>AB1356/AA1356</f>
        <v>2.5</v>
      </c>
    </row>
    <row r="1357" spans="1:34">
      <c r="A1357" s="95" t="s">
        <v>447</v>
      </c>
      <c r="B1357" s="95" t="s">
        <v>448</v>
      </c>
      <c r="C1357" s="190">
        <v>46203</v>
      </c>
      <c r="D1357" s="42">
        <v>0.79166666666666663</v>
      </c>
      <c r="E1357" s="193"/>
      <c r="F1357" s="194" t="s">
        <v>430</v>
      </c>
      <c r="G1357" s="2">
        <v>1</v>
      </c>
      <c r="H1357" s="2">
        <v>9</v>
      </c>
      <c r="I1357" s="126">
        <v>400</v>
      </c>
      <c r="J1357" s="2" t="s">
        <v>766</v>
      </c>
      <c r="K1357" s="109" t="s">
        <v>602</v>
      </c>
      <c r="L1357" s="194">
        <v>20000</v>
      </c>
      <c r="M1357" s="194">
        <v>20</v>
      </c>
      <c r="N1357" s="39" t="s">
        <v>61</v>
      </c>
      <c r="O1357" s="39" t="s">
        <v>49</v>
      </c>
      <c r="P1357" s="214" t="s">
        <v>225</v>
      </c>
      <c r="Q1357" s="19">
        <v>50</v>
      </c>
      <c r="R1357" s="15">
        <f>Q1357/I1357</f>
        <v>0.125</v>
      </c>
      <c r="S1357" s="5">
        <f>($AC1357*$AD1357)/(($Z1357/$Y1357)+($AA1357/$Z1357)+($AB1357/$AA1357))</f>
        <v>43.198338525441329</v>
      </c>
      <c r="U1357" s="109" t="s">
        <v>767</v>
      </c>
      <c r="V1357" s="2" t="s">
        <v>741</v>
      </c>
      <c r="W1357" s="116" t="s">
        <v>748</v>
      </c>
      <c r="Y1357" s="2">
        <v>2</v>
      </c>
      <c r="Z1357" s="2">
        <v>5</v>
      </c>
      <c r="AA1357" s="2">
        <v>13</v>
      </c>
      <c r="AB1357" s="2">
        <v>30</v>
      </c>
      <c r="AC1357" s="2">
        <v>16</v>
      </c>
      <c r="AD1357" s="2">
        <v>20</v>
      </c>
      <c r="AE1357" s="2">
        <f>AC1357*AD1357</f>
        <v>320</v>
      </c>
      <c r="AF1357" s="2">
        <f>Z1357/Y1357</f>
        <v>2.5</v>
      </c>
      <c r="AG1357" s="2">
        <f>AA1357/Z1357</f>
        <v>2.6</v>
      </c>
      <c r="AH1357" s="2">
        <f>AB1357/AA1357</f>
        <v>2.3076923076923075</v>
      </c>
    </row>
    <row r="1358" spans="1:34">
      <c r="A1358" s="165" t="s">
        <v>1383</v>
      </c>
      <c r="B1358" s="39" t="s">
        <v>63</v>
      </c>
      <c r="C1358" s="41">
        <v>46203</v>
      </c>
      <c r="D1358" s="144">
        <v>0.79166666666666663</v>
      </c>
      <c r="F1358" s="8" t="s">
        <v>885</v>
      </c>
      <c r="G1358" s="2">
        <v>1</v>
      </c>
      <c r="I1358" s="45">
        <v>1100</v>
      </c>
      <c r="J1358" s="2" t="s">
        <v>766</v>
      </c>
      <c r="K1358" s="88" t="s">
        <v>807</v>
      </c>
      <c r="L1358" s="92">
        <v>15000</v>
      </c>
      <c r="M1358" s="82">
        <v>30</v>
      </c>
      <c r="N1358" s="132" t="s">
        <v>821</v>
      </c>
      <c r="O1358" s="39" t="s">
        <v>377</v>
      </c>
      <c r="P1358" s="66"/>
      <c r="Q1358" s="2">
        <f>88+37</f>
        <v>125</v>
      </c>
      <c r="R1358" s="15">
        <f>Q1358/I1358</f>
        <v>0.11363636363636363</v>
      </c>
      <c r="S1358" s="149" t="s">
        <v>110</v>
      </c>
      <c r="T1358" s="149"/>
      <c r="U1358" s="109" t="s">
        <v>767</v>
      </c>
      <c r="V1358" s="71" t="s">
        <v>362</v>
      </c>
      <c r="W1358" s="8" t="s">
        <v>370</v>
      </c>
      <c r="AE1358" s="2">
        <f>AC1358*AD1358</f>
        <v>0</v>
      </c>
      <c r="AF1358" s="2" t="e">
        <f>Z1358/Y1358</f>
        <v>#DIV/0!</v>
      </c>
      <c r="AG1358" s="2" t="e">
        <f>AA1358/Z1358</f>
        <v>#DIV/0!</v>
      </c>
      <c r="AH1358" s="2" t="e">
        <f>AB1358/AA1358</f>
        <v>#DIV/0!</v>
      </c>
    </row>
    <row r="1359" spans="1:34">
      <c r="A1359" s="165" t="s">
        <v>1383</v>
      </c>
      <c r="B1359" s="39" t="s">
        <v>63</v>
      </c>
      <c r="C1359" s="41">
        <v>46203</v>
      </c>
      <c r="D1359" s="144">
        <v>0.83333333333333337</v>
      </c>
      <c r="E1359" s="8"/>
      <c r="F1359" s="8" t="s">
        <v>1023</v>
      </c>
      <c r="G1359" s="2">
        <v>1</v>
      </c>
      <c r="H1359" s="2">
        <v>9</v>
      </c>
      <c r="I1359" s="45">
        <v>200</v>
      </c>
      <c r="J1359" s="2" t="s">
        <v>766</v>
      </c>
      <c r="K1359" s="88" t="s">
        <v>806</v>
      </c>
      <c r="L1359" s="92">
        <v>20000</v>
      </c>
      <c r="M1359" s="10">
        <v>20</v>
      </c>
      <c r="N1359" s="39" t="s">
        <v>817</v>
      </c>
      <c r="O1359" s="39" t="s">
        <v>49</v>
      </c>
      <c r="P1359" s="130"/>
      <c r="Q1359" s="19">
        <v>45</v>
      </c>
      <c r="R1359" s="15">
        <f>Q1359/I1359</f>
        <v>0.22500000000000001</v>
      </c>
      <c r="S1359" s="5">
        <v>23</v>
      </c>
      <c r="U1359" s="109" t="s">
        <v>129</v>
      </c>
      <c r="V1359" s="71" t="s">
        <v>360</v>
      </c>
      <c r="Y1359" s="175"/>
      <c r="Z1359" s="175"/>
      <c r="AA1359" s="175"/>
      <c r="AB1359" s="175"/>
      <c r="AC1359" s="175"/>
      <c r="AD1359" s="175"/>
      <c r="AE1359" s="175"/>
      <c r="AF1359" s="175"/>
      <c r="AG1359" s="175"/>
      <c r="AH1359" s="175"/>
    </row>
    <row r="1360" spans="1:34">
      <c r="A1360" s="165" t="s">
        <v>1383</v>
      </c>
      <c r="B1360" s="39" t="s">
        <v>63</v>
      </c>
      <c r="C1360" s="41">
        <v>46203</v>
      </c>
      <c r="D1360" s="144">
        <v>0.91666666666666663</v>
      </c>
      <c r="F1360" s="8" t="s">
        <v>909</v>
      </c>
      <c r="G1360" s="2">
        <v>1</v>
      </c>
      <c r="H1360" s="2">
        <v>9</v>
      </c>
      <c r="I1360" s="45">
        <v>135</v>
      </c>
      <c r="J1360" s="2" t="s">
        <v>766</v>
      </c>
      <c r="K1360" s="88" t="s">
        <v>813</v>
      </c>
      <c r="L1360" s="92">
        <v>10000</v>
      </c>
      <c r="M1360" s="69">
        <v>15</v>
      </c>
      <c r="N1360" s="132" t="s">
        <v>821</v>
      </c>
      <c r="O1360" s="39" t="s">
        <v>49</v>
      </c>
      <c r="P1360" s="130"/>
      <c r="Q1360" s="19">
        <v>35</v>
      </c>
      <c r="R1360" s="15">
        <f>Q1360/I1360</f>
        <v>0.25925925925925924</v>
      </c>
      <c r="S1360" s="5">
        <v>22</v>
      </c>
      <c r="U1360" s="109" t="s">
        <v>767</v>
      </c>
      <c r="V1360" s="71" t="s">
        <v>362</v>
      </c>
      <c r="W1360" s="8" t="s">
        <v>369</v>
      </c>
      <c r="Y1360" s="175"/>
      <c r="Z1360" s="175"/>
      <c r="AA1360" s="175"/>
      <c r="AB1360" s="175"/>
      <c r="AC1360" s="175"/>
      <c r="AD1360" s="175"/>
      <c r="AE1360" s="175"/>
      <c r="AF1360" s="175"/>
      <c r="AG1360" s="175"/>
      <c r="AH1360" s="175"/>
    </row>
    <row r="1361" spans="1:34">
      <c r="A1361" s="96" t="s">
        <v>461</v>
      </c>
      <c r="B1361" s="96" t="s">
        <v>462</v>
      </c>
      <c r="C1361" s="41">
        <v>46203</v>
      </c>
      <c r="D1361" s="42">
        <v>0.92361111111111116</v>
      </c>
      <c r="F1361" s="8" t="s">
        <v>456</v>
      </c>
      <c r="G1361" s="2">
        <v>1</v>
      </c>
      <c r="I1361" s="126">
        <v>120</v>
      </c>
      <c r="J1361" s="2" t="s">
        <v>766</v>
      </c>
      <c r="K1361" s="109" t="s">
        <v>737</v>
      </c>
      <c r="L1361" s="194">
        <v>20000</v>
      </c>
      <c r="M1361" s="69">
        <v>15</v>
      </c>
      <c r="N1361" s="39" t="s">
        <v>48</v>
      </c>
      <c r="O1361" s="39" t="s">
        <v>49</v>
      </c>
      <c r="P1361" s="211" t="s">
        <v>827</v>
      </c>
      <c r="Q1361" s="19">
        <v>24</v>
      </c>
      <c r="R1361" s="15">
        <f>Q1361/I1361</f>
        <v>0.2</v>
      </c>
      <c r="S1361" s="5">
        <f>($AC1361*$AD1361)/(($Z1361/$Y1361)+($AA1361/$Z1361)+($AB1361/$AA1361))</f>
        <v>25.161290322580644</v>
      </c>
      <c r="U1361" s="109" t="s">
        <v>463</v>
      </c>
      <c r="V1361" s="2" t="s">
        <v>735</v>
      </c>
      <c r="W1361" s="2" t="s">
        <v>464</v>
      </c>
      <c r="Y1361" s="2">
        <v>2.5</v>
      </c>
      <c r="Z1361" s="2">
        <v>7.5</v>
      </c>
      <c r="AA1361" s="2">
        <v>30</v>
      </c>
      <c r="AB1361" s="2">
        <v>100</v>
      </c>
      <c r="AC1361" s="2">
        <v>13</v>
      </c>
      <c r="AD1361" s="2">
        <v>20</v>
      </c>
      <c r="AE1361" s="2">
        <f>AC1361*AD1361</f>
        <v>260</v>
      </c>
      <c r="AF1361" s="2">
        <f>Z1361/Y1361</f>
        <v>3</v>
      </c>
      <c r="AG1361" s="2">
        <f>AA1361/Z1361</f>
        <v>4</v>
      </c>
      <c r="AH1361" s="2">
        <f>AB1361/AA1361</f>
        <v>3.3333333333333335</v>
      </c>
    </row>
    <row r="1362" spans="1:34">
      <c r="A1362" s="165" t="s">
        <v>1383</v>
      </c>
      <c r="B1362" s="36" t="s">
        <v>63</v>
      </c>
      <c r="C1362" s="41">
        <v>46203</v>
      </c>
      <c r="D1362" s="144" t="s">
        <v>117</v>
      </c>
      <c r="E1362" s="14">
        <v>72</v>
      </c>
      <c r="F1362" s="8" t="s">
        <v>993</v>
      </c>
      <c r="G1362" s="2">
        <v>3</v>
      </c>
      <c r="H1362" s="2">
        <v>9</v>
      </c>
      <c r="I1362" s="45">
        <v>1000</v>
      </c>
      <c r="J1362" s="2" t="s">
        <v>110</v>
      </c>
      <c r="K1362" s="109" t="s">
        <v>601</v>
      </c>
      <c r="L1362" s="92">
        <v>60000</v>
      </c>
      <c r="M1362" s="69">
        <v>30</v>
      </c>
      <c r="N1362" s="39" t="s">
        <v>48</v>
      </c>
      <c r="O1362" s="39" t="s">
        <v>49</v>
      </c>
      <c r="P1362" s="130"/>
      <c r="Q1362" s="19">
        <f>R1362*I1362</f>
        <v>120</v>
      </c>
      <c r="R1362" s="15">
        <v>0.12</v>
      </c>
      <c r="S1362" s="5">
        <f>($AC1362*$AD1362)/(($Z1362/$Y1362)+($AA1362/$Z1362)+($AB1362/$AA1362))</f>
        <v>85.046728971962622</v>
      </c>
      <c r="U1362" s="109" t="s">
        <v>767</v>
      </c>
      <c r="V1362" s="205" t="s">
        <v>121</v>
      </c>
      <c r="W1362" s="205"/>
      <c r="Y1362" s="2">
        <v>2</v>
      </c>
      <c r="Z1362" s="2">
        <v>5</v>
      </c>
      <c r="AA1362" s="2">
        <v>13</v>
      </c>
      <c r="AB1362" s="2">
        <v>30</v>
      </c>
      <c r="AC1362" s="2">
        <v>30</v>
      </c>
      <c r="AD1362" s="2">
        <v>21</v>
      </c>
      <c r="AE1362" s="2">
        <f>AC1362*AD1362</f>
        <v>630</v>
      </c>
      <c r="AF1362" s="2">
        <f>Z1362/Y1362</f>
        <v>2.5</v>
      </c>
      <c r="AG1362" s="2">
        <f>AA1362/Z1362</f>
        <v>2.6</v>
      </c>
      <c r="AH1362" s="2">
        <f>AB1362/AA1362</f>
        <v>2.3076923076923075</v>
      </c>
    </row>
    <row r="1363" spans="1:34">
      <c r="A1363" s="165" t="s">
        <v>1383</v>
      </c>
      <c r="B1363" s="36" t="s">
        <v>63</v>
      </c>
      <c r="C1363" s="41">
        <v>46203</v>
      </c>
      <c r="D1363" s="144" t="s">
        <v>115</v>
      </c>
      <c r="E1363" s="8">
        <v>73</v>
      </c>
      <c r="F1363" s="8" t="s">
        <v>1279</v>
      </c>
      <c r="G1363" s="2">
        <v>4</v>
      </c>
      <c r="H1363" s="2">
        <v>6</v>
      </c>
      <c r="I1363" s="45">
        <v>5000</v>
      </c>
      <c r="J1363" s="2" t="s">
        <v>760</v>
      </c>
      <c r="K1363" s="109" t="s">
        <v>601</v>
      </c>
      <c r="L1363" s="92">
        <v>50000</v>
      </c>
      <c r="M1363" s="69">
        <v>60</v>
      </c>
      <c r="N1363" s="39" t="s">
        <v>48</v>
      </c>
      <c r="O1363" s="39" t="s">
        <v>49</v>
      </c>
      <c r="P1363" s="130"/>
      <c r="Q1363" s="19">
        <f>R1363*I1363</f>
        <v>400</v>
      </c>
      <c r="R1363" s="15">
        <v>0.08</v>
      </c>
      <c r="S1363" s="5">
        <f>($AC1363*$AD1363)/(($Z1363/$Y1363)+($AA1363/$Z1363)+($AB1363/$AA1363))</f>
        <v>161.993769470405</v>
      </c>
      <c r="U1363" s="109" t="s">
        <v>375</v>
      </c>
      <c r="V1363" s="2" t="s">
        <v>121</v>
      </c>
      <c r="W1363" s="205"/>
      <c r="Y1363" s="2">
        <v>2</v>
      </c>
      <c r="Z1363" s="2">
        <v>5</v>
      </c>
      <c r="AA1363" s="2">
        <v>13</v>
      </c>
      <c r="AB1363" s="2">
        <v>30</v>
      </c>
      <c r="AC1363" s="2">
        <v>60</v>
      </c>
      <c r="AD1363" s="2">
        <v>20</v>
      </c>
      <c r="AE1363" s="2">
        <f>AC1363*AD1363</f>
        <v>1200</v>
      </c>
      <c r="AF1363" s="2">
        <f>Z1363/Y1363</f>
        <v>2.5</v>
      </c>
      <c r="AG1363" s="2">
        <f>AA1363/Z1363</f>
        <v>2.6</v>
      </c>
      <c r="AH1363" s="2">
        <f>AB1363/AA1363</f>
        <v>2.3076923076923075</v>
      </c>
    </row>
    <row r="1364" spans="1:34">
      <c r="A1364" s="165" t="s">
        <v>1383</v>
      </c>
      <c r="B1364" s="36" t="s">
        <v>63</v>
      </c>
      <c r="C1364" s="41">
        <v>46203</v>
      </c>
      <c r="D1364" s="144" t="s">
        <v>115</v>
      </c>
      <c r="E1364" s="8">
        <v>76</v>
      </c>
      <c r="F1364" s="8" t="s">
        <v>176</v>
      </c>
      <c r="G1364" s="2">
        <v>3</v>
      </c>
      <c r="H1364" s="2">
        <v>8</v>
      </c>
      <c r="I1364" s="45">
        <v>100000</v>
      </c>
      <c r="J1364" s="2" t="s">
        <v>762</v>
      </c>
      <c r="K1364" s="109" t="s">
        <v>601</v>
      </c>
      <c r="L1364" s="92">
        <v>600000</v>
      </c>
      <c r="M1364" s="69">
        <v>40</v>
      </c>
      <c r="N1364" s="39" t="s">
        <v>48</v>
      </c>
      <c r="O1364" s="39" t="s">
        <v>57</v>
      </c>
      <c r="P1364" s="66"/>
      <c r="Q1364" s="38">
        <f>R1364*I1364</f>
        <v>4000</v>
      </c>
      <c r="R1364" s="15">
        <v>0.04</v>
      </c>
      <c r="S1364" s="149" t="s">
        <v>110</v>
      </c>
      <c r="T1364" s="149"/>
      <c r="U1364" s="109" t="s">
        <v>767</v>
      </c>
      <c r="V1364" s="205" t="s">
        <v>121</v>
      </c>
      <c r="W1364" s="205"/>
      <c r="AE1364" s="2">
        <f>AC1364*AD1364</f>
        <v>0</v>
      </c>
      <c r="AF1364" s="2" t="e">
        <f>Z1364/Y1364</f>
        <v>#DIV/0!</v>
      </c>
      <c r="AG1364" s="2" t="e">
        <f>AA1364/Z1364</f>
        <v>#DIV/0!</v>
      </c>
      <c r="AH1364" s="2" t="e">
        <f>AB1364/AA1364</f>
        <v>#DIV/0!</v>
      </c>
    </row>
    <row r="1365" spans="1:34">
      <c r="A1365" s="165" t="s">
        <v>1383</v>
      </c>
      <c r="B1365" s="36" t="s">
        <v>63</v>
      </c>
      <c r="C1365" s="41">
        <v>46203</v>
      </c>
      <c r="D1365" s="144" t="s">
        <v>116</v>
      </c>
      <c r="E1365" s="8">
        <v>77</v>
      </c>
      <c r="F1365" s="8" t="s">
        <v>177</v>
      </c>
      <c r="G1365" s="2">
        <v>3</v>
      </c>
      <c r="H1365" s="2">
        <v>9</v>
      </c>
      <c r="I1365" s="37">
        <v>2500</v>
      </c>
      <c r="J1365" s="2" t="s">
        <v>760</v>
      </c>
      <c r="K1365" s="109" t="s">
        <v>602</v>
      </c>
      <c r="L1365" s="89">
        <v>35000</v>
      </c>
      <c r="M1365" s="202" t="s">
        <v>97</v>
      </c>
      <c r="N1365" s="39" t="s">
        <v>48</v>
      </c>
      <c r="O1365" s="39" t="s">
        <v>860</v>
      </c>
      <c r="P1365" s="66"/>
      <c r="Q1365" s="38">
        <f>R1365*I1365</f>
        <v>275</v>
      </c>
      <c r="R1365" s="15">
        <v>0.11</v>
      </c>
      <c r="S1365" s="149" t="s">
        <v>110</v>
      </c>
      <c r="T1365" s="149"/>
      <c r="U1365" s="109" t="s">
        <v>767</v>
      </c>
      <c r="V1365" s="205" t="s">
        <v>121</v>
      </c>
      <c r="W1365" s="205"/>
      <c r="AE1365" s="2">
        <f>AC1365*AD1365</f>
        <v>0</v>
      </c>
      <c r="AF1365" s="2" t="e">
        <f>Z1365/Y1365</f>
        <v>#DIV/0!</v>
      </c>
      <c r="AG1365" s="2" t="e">
        <f>AA1365/Z1365</f>
        <v>#DIV/0!</v>
      </c>
      <c r="AH1365" s="2" t="e">
        <f>AB1365/AA1365</f>
        <v>#DIV/0!</v>
      </c>
    </row>
    <row r="1366" spans="1:34">
      <c r="A1366" s="165" t="s">
        <v>1383</v>
      </c>
      <c r="B1366" s="36" t="s">
        <v>63</v>
      </c>
      <c r="C1366" s="41">
        <v>46203</v>
      </c>
      <c r="D1366" s="144" t="s">
        <v>876</v>
      </c>
      <c r="E1366" s="8">
        <v>74</v>
      </c>
      <c r="F1366" s="8" t="s">
        <v>1216</v>
      </c>
      <c r="G1366" s="2">
        <v>3</v>
      </c>
      <c r="H1366" s="2">
        <v>6</v>
      </c>
      <c r="I1366" s="45">
        <v>1500</v>
      </c>
      <c r="J1366" s="2" t="s">
        <v>760</v>
      </c>
      <c r="K1366" s="109" t="s">
        <v>598</v>
      </c>
      <c r="L1366" s="92">
        <v>25000</v>
      </c>
      <c r="M1366" s="69" t="s">
        <v>97</v>
      </c>
      <c r="N1366" s="39" t="s">
        <v>48</v>
      </c>
      <c r="O1366" s="39" t="s">
        <v>377</v>
      </c>
      <c r="P1366" s="66"/>
      <c r="Q1366" s="38">
        <f>R1366*I1366</f>
        <v>172.5</v>
      </c>
      <c r="R1366" s="15">
        <v>0.115</v>
      </c>
      <c r="S1366" s="149" t="s">
        <v>110</v>
      </c>
      <c r="T1366" s="149"/>
      <c r="U1366" s="109" t="s">
        <v>375</v>
      </c>
      <c r="V1366" s="2" t="s">
        <v>121</v>
      </c>
      <c r="W1366" s="205"/>
      <c r="AE1366" s="2">
        <f>AC1366*AD1366</f>
        <v>0</v>
      </c>
      <c r="AF1366" s="2" t="e">
        <f>Z1366/Y1366</f>
        <v>#DIV/0!</v>
      </c>
      <c r="AG1366" s="2" t="e">
        <f>AA1366/Z1366</f>
        <v>#DIV/0!</v>
      </c>
      <c r="AH1366" s="2" t="e">
        <f>AB1366/AA1366</f>
        <v>#DIV/0!</v>
      </c>
    </row>
    <row r="1367" spans="1:34">
      <c r="A1367" s="165" t="s">
        <v>1383</v>
      </c>
      <c r="B1367" s="39" t="s">
        <v>63</v>
      </c>
      <c r="C1367" s="145">
        <v>46204</v>
      </c>
      <c r="D1367" s="144">
        <v>0.33333333333333331</v>
      </c>
      <c r="E1367" s="8"/>
      <c r="F1367" s="8" t="s">
        <v>910</v>
      </c>
      <c r="G1367" s="2">
        <v>1</v>
      </c>
      <c r="H1367" s="2">
        <v>9</v>
      </c>
      <c r="I1367" s="45">
        <v>150</v>
      </c>
      <c r="J1367" s="2" t="s">
        <v>766</v>
      </c>
      <c r="K1367" s="88" t="s">
        <v>768</v>
      </c>
      <c r="L1367" s="92">
        <v>10000</v>
      </c>
      <c r="M1367" s="10">
        <v>10</v>
      </c>
      <c r="N1367" s="132" t="s">
        <v>821</v>
      </c>
      <c r="O1367" s="39" t="s">
        <v>49</v>
      </c>
      <c r="P1367" s="130"/>
      <c r="Q1367" s="19">
        <v>35</v>
      </c>
      <c r="R1367" s="15">
        <f>Q1367/I1367</f>
        <v>0.23333333333333334</v>
      </c>
      <c r="S1367" s="5">
        <f>($AC1367*$AD1367)/(($Z1367/$Y1367)+($AA1367/$Z1367)+($AB1367/$AA1367))</f>
        <v>9.9248120300751879</v>
      </c>
      <c r="U1367" s="109" t="s">
        <v>129</v>
      </c>
      <c r="V1367" s="83" t="s">
        <v>361</v>
      </c>
      <c r="W1367" s="153" t="s">
        <v>385</v>
      </c>
      <c r="Y1367" s="2">
        <v>2</v>
      </c>
      <c r="Z1367" s="2">
        <v>7.5</v>
      </c>
      <c r="AA1367" s="2">
        <v>25</v>
      </c>
      <c r="AB1367" s="2">
        <v>100</v>
      </c>
      <c r="AC1367" s="2">
        <v>11</v>
      </c>
      <c r="AD1367" s="2">
        <v>10</v>
      </c>
      <c r="AE1367" s="2">
        <f>AC1367*AD1367</f>
        <v>110</v>
      </c>
      <c r="AF1367" s="2">
        <f>Z1367/Y1367</f>
        <v>3.75</v>
      </c>
      <c r="AG1367" s="2">
        <f>AA1367/Z1367</f>
        <v>3.3333333333333335</v>
      </c>
      <c r="AH1367" s="2">
        <f>AB1367/AA1367</f>
        <v>4</v>
      </c>
    </row>
    <row r="1368" spans="1:34">
      <c r="A1368" s="165" t="s">
        <v>1383</v>
      </c>
      <c r="B1368" s="39" t="s">
        <v>63</v>
      </c>
      <c r="C1368" s="41">
        <v>46204</v>
      </c>
      <c r="D1368" s="144">
        <v>0.33333333333333331</v>
      </c>
      <c r="E1368" s="193"/>
      <c r="F1368" s="8" t="s">
        <v>907</v>
      </c>
      <c r="G1368" s="2">
        <v>1</v>
      </c>
      <c r="H1368" s="2">
        <v>9</v>
      </c>
      <c r="I1368" s="45">
        <v>1100</v>
      </c>
      <c r="J1368" s="2" t="s">
        <v>766</v>
      </c>
      <c r="K1368" s="88" t="s">
        <v>768</v>
      </c>
      <c r="L1368" s="92">
        <v>15000</v>
      </c>
      <c r="M1368" s="82">
        <v>10</v>
      </c>
      <c r="N1368" s="132" t="s">
        <v>821</v>
      </c>
      <c r="O1368" s="39" t="s">
        <v>49</v>
      </c>
      <c r="P1368" s="130"/>
      <c r="Q1368" s="19">
        <f>88+37</f>
        <v>125</v>
      </c>
      <c r="R1368" s="15">
        <f>Q1368/I1368</f>
        <v>0.11363636363636363</v>
      </c>
      <c r="S1368" s="5">
        <v>11</v>
      </c>
      <c r="U1368" s="109" t="s">
        <v>129</v>
      </c>
      <c r="V1368" s="71" t="s">
        <v>362</v>
      </c>
      <c r="W1368" s="8" t="s">
        <v>370</v>
      </c>
      <c r="Y1368" s="175"/>
      <c r="Z1368" s="175"/>
      <c r="AA1368" s="175"/>
      <c r="AB1368" s="175"/>
      <c r="AC1368" s="175"/>
      <c r="AD1368" s="175"/>
      <c r="AE1368" s="175"/>
      <c r="AF1368" s="175"/>
      <c r="AG1368" s="175"/>
      <c r="AH1368" s="175"/>
    </row>
    <row r="1369" spans="1:34">
      <c r="A1369" s="95" t="s">
        <v>447</v>
      </c>
      <c r="B1369" s="95" t="s">
        <v>448</v>
      </c>
      <c r="C1369" s="190">
        <v>46204</v>
      </c>
      <c r="D1369" s="42">
        <v>0.375</v>
      </c>
      <c r="E1369" s="193"/>
      <c r="F1369" s="8" t="s">
        <v>431</v>
      </c>
      <c r="G1369" s="2">
        <v>1</v>
      </c>
      <c r="H1369" s="2">
        <v>9</v>
      </c>
      <c r="I1369" s="126">
        <v>400</v>
      </c>
      <c r="J1369" s="2" t="s">
        <v>766</v>
      </c>
      <c r="K1369" s="109" t="s">
        <v>602</v>
      </c>
      <c r="L1369" s="194">
        <v>20000</v>
      </c>
      <c r="M1369" s="194">
        <v>15</v>
      </c>
      <c r="N1369" s="39" t="s">
        <v>61</v>
      </c>
      <c r="O1369" s="39" t="s">
        <v>49</v>
      </c>
      <c r="P1369" s="214" t="s">
        <v>228</v>
      </c>
      <c r="Q1369" s="19">
        <v>50</v>
      </c>
      <c r="R1369" s="15">
        <f>Q1369/I1369</f>
        <v>0.125</v>
      </c>
      <c r="S1369" s="5">
        <f>($AC1369*$AD1369)/(($Z1369/$Y1369)+($AA1369/$Z1369)+($AB1369/$AA1369))</f>
        <v>32.398753894080997</v>
      </c>
      <c r="U1369" s="109" t="s">
        <v>129</v>
      </c>
      <c r="V1369" s="2" t="s">
        <v>741</v>
      </c>
      <c r="W1369" s="116" t="s">
        <v>749</v>
      </c>
      <c r="Y1369" s="2">
        <v>2</v>
      </c>
      <c r="Z1369" s="2">
        <v>5</v>
      </c>
      <c r="AA1369" s="2">
        <v>13</v>
      </c>
      <c r="AB1369" s="2">
        <v>30</v>
      </c>
      <c r="AC1369" s="2">
        <v>16</v>
      </c>
      <c r="AD1369" s="2">
        <v>15</v>
      </c>
      <c r="AE1369" s="2">
        <f>AC1369*AD1369</f>
        <v>240</v>
      </c>
      <c r="AF1369" s="2">
        <f>Z1369/Y1369</f>
        <v>2.5</v>
      </c>
      <c r="AG1369" s="2">
        <f>AA1369/Z1369</f>
        <v>2.6</v>
      </c>
      <c r="AH1369" s="2">
        <f>AB1369/AA1369</f>
        <v>2.3076923076923075</v>
      </c>
    </row>
    <row r="1370" spans="1:34">
      <c r="A1370" s="165" t="s">
        <v>1383</v>
      </c>
      <c r="B1370" s="39" t="s">
        <v>63</v>
      </c>
      <c r="C1370" s="41">
        <v>46204</v>
      </c>
      <c r="D1370" s="144">
        <v>0.41666666666666669</v>
      </c>
      <c r="E1370" s="193"/>
      <c r="F1370" s="8" t="s">
        <v>918</v>
      </c>
      <c r="G1370" s="2">
        <v>1</v>
      </c>
      <c r="H1370" s="2">
        <v>9</v>
      </c>
      <c r="I1370" s="81">
        <v>585</v>
      </c>
      <c r="J1370" s="2" t="s">
        <v>766</v>
      </c>
      <c r="K1370" s="88" t="s">
        <v>770</v>
      </c>
      <c r="L1370" s="92">
        <v>10000</v>
      </c>
      <c r="M1370" s="69">
        <v>20</v>
      </c>
      <c r="N1370" s="132" t="s">
        <v>821</v>
      </c>
      <c r="O1370" s="39" t="s">
        <v>49</v>
      </c>
      <c r="P1370" s="130"/>
      <c r="Q1370" s="19">
        <v>85</v>
      </c>
      <c r="R1370" s="59">
        <f>Q1370/I1370</f>
        <v>0.14529914529914531</v>
      </c>
      <c r="S1370" s="5">
        <v>20</v>
      </c>
      <c r="U1370" s="109" t="s">
        <v>767</v>
      </c>
      <c r="V1370" s="83" t="s">
        <v>362</v>
      </c>
      <c r="W1370" s="8" t="s">
        <v>386</v>
      </c>
      <c r="Y1370" s="175"/>
      <c r="Z1370" s="175"/>
      <c r="AA1370" s="175"/>
      <c r="AB1370" s="175"/>
      <c r="AC1370" s="175"/>
      <c r="AD1370" s="175"/>
      <c r="AE1370" s="175"/>
      <c r="AF1370" s="175"/>
      <c r="AG1370" s="175"/>
      <c r="AH1370" s="175"/>
    </row>
    <row r="1371" spans="1:34">
      <c r="A1371" s="96" t="s">
        <v>461</v>
      </c>
      <c r="B1371" s="96" t="s">
        <v>462</v>
      </c>
      <c r="C1371" s="41">
        <v>46204</v>
      </c>
      <c r="D1371" s="42">
        <v>0.4236111111111111</v>
      </c>
      <c r="E1371" s="193"/>
      <c r="F1371" s="8" t="s">
        <v>471</v>
      </c>
      <c r="G1371" s="2">
        <v>2</v>
      </c>
      <c r="I1371" s="125">
        <v>300</v>
      </c>
      <c r="J1371" s="2" t="s">
        <v>766</v>
      </c>
      <c r="K1371" s="109" t="s">
        <v>598</v>
      </c>
      <c r="L1371" s="8">
        <v>30000</v>
      </c>
      <c r="M1371" s="202">
        <v>30</v>
      </c>
      <c r="N1371" s="39" t="s">
        <v>48</v>
      </c>
      <c r="O1371" s="39" t="s">
        <v>49</v>
      </c>
      <c r="P1371" s="211" t="s">
        <v>842</v>
      </c>
      <c r="Q1371" s="19">
        <v>65</v>
      </c>
      <c r="R1371" s="15">
        <f>Q1371/I1371</f>
        <v>0.21666666666666667</v>
      </c>
      <c r="S1371" s="5">
        <f>($AC1371*$AD1371)/(($Z1371/$Y1371)+($AA1371/$Z1371)+($AB1371/$AA1371))</f>
        <v>53.333333333333336</v>
      </c>
      <c r="U1371" s="109" t="s">
        <v>767</v>
      </c>
      <c r="V1371" s="205" t="s">
        <v>735</v>
      </c>
      <c r="W1371" s="205"/>
      <c r="Y1371" s="2">
        <v>2</v>
      </c>
      <c r="Z1371" s="2">
        <v>5</v>
      </c>
      <c r="AA1371" s="2">
        <v>20</v>
      </c>
      <c r="AB1371" s="2">
        <v>50</v>
      </c>
      <c r="AC1371" s="2">
        <v>16</v>
      </c>
      <c r="AD1371" s="2">
        <v>30</v>
      </c>
      <c r="AE1371" s="2">
        <f>AC1371*AD1371</f>
        <v>480</v>
      </c>
      <c r="AF1371" s="2">
        <f>Z1371/Y1371</f>
        <v>2.5</v>
      </c>
      <c r="AG1371" s="2">
        <f>AA1371/Z1371</f>
        <v>4</v>
      </c>
      <c r="AH1371" s="2">
        <f>AB1371/AA1371</f>
        <v>2.5</v>
      </c>
    </row>
    <row r="1372" spans="1:34">
      <c r="A1372" s="68" t="s">
        <v>357</v>
      </c>
      <c r="B1372" s="68" t="s">
        <v>358</v>
      </c>
      <c r="C1372" s="191">
        <v>46204</v>
      </c>
      <c r="D1372" s="42">
        <v>0.4236111111111111</v>
      </c>
      <c r="E1372" s="8">
        <v>74</v>
      </c>
      <c r="F1372" s="63" t="s">
        <v>693</v>
      </c>
      <c r="G1372" s="2">
        <v>2</v>
      </c>
      <c r="H1372" s="2">
        <v>9</v>
      </c>
      <c r="I1372" s="126">
        <v>800</v>
      </c>
      <c r="J1372" s="2" t="s">
        <v>766</v>
      </c>
      <c r="K1372" s="137" t="s">
        <v>603</v>
      </c>
      <c r="L1372" s="92">
        <v>40000</v>
      </c>
      <c r="M1372" s="69">
        <v>40</v>
      </c>
      <c r="N1372" s="39" t="s">
        <v>48</v>
      </c>
      <c r="O1372" s="39" t="s">
        <v>49</v>
      </c>
      <c r="P1372" s="211" t="s">
        <v>843</v>
      </c>
      <c r="Q1372" s="19">
        <v>110</v>
      </c>
      <c r="R1372" s="15">
        <f>Q1372/I1372</f>
        <v>0.13750000000000001</v>
      </c>
      <c r="S1372" s="5">
        <f>($AC1372*$AD1372)/(($Z1372/$Y1372)+($AA1372/$Z1372)+($AB1372/$AA1372))</f>
        <v>102.59605399792316</v>
      </c>
      <c r="U1372" s="109" t="s">
        <v>767</v>
      </c>
      <c r="V1372" s="2" t="s">
        <v>689</v>
      </c>
      <c r="Y1372" s="2">
        <v>2</v>
      </c>
      <c r="Z1372" s="2">
        <v>5</v>
      </c>
      <c r="AA1372" s="2">
        <v>13</v>
      </c>
      <c r="AB1372" s="2">
        <v>30</v>
      </c>
      <c r="AC1372" s="2">
        <v>40</v>
      </c>
      <c r="AD1372" s="2">
        <v>19</v>
      </c>
      <c r="AE1372" s="2">
        <f>AC1372*AD1372</f>
        <v>760</v>
      </c>
      <c r="AF1372" s="2">
        <f>Z1372/Y1372</f>
        <v>2.5</v>
      </c>
      <c r="AG1372" s="2">
        <f>AA1372/Z1372</f>
        <v>2.6</v>
      </c>
      <c r="AH1372" s="2">
        <f>AB1372/AA1372</f>
        <v>2.3076923076923075</v>
      </c>
    </row>
    <row r="1373" spans="1:34">
      <c r="A1373" s="165" t="s">
        <v>1383</v>
      </c>
      <c r="B1373" s="36" t="s">
        <v>63</v>
      </c>
      <c r="C1373" s="41">
        <v>46204</v>
      </c>
      <c r="D1373" s="144">
        <v>0.45833333333333331</v>
      </c>
      <c r="E1373" s="14">
        <v>72</v>
      </c>
      <c r="F1373" s="8" t="s">
        <v>1113</v>
      </c>
      <c r="G1373" s="2">
        <v>3</v>
      </c>
      <c r="H1373" s="2">
        <v>9</v>
      </c>
      <c r="I1373" s="45">
        <v>1000</v>
      </c>
      <c r="J1373" s="2" t="s">
        <v>110</v>
      </c>
      <c r="K1373" s="109" t="s">
        <v>601</v>
      </c>
      <c r="L1373" s="89">
        <v>60000</v>
      </c>
      <c r="M1373" s="54">
        <v>30</v>
      </c>
      <c r="N1373" s="39" t="s">
        <v>48</v>
      </c>
      <c r="O1373" s="39" t="s">
        <v>49</v>
      </c>
      <c r="P1373" s="130"/>
      <c r="Q1373" s="19">
        <f>R1373*I1373</f>
        <v>120</v>
      </c>
      <c r="R1373" s="15">
        <v>0.12</v>
      </c>
      <c r="S1373" s="5">
        <f>($AC1373*$AD1373)/(($Z1373/$Y1373)+($AA1373/$Z1373)+($AB1373/$AA1373))</f>
        <v>85.046728971962622</v>
      </c>
      <c r="U1373" s="109" t="s">
        <v>767</v>
      </c>
      <c r="V1373" s="2" t="s">
        <v>121</v>
      </c>
      <c r="Y1373" s="2">
        <v>2</v>
      </c>
      <c r="Z1373" s="2">
        <v>5</v>
      </c>
      <c r="AA1373" s="2">
        <v>13</v>
      </c>
      <c r="AB1373" s="2">
        <v>30</v>
      </c>
      <c r="AC1373" s="2">
        <v>30</v>
      </c>
      <c r="AD1373" s="2">
        <v>21</v>
      </c>
      <c r="AE1373" s="2">
        <f>AC1373*AD1373</f>
        <v>630</v>
      </c>
      <c r="AF1373" s="2">
        <f>Z1373/Y1373</f>
        <v>2.5</v>
      </c>
      <c r="AG1373" s="2">
        <f>AA1373/Z1373</f>
        <v>2.6</v>
      </c>
      <c r="AH1373" s="2">
        <f>AB1373/AA1373</f>
        <v>2.3076923076923075</v>
      </c>
    </row>
    <row r="1374" spans="1:34">
      <c r="A1374" s="102" t="s">
        <v>475</v>
      </c>
      <c r="B1374" s="102" t="s">
        <v>476</v>
      </c>
      <c r="C1374" s="190">
        <v>46204</v>
      </c>
      <c r="D1374" s="42">
        <v>0.45833333333333331</v>
      </c>
      <c r="E1374" s="8">
        <v>38</v>
      </c>
      <c r="F1374" s="8" t="s">
        <v>525</v>
      </c>
      <c r="G1374" s="2">
        <v>1</v>
      </c>
      <c r="H1374" s="2">
        <v>8</v>
      </c>
      <c r="I1374" s="126">
        <v>600</v>
      </c>
      <c r="J1374" s="2" t="s">
        <v>766</v>
      </c>
      <c r="K1374" s="109" t="s">
        <v>602</v>
      </c>
      <c r="L1374" s="201">
        <v>30000</v>
      </c>
      <c r="M1374" s="203">
        <v>30</v>
      </c>
      <c r="N1374" s="39" t="s">
        <v>48</v>
      </c>
      <c r="O1374" s="39" t="s">
        <v>537</v>
      </c>
      <c r="P1374" s="197">
        <v>40000</v>
      </c>
      <c r="Q1374" s="2">
        <v>80</v>
      </c>
      <c r="R1374" s="15">
        <f>Q1374/I1374</f>
        <v>0.13333333333333333</v>
      </c>
      <c r="S1374" s="149" t="s">
        <v>110</v>
      </c>
      <c r="T1374" s="149"/>
      <c r="U1374" s="109" t="s">
        <v>767</v>
      </c>
      <c r="V1374" s="2" t="s">
        <v>619</v>
      </c>
      <c r="AE1374" s="2">
        <f>AC1374*AD1374</f>
        <v>0</v>
      </c>
      <c r="AF1374" s="2" t="e">
        <f>Z1374/Y1374</f>
        <v>#DIV/0!</v>
      </c>
      <c r="AG1374" s="2" t="e">
        <f>AA1374/Z1374</f>
        <v>#DIV/0!</v>
      </c>
      <c r="AH1374" s="2" t="e">
        <f>AB1374/AA1374</f>
        <v>#DIV/0!</v>
      </c>
    </row>
    <row r="1375" spans="1:34">
      <c r="A1375" s="52" t="s">
        <v>229</v>
      </c>
      <c r="B1375" s="52" t="s">
        <v>230</v>
      </c>
      <c r="C1375" s="41">
        <v>46204</v>
      </c>
      <c r="D1375" s="42">
        <v>0.45833333333333331</v>
      </c>
      <c r="E1375" s="193"/>
      <c r="F1375" s="8" t="s">
        <v>231</v>
      </c>
      <c r="G1375" s="2">
        <v>2</v>
      </c>
      <c r="I1375" s="45">
        <v>600</v>
      </c>
      <c r="J1375" s="2" t="s">
        <v>766</v>
      </c>
      <c r="K1375" s="88" t="s">
        <v>784</v>
      </c>
      <c r="L1375" s="92">
        <v>40000</v>
      </c>
      <c r="M1375" s="55" t="s">
        <v>22</v>
      </c>
      <c r="N1375" s="39" t="s">
        <v>48</v>
      </c>
      <c r="O1375" s="39" t="s">
        <v>49</v>
      </c>
      <c r="P1375" s="211" t="s">
        <v>843</v>
      </c>
      <c r="Q1375" s="19">
        <v>80</v>
      </c>
      <c r="R1375" s="15">
        <f>IF(Q1375&gt;0,Q1375/I1375,"")</f>
        <v>0.13333333333333333</v>
      </c>
      <c r="S1375" s="5">
        <f>($AC1375*$AD1375)/(($Z1375/$Y1375)+($AA1375/$Z1375)+($AB1375/$AA1375))</f>
        <v>76.947040498442377</v>
      </c>
      <c r="U1375" s="109" t="s">
        <v>767</v>
      </c>
      <c r="V1375" s="205" t="s">
        <v>719</v>
      </c>
      <c r="W1375" s="205"/>
      <c r="Y1375" s="2">
        <v>2</v>
      </c>
      <c r="Z1375" s="2">
        <v>5</v>
      </c>
      <c r="AA1375" s="2">
        <v>13</v>
      </c>
      <c r="AB1375" s="2">
        <v>30</v>
      </c>
      <c r="AC1375" s="2">
        <v>30</v>
      </c>
      <c r="AD1375" s="2">
        <v>19</v>
      </c>
      <c r="AE1375" s="2">
        <f>AC1375*AD1375</f>
        <v>570</v>
      </c>
      <c r="AF1375" s="2">
        <f>Z1375/Y1375</f>
        <v>2.5</v>
      </c>
      <c r="AG1375" s="2">
        <f>AA1375/Z1375</f>
        <v>2.6</v>
      </c>
      <c r="AH1375" s="2">
        <f>AB1375/AA1375</f>
        <v>2.3076923076923075</v>
      </c>
    </row>
    <row r="1376" spans="1:34">
      <c r="A1376" s="95" t="s">
        <v>447</v>
      </c>
      <c r="B1376" s="95" t="s">
        <v>448</v>
      </c>
      <c r="C1376" s="190">
        <v>46204</v>
      </c>
      <c r="D1376" s="42">
        <v>0.5</v>
      </c>
      <c r="E1376" s="193"/>
      <c r="F1376" s="8" t="s">
        <v>444</v>
      </c>
      <c r="G1376" s="2">
        <v>3</v>
      </c>
      <c r="H1376" s="2">
        <v>9</v>
      </c>
      <c r="I1376" s="126">
        <v>3500</v>
      </c>
      <c r="J1376" s="2" t="s">
        <v>766</v>
      </c>
      <c r="K1376" s="109" t="s">
        <v>815</v>
      </c>
      <c r="L1376" s="194">
        <v>50000</v>
      </c>
      <c r="M1376" s="194" t="s">
        <v>742</v>
      </c>
      <c r="N1376" s="39" t="s">
        <v>48</v>
      </c>
      <c r="O1376" s="39" t="s">
        <v>49</v>
      </c>
      <c r="P1376" s="211" t="s">
        <v>844</v>
      </c>
      <c r="Q1376" s="19">
        <v>300</v>
      </c>
      <c r="R1376" s="15">
        <f>Q1376/I1376</f>
        <v>8.5714285714285715E-2</v>
      </c>
      <c r="S1376" s="5">
        <f>($AC1376*$AD1376)/(($Z1376/$Y1376)+($AA1376/$Z1376)+($AB1376/$AA1376))</f>
        <v>134.99480789200416</v>
      </c>
      <c r="U1376" s="109" t="s">
        <v>767</v>
      </c>
      <c r="V1376" s="2" t="s">
        <v>741</v>
      </c>
      <c r="W1376" s="250" t="s">
        <v>743</v>
      </c>
      <c r="Y1376" s="2">
        <v>2</v>
      </c>
      <c r="Z1376" s="2">
        <v>5</v>
      </c>
      <c r="AA1376" s="2">
        <v>13</v>
      </c>
      <c r="AB1376" s="2">
        <v>30</v>
      </c>
      <c r="AC1376" s="2">
        <v>20</v>
      </c>
      <c r="AD1376" s="2">
        <v>50</v>
      </c>
      <c r="AE1376" s="2">
        <f>AC1376*AD1376</f>
        <v>1000</v>
      </c>
      <c r="AF1376" s="2">
        <f>Z1376/Y1376</f>
        <v>2.5</v>
      </c>
      <c r="AG1376" s="2">
        <f>AA1376/Z1376</f>
        <v>2.6</v>
      </c>
      <c r="AH1376" s="2">
        <f>AB1376/AA1376</f>
        <v>2.3076923076923075</v>
      </c>
    </row>
    <row r="1377" spans="1:34">
      <c r="A1377" s="102" t="s">
        <v>475</v>
      </c>
      <c r="B1377" s="102" t="s">
        <v>476</v>
      </c>
      <c r="C1377" s="47">
        <v>46204</v>
      </c>
      <c r="D1377" s="42">
        <v>0.5</v>
      </c>
      <c r="E1377" s="8">
        <v>37</v>
      </c>
      <c r="F1377" s="8" t="s">
        <v>1343</v>
      </c>
      <c r="G1377" s="2">
        <v>2</v>
      </c>
      <c r="H1377" s="2">
        <v>9</v>
      </c>
      <c r="I1377" s="126">
        <v>400</v>
      </c>
      <c r="J1377" s="2" t="s">
        <v>766</v>
      </c>
      <c r="K1377" s="109" t="s">
        <v>601</v>
      </c>
      <c r="L1377" s="201">
        <v>30000</v>
      </c>
      <c r="M1377" s="203">
        <v>30</v>
      </c>
      <c r="N1377" s="39" t="s">
        <v>48</v>
      </c>
      <c r="O1377" s="39" t="s">
        <v>49</v>
      </c>
      <c r="P1377" s="140" t="s">
        <v>838</v>
      </c>
      <c r="Q1377" s="19">
        <v>70</v>
      </c>
      <c r="R1377" s="15">
        <f>Q1377/I1377</f>
        <v>0.17499999999999999</v>
      </c>
      <c r="S1377" s="5">
        <f>($AC1377*$AD1377)/(($Z1377/$Y1377)+($AA1377/$Z1377)+($AB1377/$AA1377))</f>
        <v>72.897196261682254</v>
      </c>
      <c r="U1377" s="109" t="s">
        <v>767</v>
      </c>
      <c r="V1377" s="205" t="s">
        <v>620</v>
      </c>
      <c r="W1377" s="205"/>
      <c r="Y1377" s="2">
        <v>2</v>
      </c>
      <c r="Z1377" s="2">
        <v>5</v>
      </c>
      <c r="AA1377" s="2">
        <v>13</v>
      </c>
      <c r="AB1377" s="2">
        <v>30</v>
      </c>
      <c r="AC1377" s="2">
        <v>30</v>
      </c>
      <c r="AD1377" s="2">
        <v>18</v>
      </c>
      <c r="AE1377" s="2">
        <f>AC1377*AD1377</f>
        <v>540</v>
      </c>
      <c r="AF1377" s="2">
        <f>Z1377/Y1377</f>
        <v>2.5</v>
      </c>
      <c r="AG1377" s="2">
        <f>AA1377/Z1377</f>
        <v>2.6</v>
      </c>
      <c r="AH1377" s="2">
        <f>AB1377/AA1377</f>
        <v>2.3076923076923075</v>
      </c>
    </row>
    <row r="1378" spans="1:34">
      <c r="A1378" s="68" t="s">
        <v>357</v>
      </c>
      <c r="B1378" s="68" t="s">
        <v>358</v>
      </c>
      <c r="C1378" s="191">
        <v>46204</v>
      </c>
      <c r="D1378" s="42">
        <v>0.5</v>
      </c>
      <c r="E1378" s="8">
        <v>76</v>
      </c>
      <c r="F1378" s="63" t="s">
        <v>1373</v>
      </c>
      <c r="G1378" s="2">
        <v>3</v>
      </c>
      <c r="H1378" s="2">
        <v>9</v>
      </c>
      <c r="I1378" s="126">
        <v>2500</v>
      </c>
      <c r="J1378" s="2" t="s">
        <v>766</v>
      </c>
      <c r="K1378" s="137" t="s">
        <v>815</v>
      </c>
      <c r="L1378" s="92">
        <v>50000</v>
      </c>
      <c r="M1378" s="69">
        <v>50</v>
      </c>
      <c r="N1378" s="39" t="s">
        <v>48</v>
      </c>
      <c r="O1378" s="39" t="s">
        <v>49</v>
      </c>
      <c r="P1378" s="140" t="s">
        <v>839</v>
      </c>
      <c r="Q1378" s="19">
        <v>200</v>
      </c>
      <c r="R1378" s="15">
        <f>Q1378/I1378</f>
        <v>0.08</v>
      </c>
      <c r="S1378" s="5">
        <f>($AC1378*$AD1378)/(($Z1378/$Y1378)+($AA1378/$Z1378)+($AB1378/$AA1378))</f>
        <v>134.99480789200416</v>
      </c>
      <c r="U1378" s="109" t="s">
        <v>125</v>
      </c>
      <c r="V1378" s="2" t="s">
        <v>695</v>
      </c>
      <c r="W1378" s="205"/>
      <c r="Y1378" s="2">
        <v>2</v>
      </c>
      <c r="Z1378" s="2">
        <v>5</v>
      </c>
      <c r="AA1378" s="2">
        <v>13</v>
      </c>
      <c r="AB1378" s="2">
        <v>30</v>
      </c>
      <c r="AC1378" s="2">
        <v>50</v>
      </c>
      <c r="AD1378" s="2">
        <v>20</v>
      </c>
      <c r="AE1378" s="2">
        <f>AC1378*AD1378</f>
        <v>1000</v>
      </c>
      <c r="AF1378" s="2">
        <f>Z1378/Y1378</f>
        <v>2.5</v>
      </c>
      <c r="AG1378" s="2">
        <f>AA1378/Z1378</f>
        <v>2.6</v>
      </c>
      <c r="AH1378" s="2">
        <f>AB1378/AA1378</f>
        <v>2.3076923076923075</v>
      </c>
    </row>
    <row r="1379" spans="1:34">
      <c r="A1379" s="52" t="s">
        <v>220</v>
      </c>
      <c r="B1379" s="52" t="s">
        <v>221</v>
      </c>
      <c r="C1379" s="191">
        <v>46204</v>
      </c>
      <c r="D1379" s="42">
        <v>0.5</v>
      </c>
      <c r="E1379" s="193"/>
      <c r="F1379" s="8" t="s">
        <v>1053</v>
      </c>
      <c r="G1379" s="2">
        <v>1</v>
      </c>
      <c r="H1379" s="2">
        <v>9</v>
      </c>
      <c r="I1379" s="126">
        <v>1100</v>
      </c>
      <c r="J1379" s="2" t="s">
        <v>766</v>
      </c>
      <c r="K1379" s="88" t="s">
        <v>780</v>
      </c>
      <c r="L1379" s="91">
        <v>30000</v>
      </c>
      <c r="M1379" s="203">
        <v>30</v>
      </c>
      <c r="N1379" s="39" t="s">
        <v>48</v>
      </c>
      <c r="O1379" s="39" t="s">
        <v>49</v>
      </c>
      <c r="P1379" s="211" t="s">
        <v>841</v>
      </c>
      <c r="Q1379" s="19">
        <v>125</v>
      </c>
      <c r="R1379" s="15">
        <f>Q1379/I1379</f>
        <v>0.11363636363636363</v>
      </c>
      <c r="S1379" s="5">
        <f>($AC1379*$AD1379)/(($Z1379/$Y1379)+($AA1379/$Z1379)+($AB1379/$AA1379))</f>
        <v>62.448979591836739</v>
      </c>
      <c r="U1379" s="109" t="s">
        <v>767</v>
      </c>
      <c r="V1379" s="2" t="s">
        <v>738</v>
      </c>
      <c r="W1379" s="205"/>
      <c r="Y1379" s="2">
        <v>2</v>
      </c>
      <c r="Z1379" s="2">
        <v>5</v>
      </c>
      <c r="AA1379" s="2">
        <v>15</v>
      </c>
      <c r="AB1379" s="2">
        <v>40</v>
      </c>
      <c r="AC1379" s="2">
        <v>17</v>
      </c>
      <c r="AD1379" s="2">
        <v>30</v>
      </c>
      <c r="AE1379" s="2">
        <f>AC1379*AD1379</f>
        <v>510</v>
      </c>
      <c r="AF1379" s="2">
        <f>Z1379/Y1379</f>
        <v>2.5</v>
      </c>
      <c r="AG1379" s="2">
        <f>AA1379/Z1379</f>
        <v>3</v>
      </c>
      <c r="AH1379" s="2">
        <f>AB1379/AA1379</f>
        <v>2.6666666666666665</v>
      </c>
    </row>
    <row r="1380" spans="1:34">
      <c r="A1380" s="165" t="s">
        <v>1383</v>
      </c>
      <c r="B1380" s="36" t="s">
        <v>63</v>
      </c>
      <c r="C1380" s="41">
        <v>46204</v>
      </c>
      <c r="D1380" s="144">
        <v>0.54166666666666663</v>
      </c>
      <c r="E1380" s="8">
        <v>77</v>
      </c>
      <c r="F1380" s="8" t="s">
        <v>1166</v>
      </c>
      <c r="G1380" s="2">
        <v>3</v>
      </c>
      <c r="H1380" s="2">
        <v>9</v>
      </c>
      <c r="I1380" s="45">
        <v>2500</v>
      </c>
      <c r="J1380" s="2" t="s">
        <v>760</v>
      </c>
      <c r="K1380" s="109" t="s">
        <v>602</v>
      </c>
      <c r="L1380" s="92">
        <v>35000</v>
      </c>
      <c r="M1380" s="69" t="s">
        <v>97</v>
      </c>
      <c r="N1380" s="39" t="s">
        <v>48</v>
      </c>
      <c r="O1380" s="39" t="s">
        <v>860</v>
      </c>
      <c r="P1380" s="66"/>
      <c r="Q1380" s="38">
        <f>R1380*I1380</f>
        <v>275</v>
      </c>
      <c r="R1380" s="15">
        <v>0.11</v>
      </c>
      <c r="S1380" s="149" t="s">
        <v>110</v>
      </c>
      <c r="T1380" s="149"/>
      <c r="U1380" s="109" t="s">
        <v>767</v>
      </c>
      <c r="V1380" s="2" t="s">
        <v>121</v>
      </c>
      <c r="W1380" s="205"/>
      <c r="AE1380" s="2">
        <f>AC1380*AD1380</f>
        <v>0</v>
      </c>
      <c r="AF1380" s="2" t="e">
        <f>Z1380/Y1380</f>
        <v>#DIV/0!</v>
      </c>
      <c r="AG1380" s="2" t="e">
        <f>AA1380/Z1380</f>
        <v>#DIV/0!</v>
      </c>
      <c r="AH1380" s="2" t="e">
        <f>AB1380/AA1380</f>
        <v>#DIV/0!</v>
      </c>
    </row>
    <row r="1381" spans="1:34">
      <c r="A1381" s="165" t="s">
        <v>1383</v>
      </c>
      <c r="B1381" s="39" t="s">
        <v>63</v>
      </c>
      <c r="C1381" s="41">
        <v>46204</v>
      </c>
      <c r="D1381" s="144">
        <v>0.54166666666666663</v>
      </c>
      <c r="E1381" s="8"/>
      <c r="F1381" s="8" t="s">
        <v>881</v>
      </c>
      <c r="G1381" s="2">
        <v>1</v>
      </c>
      <c r="H1381" s="2">
        <v>9</v>
      </c>
      <c r="I1381" s="45">
        <v>250</v>
      </c>
      <c r="J1381" s="2" t="s">
        <v>766</v>
      </c>
      <c r="K1381" s="88" t="s">
        <v>787</v>
      </c>
      <c r="L1381" s="92">
        <v>25000</v>
      </c>
      <c r="M1381" s="10">
        <v>30</v>
      </c>
      <c r="N1381" s="39" t="s">
        <v>817</v>
      </c>
      <c r="O1381" s="39" t="s">
        <v>49</v>
      </c>
      <c r="P1381" s="130"/>
      <c r="Q1381" s="19">
        <v>50</v>
      </c>
      <c r="R1381" s="15">
        <f>Q1381/I1381</f>
        <v>0.2</v>
      </c>
      <c r="S1381" s="5">
        <v>44</v>
      </c>
      <c r="U1381" s="109" t="s">
        <v>767</v>
      </c>
      <c r="V1381" s="71" t="s">
        <v>360</v>
      </c>
      <c r="Y1381" s="175"/>
      <c r="Z1381" s="175"/>
      <c r="AA1381" s="175"/>
      <c r="AB1381" s="175"/>
      <c r="AC1381" s="175"/>
      <c r="AD1381" s="175"/>
      <c r="AE1381" s="175"/>
      <c r="AF1381" s="175"/>
      <c r="AG1381" s="175"/>
      <c r="AH1381" s="175"/>
    </row>
    <row r="1382" spans="1:34">
      <c r="A1382" s="165" t="s">
        <v>1383</v>
      </c>
      <c r="B1382" s="39" t="s">
        <v>63</v>
      </c>
      <c r="C1382" s="41">
        <v>46204</v>
      </c>
      <c r="D1382" s="144">
        <v>0.54166666666666663</v>
      </c>
      <c r="F1382" s="8" t="s">
        <v>906</v>
      </c>
      <c r="G1382" s="2">
        <v>1</v>
      </c>
      <c r="H1382" s="2">
        <v>9</v>
      </c>
      <c r="I1382" s="45">
        <v>1100</v>
      </c>
      <c r="J1382" s="2" t="s">
        <v>766</v>
      </c>
      <c r="K1382" s="88" t="s">
        <v>776</v>
      </c>
      <c r="L1382" s="92">
        <v>15000</v>
      </c>
      <c r="M1382" s="82" t="s">
        <v>128</v>
      </c>
      <c r="N1382" s="132" t="s">
        <v>821</v>
      </c>
      <c r="O1382" s="39" t="s">
        <v>49</v>
      </c>
      <c r="P1382" s="130"/>
      <c r="Q1382" s="19">
        <f>88+37</f>
        <v>125</v>
      </c>
      <c r="R1382" s="15">
        <f>Q1382/I1382</f>
        <v>0.11363636363636363</v>
      </c>
      <c r="S1382" s="5">
        <v>24</v>
      </c>
      <c r="U1382" s="109" t="s">
        <v>767</v>
      </c>
      <c r="V1382" s="71" t="s">
        <v>362</v>
      </c>
      <c r="W1382" s="8" t="s">
        <v>370</v>
      </c>
      <c r="Y1382" s="175"/>
      <c r="Z1382" s="175"/>
      <c r="AA1382" s="175"/>
      <c r="AB1382" s="175"/>
      <c r="AC1382" s="175"/>
      <c r="AD1382" s="175"/>
      <c r="AE1382" s="175"/>
      <c r="AF1382" s="175"/>
      <c r="AG1382" s="175"/>
      <c r="AH1382" s="175"/>
    </row>
    <row r="1383" spans="1:34">
      <c r="A1383" s="52" t="s">
        <v>220</v>
      </c>
      <c r="B1383" s="52" t="s">
        <v>221</v>
      </c>
      <c r="C1383" s="51">
        <v>46204</v>
      </c>
      <c r="D1383" s="42">
        <v>0.54166666666666663</v>
      </c>
      <c r="E1383" s="193"/>
      <c r="F1383" s="8" t="s">
        <v>1069</v>
      </c>
      <c r="G1383" s="2">
        <v>2</v>
      </c>
      <c r="H1383" s="2">
        <v>8</v>
      </c>
      <c r="I1383" s="126">
        <v>3000</v>
      </c>
      <c r="J1383" s="2" t="s">
        <v>766</v>
      </c>
      <c r="K1383" s="88" t="s">
        <v>798</v>
      </c>
      <c r="L1383" s="91">
        <v>40000</v>
      </c>
      <c r="M1383" s="203">
        <v>40</v>
      </c>
      <c r="N1383" s="39" t="s">
        <v>48</v>
      </c>
      <c r="O1383" s="39" t="s">
        <v>57</v>
      </c>
      <c r="P1383" s="53">
        <v>2000000</v>
      </c>
      <c r="Q1383" s="2">
        <v>280</v>
      </c>
      <c r="R1383" s="15">
        <f>Q1383/I1383</f>
        <v>9.3333333333333338E-2</v>
      </c>
      <c r="S1383" s="149" t="s">
        <v>110</v>
      </c>
      <c r="T1383" s="149"/>
      <c r="U1383" s="109" t="s">
        <v>219</v>
      </c>
      <c r="V1383" s="205" t="s">
        <v>738</v>
      </c>
      <c r="Y1383" s="70"/>
      <c r="Z1383" s="70"/>
      <c r="AA1383" s="70"/>
      <c r="AB1383" s="70"/>
      <c r="AC1383" s="70"/>
      <c r="AD1383" s="70"/>
      <c r="AE1383" s="2">
        <f>AC1383*AD1383</f>
        <v>0</v>
      </c>
      <c r="AF1383" s="2" t="e">
        <f>Z1383/Y1383</f>
        <v>#DIV/0!</v>
      </c>
      <c r="AG1383" s="2" t="e">
        <f>AA1383/Z1383</f>
        <v>#DIV/0!</v>
      </c>
      <c r="AH1383" s="2" t="e">
        <f>AB1383/AA1383</f>
        <v>#DIV/0!</v>
      </c>
    </row>
    <row r="1384" spans="1:34">
      <c r="A1384" s="165" t="s">
        <v>1383</v>
      </c>
      <c r="B1384" s="39" t="s">
        <v>63</v>
      </c>
      <c r="C1384" s="41">
        <v>46204</v>
      </c>
      <c r="D1384" s="144">
        <v>0.58333333333333337</v>
      </c>
      <c r="E1384" s="193"/>
      <c r="F1384" s="8" t="s">
        <v>913</v>
      </c>
      <c r="G1384" s="2">
        <v>1</v>
      </c>
      <c r="H1384" s="2">
        <v>9</v>
      </c>
      <c r="I1384" s="37">
        <v>260</v>
      </c>
      <c r="J1384" s="2" t="s">
        <v>766</v>
      </c>
      <c r="K1384" s="88" t="s">
        <v>776</v>
      </c>
      <c r="L1384" s="89">
        <v>10000</v>
      </c>
      <c r="M1384" s="202">
        <v>10</v>
      </c>
      <c r="N1384" s="132" t="s">
        <v>821</v>
      </c>
      <c r="O1384" s="39" t="s">
        <v>49</v>
      </c>
      <c r="P1384" s="210"/>
      <c r="Q1384" s="19">
        <v>40</v>
      </c>
      <c r="R1384" s="15">
        <f>Q1384/I1384</f>
        <v>0.15384615384615385</v>
      </c>
      <c r="S1384" s="5">
        <f>($AC1384*$AD1384)/(($Z1384/$Y1384)+($AA1384/$Z1384)+($AB1384/$AA1384))</f>
        <v>9.9248120300751879</v>
      </c>
      <c r="U1384" s="137" t="s">
        <v>129</v>
      </c>
      <c r="V1384" s="84" t="s">
        <v>362</v>
      </c>
      <c r="W1384" s="194" t="s">
        <v>387</v>
      </c>
      <c r="Y1384" s="2">
        <v>2</v>
      </c>
      <c r="Z1384" s="2">
        <v>7.5</v>
      </c>
      <c r="AA1384" s="2">
        <v>25</v>
      </c>
      <c r="AB1384" s="2">
        <v>100</v>
      </c>
      <c r="AC1384" s="2">
        <v>11</v>
      </c>
      <c r="AD1384" s="2">
        <v>10</v>
      </c>
      <c r="AE1384" s="2">
        <f>AC1384*AD1384</f>
        <v>110</v>
      </c>
      <c r="AF1384" s="2">
        <f>Z1384/Y1384</f>
        <v>3.75</v>
      </c>
      <c r="AG1384" s="2">
        <f>AA1384/Z1384</f>
        <v>3.3333333333333335</v>
      </c>
      <c r="AH1384" s="2">
        <f>AB1384/AA1384</f>
        <v>4</v>
      </c>
    </row>
    <row r="1385" spans="1:34">
      <c r="A1385" s="52" t="s">
        <v>220</v>
      </c>
      <c r="B1385" s="52" t="s">
        <v>221</v>
      </c>
      <c r="C1385" s="191">
        <v>46204</v>
      </c>
      <c r="D1385" s="42">
        <v>0.58333333333333337</v>
      </c>
      <c r="E1385" s="193"/>
      <c r="F1385" s="8" t="s">
        <v>1072</v>
      </c>
      <c r="G1385" s="2">
        <v>1</v>
      </c>
      <c r="H1385" s="2">
        <v>9</v>
      </c>
      <c r="I1385" s="126">
        <v>400</v>
      </c>
      <c r="J1385" s="2" t="s">
        <v>766</v>
      </c>
      <c r="K1385" s="88" t="s">
        <v>783</v>
      </c>
      <c r="L1385" s="91">
        <v>20000</v>
      </c>
      <c r="M1385" s="194">
        <v>20</v>
      </c>
      <c r="N1385" s="39" t="s">
        <v>61</v>
      </c>
      <c r="O1385" s="39" t="s">
        <v>57</v>
      </c>
      <c r="P1385" s="197" t="s">
        <v>225</v>
      </c>
      <c r="Q1385" s="2">
        <v>63</v>
      </c>
      <c r="R1385" s="15">
        <f>Q1385/I1385</f>
        <v>0.1575</v>
      </c>
      <c r="S1385" s="149" t="s">
        <v>110</v>
      </c>
      <c r="T1385" s="149"/>
      <c r="U1385" s="109" t="s">
        <v>767</v>
      </c>
      <c r="V1385" s="205" t="s">
        <v>738</v>
      </c>
      <c r="AE1385" s="2">
        <f>AC1385*AD1385</f>
        <v>0</v>
      </c>
      <c r="AF1385" s="2" t="e">
        <f>Z1385/Y1385</f>
        <v>#DIV/0!</v>
      </c>
      <c r="AG1385" s="2" t="e">
        <f>AA1385/Z1385</f>
        <v>#DIV/0!</v>
      </c>
      <c r="AH1385" s="2" t="e">
        <f>AB1385/AA1385</f>
        <v>#DIV/0!</v>
      </c>
    </row>
    <row r="1386" spans="1:34">
      <c r="A1386" s="165" t="s">
        <v>1383</v>
      </c>
      <c r="B1386" s="39" t="s">
        <v>63</v>
      </c>
      <c r="C1386" s="41">
        <v>46204</v>
      </c>
      <c r="D1386" s="144">
        <v>0.625</v>
      </c>
      <c r="E1386" s="8"/>
      <c r="F1386" s="8" t="s">
        <v>126</v>
      </c>
      <c r="G1386" s="2">
        <v>1</v>
      </c>
      <c r="I1386" s="45">
        <v>250</v>
      </c>
      <c r="J1386" s="2" t="s">
        <v>766</v>
      </c>
      <c r="K1386" s="88" t="s">
        <v>793</v>
      </c>
      <c r="L1386" s="92">
        <v>25000</v>
      </c>
      <c r="M1386" s="10">
        <v>30</v>
      </c>
      <c r="N1386" s="39" t="s">
        <v>822</v>
      </c>
      <c r="O1386" s="39" t="s">
        <v>57</v>
      </c>
      <c r="P1386" s="66"/>
      <c r="Q1386" s="2">
        <v>50</v>
      </c>
      <c r="R1386" s="15">
        <f>Q1386/I1386</f>
        <v>0.2</v>
      </c>
      <c r="S1386" s="149" t="s">
        <v>110</v>
      </c>
      <c r="T1386" s="149"/>
      <c r="U1386" s="109" t="s">
        <v>767</v>
      </c>
      <c r="V1386" s="71" t="s">
        <v>360</v>
      </c>
      <c r="AE1386" s="2">
        <f>AC1386*AD1386</f>
        <v>0</v>
      </c>
      <c r="AF1386" s="2" t="e">
        <f>Z1386/Y1386</f>
        <v>#DIV/0!</v>
      </c>
      <c r="AG1386" s="2" t="e">
        <f>AA1386/Z1386</f>
        <v>#DIV/0!</v>
      </c>
      <c r="AH1386" s="2" t="e">
        <f>AB1386/AA1386</f>
        <v>#DIV/0!</v>
      </c>
    </row>
    <row r="1387" spans="1:34">
      <c r="A1387" s="165" t="s">
        <v>1383</v>
      </c>
      <c r="B1387" s="39" t="s">
        <v>63</v>
      </c>
      <c r="C1387" s="41">
        <v>46204</v>
      </c>
      <c r="D1387" s="144">
        <v>0.625</v>
      </c>
      <c r="F1387" s="8" t="s">
        <v>912</v>
      </c>
      <c r="G1387" s="2">
        <v>1</v>
      </c>
      <c r="H1387" s="2">
        <v>9</v>
      </c>
      <c r="I1387" s="45">
        <v>240</v>
      </c>
      <c r="J1387" s="2" t="s">
        <v>766</v>
      </c>
      <c r="K1387" s="88" t="s">
        <v>784</v>
      </c>
      <c r="L1387" s="92">
        <v>10000</v>
      </c>
      <c r="M1387" s="69">
        <v>20</v>
      </c>
      <c r="N1387" s="132" t="s">
        <v>821</v>
      </c>
      <c r="O1387" s="39" t="s">
        <v>49</v>
      </c>
      <c r="P1387" s="130"/>
      <c r="Q1387" s="19">
        <v>40</v>
      </c>
      <c r="R1387" s="15">
        <v>0.16666666666666666</v>
      </c>
      <c r="S1387" s="5">
        <v>29</v>
      </c>
      <c r="U1387" s="109" t="s">
        <v>767</v>
      </c>
      <c r="V1387" s="71" t="s">
        <v>362</v>
      </c>
      <c r="W1387" s="8" t="s">
        <v>367</v>
      </c>
      <c r="Y1387" s="175"/>
      <c r="Z1387" s="175"/>
      <c r="AA1387" s="175"/>
      <c r="AB1387" s="175"/>
      <c r="AC1387" s="175"/>
      <c r="AD1387" s="175"/>
      <c r="AE1387" s="175"/>
      <c r="AF1387" s="175"/>
      <c r="AG1387" s="175"/>
      <c r="AH1387" s="175"/>
    </row>
    <row r="1388" spans="1:34">
      <c r="A1388" s="165" t="s">
        <v>1383</v>
      </c>
      <c r="B1388" s="39" t="s">
        <v>63</v>
      </c>
      <c r="C1388" s="41">
        <v>46204</v>
      </c>
      <c r="D1388" s="144">
        <v>0.66666666666666663</v>
      </c>
      <c r="E1388" s="8"/>
      <c r="F1388" s="8" t="s">
        <v>1024</v>
      </c>
      <c r="G1388" s="2">
        <v>1</v>
      </c>
      <c r="H1388" s="2">
        <v>9</v>
      </c>
      <c r="I1388" s="37">
        <v>400</v>
      </c>
      <c r="J1388" s="2" t="s">
        <v>766</v>
      </c>
      <c r="K1388" s="88" t="s">
        <v>794</v>
      </c>
      <c r="L1388" s="89">
        <v>30000</v>
      </c>
      <c r="M1388" s="205">
        <v>20</v>
      </c>
      <c r="N1388" s="39" t="s">
        <v>817</v>
      </c>
      <c r="O1388" s="39" t="s">
        <v>49</v>
      </c>
      <c r="Q1388" s="19">
        <v>70</v>
      </c>
      <c r="R1388" s="15">
        <f>Q1388/I1388</f>
        <v>0.17499999999999999</v>
      </c>
      <c r="S1388" s="5">
        <v>37</v>
      </c>
      <c r="U1388" s="109" t="s">
        <v>129</v>
      </c>
      <c r="V1388" s="21" t="s">
        <v>360</v>
      </c>
      <c r="W1388" s="10"/>
      <c r="Y1388" s="175"/>
      <c r="Z1388" s="175"/>
      <c r="AA1388" s="175"/>
      <c r="AB1388" s="175"/>
      <c r="AC1388" s="175"/>
      <c r="AD1388" s="175"/>
      <c r="AE1388" s="175"/>
      <c r="AF1388" s="175"/>
      <c r="AG1388" s="175"/>
      <c r="AH1388" s="175"/>
    </row>
    <row r="1389" spans="1:34">
      <c r="A1389" s="165" t="s">
        <v>1383</v>
      </c>
      <c r="B1389" s="39" t="s">
        <v>63</v>
      </c>
      <c r="C1389" s="41">
        <v>46204</v>
      </c>
      <c r="D1389" s="144">
        <v>0.66666666666666663</v>
      </c>
      <c r="F1389" s="8" t="s">
        <v>918</v>
      </c>
      <c r="G1389" s="2">
        <v>1</v>
      </c>
      <c r="H1389" s="2">
        <v>9</v>
      </c>
      <c r="I1389" s="81">
        <v>585</v>
      </c>
      <c r="J1389" s="2" t="s">
        <v>766</v>
      </c>
      <c r="K1389" s="88" t="s">
        <v>790</v>
      </c>
      <c r="L1389" s="89">
        <v>10000</v>
      </c>
      <c r="M1389" s="202">
        <v>20</v>
      </c>
      <c r="N1389" s="132" t="s">
        <v>821</v>
      </c>
      <c r="O1389" s="39" t="s">
        <v>49</v>
      </c>
      <c r="P1389" s="130"/>
      <c r="Q1389" s="19">
        <v>85</v>
      </c>
      <c r="R1389" s="59">
        <f>Q1389/I1389</f>
        <v>0.14529914529914531</v>
      </c>
      <c r="S1389" s="5">
        <v>20</v>
      </c>
      <c r="U1389" s="109" t="s">
        <v>767</v>
      </c>
      <c r="V1389" s="83" t="s">
        <v>362</v>
      </c>
      <c r="W1389" s="8" t="s">
        <v>386</v>
      </c>
      <c r="Y1389" s="175"/>
      <c r="Z1389" s="175"/>
      <c r="AA1389" s="175"/>
      <c r="AB1389" s="175"/>
      <c r="AC1389" s="175"/>
      <c r="AD1389" s="175"/>
      <c r="AE1389" s="175"/>
      <c r="AF1389" s="175"/>
      <c r="AG1389" s="175"/>
      <c r="AH1389" s="175"/>
    </row>
    <row r="1390" spans="1:34">
      <c r="A1390" s="52" t="s">
        <v>229</v>
      </c>
      <c r="B1390" s="52" t="s">
        <v>230</v>
      </c>
      <c r="C1390" s="41">
        <v>46204</v>
      </c>
      <c r="D1390" s="42">
        <v>0.66666666666666663</v>
      </c>
      <c r="E1390" s="193"/>
      <c r="F1390" s="8" t="s">
        <v>273</v>
      </c>
      <c r="G1390" s="2">
        <v>1</v>
      </c>
      <c r="I1390" s="45">
        <v>120</v>
      </c>
      <c r="J1390" s="2" t="s">
        <v>766</v>
      </c>
      <c r="K1390" s="88" t="s">
        <v>795</v>
      </c>
      <c r="L1390" s="92">
        <v>20000</v>
      </c>
      <c r="M1390" s="55">
        <v>20</v>
      </c>
      <c r="N1390" s="39" t="s">
        <v>61</v>
      </c>
      <c r="O1390" s="39" t="s">
        <v>49</v>
      </c>
      <c r="P1390" s="130"/>
      <c r="Q1390" s="19">
        <v>20</v>
      </c>
      <c r="R1390" s="15">
        <f>IF(Q1390&gt;0,Q1390/I1390,"")</f>
        <v>0.16666666666666666</v>
      </c>
      <c r="S1390" s="5">
        <f>($AC1390*$AD1390)/(($Z1390/$Y1390)+($AA1390/$Z1390)+($AB1390/$AA1390))</f>
        <v>31.111111111111111</v>
      </c>
      <c r="U1390" s="109" t="s">
        <v>767</v>
      </c>
      <c r="V1390" s="205" t="s">
        <v>719</v>
      </c>
      <c r="W1390" s="205"/>
      <c r="Y1390" s="2">
        <v>2</v>
      </c>
      <c r="Z1390" s="2">
        <v>5</v>
      </c>
      <c r="AA1390" s="2">
        <v>20</v>
      </c>
      <c r="AB1390" s="2">
        <v>50</v>
      </c>
      <c r="AC1390" s="2">
        <v>14</v>
      </c>
      <c r="AD1390" s="2">
        <v>20</v>
      </c>
      <c r="AE1390" s="2">
        <f>AC1390*AD1390</f>
        <v>280</v>
      </c>
      <c r="AF1390" s="2">
        <f>Z1390/Y1390</f>
        <v>2.5</v>
      </c>
      <c r="AG1390" s="2">
        <f>AA1390/Z1390</f>
        <v>4</v>
      </c>
      <c r="AH1390" s="2">
        <f>AB1390/AA1390</f>
        <v>2.5</v>
      </c>
    </row>
    <row r="1391" spans="1:34">
      <c r="A1391" s="68" t="s">
        <v>357</v>
      </c>
      <c r="B1391" s="68" t="s">
        <v>358</v>
      </c>
      <c r="C1391" s="191">
        <v>46204</v>
      </c>
      <c r="D1391" s="42">
        <v>0.67361111111111116</v>
      </c>
      <c r="E1391" s="8">
        <v>74</v>
      </c>
      <c r="F1391" s="63" t="s">
        <v>694</v>
      </c>
      <c r="G1391" s="2">
        <v>2</v>
      </c>
      <c r="H1391" s="2">
        <v>9</v>
      </c>
      <c r="I1391" s="126">
        <v>800</v>
      </c>
      <c r="J1391" s="2" t="s">
        <v>766</v>
      </c>
      <c r="K1391" s="137" t="s">
        <v>603</v>
      </c>
      <c r="L1391" s="92">
        <v>40000</v>
      </c>
      <c r="M1391" s="69">
        <v>30</v>
      </c>
      <c r="N1391" s="39" t="s">
        <v>48</v>
      </c>
      <c r="O1391" s="39" t="s">
        <v>49</v>
      </c>
      <c r="P1391" s="211" t="s">
        <v>843</v>
      </c>
      <c r="Q1391" s="19">
        <v>110</v>
      </c>
      <c r="R1391" s="15">
        <f>Q1391/I1391</f>
        <v>0.13750000000000001</v>
      </c>
      <c r="S1391" s="5">
        <f>($AC1391*$AD1391)/(($Z1391/$Y1391)+($AA1391/$Z1391)+($AB1391/$AA1391))</f>
        <v>76.947040498442377</v>
      </c>
      <c r="U1391" s="109" t="s">
        <v>767</v>
      </c>
      <c r="V1391" s="71" t="s">
        <v>1416</v>
      </c>
      <c r="Y1391" s="2">
        <v>2</v>
      </c>
      <c r="Z1391" s="2">
        <v>5</v>
      </c>
      <c r="AA1391" s="2">
        <v>13</v>
      </c>
      <c r="AB1391" s="2">
        <v>30</v>
      </c>
      <c r="AC1391" s="2">
        <v>30</v>
      </c>
      <c r="AD1391" s="2">
        <v>19</v>
      </c>
      <c r="AE1391" s="2">
        <f>AC1391*AD1391</f>
        <v>570</v>
      </c>
      <c r="AF1391" s="2">
        <f>Z1391/Y1391</f>
        <v>2.5</v>
      </c>
      <c r="AG1391" s="2">
        <f>AA1391/Z1391</f>
        <v>2.6</v>
      </c>
      <c r="AH1391" s="2">
        <f>AB1391/AA1391</f>
        <v>2.3076923076923075</v>
      </c>
    </row>
    <row r="1392" spans="1:34" ht="15" thickBot="1">
      <c r="A1392" s="52" t="s">
        <v>229</v>
      </c>
      <c r="B1392" s="52" t="s">
        <v>230</v>
      </c>
      <c r="C1392" s="41">
        <v>46204</v>
      </c>
      <c r="D1392" s="42">
        <v>0.70833333333333337</v>
      </c>
      <c r="E1392" s="193"/>
      <c r="F1392" s="8" t="s">
        <v>235</v>
      </c>
      <c r="G1392" s="2">
        <v>2</v>
      </c>
      <c r="I1392" s="37">
        <v>600</v>
      </c>
      <c r="J1392" s="2" t="s">
        <v>766</v>
      </c>
      <c r="K1392" s="88" t="s">
        <v>812</v>
      </c>
      <c r="L1392" s="89">
        <v>40000</v>
      </c>
      <c r="M1392" s="204" t="s">
        <v>22</v>
      </c>
      <c r="N1392" s="39" t="s">
        <v>48</v>
      </c>
      <c r="O1392" s="39" t="s">
        <v>49</v>
      </c>
      <c r="P1392" s="211" t="s">
        <v>843</v>
      </c>
      <c r="Q1392" s="19">
        <v>80</v>
      </c>
      <c r="R1392" s="15">
        <f>IF(Q1392&gt;0,Q1392/I1392,"")</f>
        <v>0.13333333333333333</v>
      </c>
      <c r="S1392" s="5">
        <f>($AC1392*$AD1392)/(($Z1392/$Y1392)+($AA1392/$Z1392)+($AB1392/$AA1392))</f>
        <v>76.947040498442377</v>
      </c>
      <c r="U1392" s="109" t="s">
        <v>767</v>
      </c>
      <c r="V1392" s="205" t="s">
        <v>719</v>
      </c>
      <c r="W1392" s="205"/>
      <c r="Y1392" s="2">
        <v>2</v>
      </c>
      <c r="Z1392" s="2">
        <v>5</v>
      </c>
      <c r="AA1392" s="2">
        <v>13</v>
      </c>
      <c r="AB1392" s="2">
        <v>30</v>
      </c>
      <c r="AC1392" s="2">
        <v>30</v>
      </c>
      <c r="AD1392" s="2">
        <v>19</v>
      </c>
      <c r="AE1392" s="2">
        <f>AC1392*AD1392</f>
        <v>570</v>
      </c>
      <c r="AF1392" s="2">
        <f>Z1392/Y1392</f>
        <v>2.5</v>
      </c>
      <c r="AG1392" s="2">
        <f>AA1392/Z1392</f>
        <v>2.6</v>
      </c>
      <c r="AH1392" s="2">
        <f>AB1392/AA1392</f>
        <v>2.3076923076923075</v>
      </c>
    </row>
    <row r="1393" spans="1:34">
      <c r="A1393" s="102" t="s">
        <v>475</v>
      </c>
      <c r="B1393" s="102" t="s">
        <v>476</v>
      </c>
      <c r="C1393" s="47">
        <v>46204</v>
      </c>
      <c r="D1393" s="42">
        <v>0.75</v>
      </c>
      <c r="E1393" s="8">
        <v>39</v>
      </c>
      <c r="F1393" s="8" t="s">
        <v>522</v>
      </c>
      <c r="G1393" s="2">
        <v>1</v>
      </c>
      <c r="H1393" s="2">
        <v>9</v>
      </c>
      <c r="I1393" s="127">
        <v>250</v>
      </c>
      <c r="J1393" s="2" t="s">
        <v>766</v>
      </c>
      <c r="K1393" s="109" t="s">
        <v>602</v>
      </c>
      <c r="L1393" s="244">
        <v>25000</v>
      </c>
      <c r="M1393" s="208">
        <v>30</v>
      </c>
      <c r="N1393" s="39" t="s">
        <v>48</v>
      </c>
      <c r="O1393" s="39" t="s">
        <v>49</v>
      </c>
      <c r="P1393" s="140" t="s">
        <v>831</v>
      </c>
      <c r="Q1393" s="19">
        <v>50</v>
      </c>
      <c r="R1393" s="15">
        <f>Q1393/I1393</f>
        <v>0.2</v>
      </c>
      <c r="S1393" s="5">
        <f>($AC1393*$AD1393)/(($Z1393/$Y1393)+($AA1393/$Z1393)+($AB1393/$AA1393))</f>
        <v>55.03292568203198</v>
      </c>
      <c r="U1393" s="109" t="s">
        <v>219</v>
      </c>
      <c r="V1393" s="205" t="s">
        <v>618</v>
      </c>
      <c r="W1393" s="253" t="s">
        <v>538</v>
      </c>
      <c r="Y1393" s="2">
        <v>2.5</v>
      </c>
      <c r="Z1393" s="2">
        <v>6.5</v>
      </c>
      <c r="AA1393" s="2">
        <v>20</v>
      </c>
      <c r="AB1393" s="2">
        <v>50</v>
      </c>
      <c r="AC1393" s="2">
        <v>30</v>
      </c>
      <c r="AD1393" s="2">
        <v>15</v>
      </c>
      <c r="AE1393" s="2">
        <f>AC1393*AD1393</f>
        <v>450</v>
      </c>
      <c r="AF1393" s="2">
        <f>Z1393/Y1393</f>
        <v>2.6</v>
      </c>
      <c r="AG1393" s="2">
        <f>AA1393/Z1393</f>
        <v>3.0769230769230771</v>
      </c>
      <c r="AH1393" s="2">
        <f>AB1393/AA1393</f>
        <v>2.5</v>
      </c>
    </row>
    <row r="1394" spans="1:34">
      <c r="A1394" s="52" t="s">
        <v>220</v>
      </c>
      <c r="B1394" s="52" t="s">
        <v>221</v>
      </c>
      <c r="C1394" s="191">
        <v>46204</v>
      </c>
      <c r="D1394" s="42">
        <v>0.75</v>
      </c>
      <c r="E1394" s="193"/>
      <c r="F1394" s="8" t="s">
        <v>1073</v>
      </c>
      <c r="G1394" s="2">
        <v>1</v>
      </c>
      <c r="H1394" s="2">
        <v>9</v>
      </c>
      <c r="I1394" s="126">
        <v>1100</v>
      </c>
      <c r="J1394" s="2" t="s">
        <v>766</v>
      </c>
      <c r="K1394" s="88" t="s">
        <v>799</v>
      </c>
      <c r="L1394" s="91">
        <v>30000</v>
      </c>
      <c r="M1394" s="203">
        <v>20</v>
      </c>
      <c r="N1394" s="39" t="s">
        <v>48</v>
      </c>
      <c r="O1394" s="39" t="s">
        <v>49</v>
      </c>
      <c r="P1394" s="140" t="s">
        <v>838</v>
      </c>
      <c r="Q1394" s="19">
        <v>125</v>
      </c>
      <c r="R1394" s="15">
        <f>Q1394/I1394</f>
        <v>0.11363636363636363</v>
      </c>
      <c r="S1394" s="5">
        <f>($AC1394*$AD1394)/(($Z1394/$Y1394)+($AA1394/$Z1394)+($AB1394/$AA1394))</f>
        <v>41.632653061224495</v>
      </c>
      <c r="U1394" s="109" t="s">
        <v>129</v>
      </c>
      <c r="V1394" s="205" t="s">
        <v>738</v>
      </c>
      <c r="W1394" s="205"/>
      <c r="Y1394" s="2">
        <v>2</v>
      </c>
      <c r="Z1394" s="2">
        <v>5</v>
      </c>
      <c r="AA1394" s="2">
        <v>15</v>
      </c>
      <c r="AB1394" s="2">
        <v>40</v>
      </c>
      <c r="AC1394" s="2">
        <v>17</v>
      </c>
      <c r="AD1394" s="115">
        <v>20</v>
      </c>
      <c r="AE1394" s="2">
        <f>AC1394*AD1394</f>
        <v>340</v>
      </c>
      <c r="AF1394" s="2">
        <f>Z1394/Y1394</f>
        <v>2.5</v>
      </c>
      <c r="AG1394" s="2">
        <f>AA1394/Z1394</f>
        <v>3</v>
      </c>
      <c r="AH1394" s="2">
        <f>AB1394/AA1394</f>
        <v>2.6666666666666665</v>
      </c>
    </row>
    <row r="1395" spans="1:34">
      <c r="A1395" s="96" t="s">
        <v>461</v>
      </c>
      <c r="B1395" s="96" t="s">
        <v>462</v>
      </c>
      <c r="C1395" s="41">
        <v>46204</v>
      </c>
      <c r="D1395" s="42">
        <v>0.75694444444444442</v>
      </c>
      <c r="F1395" s="8" t="s">
        <v>472</v>
      </c>
      <c r="G1395" s="2">
        <v>2</v>
      </c>
      <c r="I1395" s="126">
        <v>300</v>
      </c>
      <c r="J1395" s="2" t="s">
        <v>766</v>
      </c>
      <c r="K1395" s="109" t="s">
        <v>598</v>
      </c>
      <c r="L1395" s="194">
        <v>30000</v>
      </c>
      <c r="M1395" s="69">
        <v>30</v>
      </c>
      <c r="N1395" s="39" t="s">
        <v>48</v>
      </c>
      <c r="O1395" s="39" t="s">
        <v>49</v>
      </c>
      <c r="P1395" s="211" t="s">
        <v>842</v>
      </c>
      <c r="Q1395" s="19">
        <v>65</v>
      </c>
      <c r="R1395" s="15">
        <f>Q1395/I1395</f>
        <v>0.21666666666666667</v>
      </c>
      <c r="S1395" s="5">
        <f>($AC1395*$AD1395)/(($Z1395/$Y1395)+($AA1395/$Z1395)+($AB1395/$AA1395))</f>
        <v>53.333333333333336</v>
      </c>
      <c r="U1395" s="109" t="s">
        <v>767</v>
      </c>
      <c r="V1395" s="205" t="s">
        <v>735</v>
      </c>
      <c r="W1395" s="205"/>
      <c r="Y1395" s="2">
        <v>2</v>
      </c>
      <c r="Z1395" s="2">
        <v>5</v>
      </c>
      <c r="AA1395" s="2">
        <v>20</v>
      </c>
      <c r="AB1395" s="2">
        <v>50</v>
      </c>
      <c r="AC1395" s="2">
        <v>16</v>
      </c>
      <c r="AD1395" s="2">
        <v>30</v>
      </c>
      <c r="AE1395" s="2">
        <f>AC1395*AD1395</f>
        <v>480</v>
      </c>
      <c r="AF1395" s="2">
        <f>Z1395/Y1395</f>
        <v>2.5</v>
      </c>
      <c r="AG1395" s="2">
        <f>AA1395/Z1395</f>
        <v>4</v>
      </c>
      <c r="AH1395" s="2">
        <f>AB1395/AA1395</f>
        <v>2.5</v>
      </c>
    </row>
    <row r="1396" spans="1:34">
      <c r="A1396" s="95" t="s">
        <v>447</v>
      </c>
      <c r="B1396" s="95" t="s">
        <v>448</v>
      </c>
      <c r="C1396" s="190">
        <v>46204</v>
      </c>
      <c r="D1396" s="42">
        <v>0.79166666666666663</v>
      </c>
      <c r="E1396" s="193"/>
      <c r="F1396" s="8" t="s">
        <v>430</v>
      </c>
      <c r="G1396" s="2">
        <v>1</v>
      </c>
      <c r="H1396" s="2">
        <v>9</v>
      </c>
      <c r="I1396" s="126">
        <v>400</v>
      </c>
      <c r="J1396" s="2" t="s">
        <v>766</v>
      </c>
      <c r="K1396" s="109" t="s">
        <v>602</v>
      </c>
      <c r="L1396" s="194">
        <v>20000</v>
      </c>
      <c r="M1396" s="194">
        <v>20</v>
      </c>
      <c r="N1396" s="39" t="s">
        <v>61</v>
      </c>
      <c r="O1396" s="39" t="s">
        <v>49</v>
      </c>
      <c r="P1396" s="214" t="s">
        <v>225</v>
      </c>
      <c r="Q1396" s="19">
        <v>50</v>
      </c>
      <c r="R1396" s="15">
        <f>Q1396/I1396</f>
        <v>0.125</v>
      </c>
      <c r="S1396" s="5">
        <f>($AC1396*$AD1396)/(($Z1396/$Y1396)+($AA1396/$Z1396)+($AB1396/$AA1396))</f>
        <v>43.198338525441329</v>
      </c>
      <c r="U1396" s="109" t="s">
        <v>767</v>
      </c>
      <c r="V1396" s="2" t="s">
        <v>741</v>
      </c>
      <c r="W1396" s="116" t="s">
        <v>748</v>
      </c>
      <c r="Y1396" s="2">
        <v>2</v>
      </c>
      <c r="Z1396" s="2">
        <v>5</v>
      </c>
      <c r="AA1396" s="2">
        <v>13</v>
      </c>
      <c r="AB1396" s="2">
        <v>30</v>
      </c>
      <c r="AC1396" s="2">
        <v>16</v>
      </c>
      <c r="AD1396" s="2">
        <v>20</v>
      </c>
      <c r="AE1396" s="2">
        <f>AC1396*AD1396</f>
        <v>320</v>
      </c>
      <c r="AF1396" s="2">
        <f>Z1396/Y1396</f>
        <v>2.5</v>
      </c>
      <c r="AG1396" s="2">
        <f>AA1396/Z1396</f>
        <v>2.6</v>
      </c>
      <c r="AH1396" s="2">
        <f>AB1396/AA1396</f>
        <v>2.3076923076923075</v>
      </c>
    </row>
    <row r="1397" spans="1:34">
      <c r="A1397" s="165" t="s">
        <v>1383</v>
      </c>
      <c r="B1397" s="39" t="s">
        <v>63</v>
      </c>
      <c r="C1397" s="41">
        <v>46204</v>
      </c>
      <c r="D1397" s="144">
        <v>0.79166666666666663</v>
      </c>
      <c r="F1397" s="8" t="s">
        <v>911</v>
      </c>
      <c r="G1397" s="2">
        <v>1</v>
      </c>
      <c r="H1397" s="2">
        <v>9</v>
      </c>
      <c r="I1397" s="81">
        <v>2200</v>
      </c>
      <c r="J1397" s="2" t="s">
        <v>766</v>
      </c>
      <c r="K1397" s="88" t="s">
        <v>800</v>
      </c>
      <c r="L1397" s="92">
        <v>20000</v>
      </c>
      <c r="M1397" s="82" t="s">
        <v>128</v>
      </c>
      <c r="N1397" s="132" t="s">
        <v>821</v>
      </c>
      <c r="O1397" s="39" t="s">
        <v>49</v>
      </c>
      <c r="P1397" s="130"/>
      <c r="Q1397" s="19">
        <v>200</v>
      </c>
      <c r="R1397" s="59">
        <f>Q1397/I1397</f>
        <v>9.0909090909090912E-2</v>
      </c>
      <c r="S1397" s="5">
        <v>32</v>
      </c>
      <c r="U1397" s="109" t="s">
        <v>767</v>
      </c>
      <c r="V1397" s="83" t="s">
        <v>362</v>
      </c>
      <c r="W1397" s="8" t="s">
        <v>388</v>
      </c>
      <c r="Y1397" s="175"/>
      <c r="Z1397" s="175"/>
      <c r="AA1397" s="175"/>
      <c r="AB1397" s="175"/>
      <c r="AC1397" s="175"/>
      <c r="AD1397" s="175"/>
      <c r="AE1397" s="175"/>
      <c r="AF1397" s="175"/>
      <c r="AG1397" s="175"/>
      <c r="AH1397" s="175"/>
    </row>
    <row r="1398" spans="1:34">
      <c r="A1398" s="165" t="s">
        <v>1383</v>
      </c>
      <c r="B1398" s="39" t="s">
        <v>63</v>
      </c>
      <c r="C1398" s="41">
        <v>46204</v>
      </c>
      <c r="D1398" s="144">
        <v>0.79166666666666663</v>
      </c>
      <c r="F1398" s="8" t="s">
        <v>911</v>
      </c>
      <c r="G1398" s="2">
        <v>1</v>
      </c>
      <c r="H1398" s="2">
        <v>9</v>
      </c>
      <c r="I1398" s="81">
        <v>2200</v>
      </c>
      <c r="J1398" s="2" t="s">
        <v>766</v>
      </c>
      <c r="K1398" s="88" t="s">
        <v>800</v>
      </c>
      <c r="L1398" s="92">
        <v>20000</v>
      </c>
      <c r="M1398" s="82" t="s">
        <v>128</v>
      </c>
      <c r="N1398" s="132" t="s">
        <v>821</v>
      </c>
      <c r="O1398" s="39" t="s">
        <v>49</v>
      </c>
      <c r="P1398" s="130"/>
      <c r="Q1398" s="19">
        <v>200</v>
      </c>
      <c r="R1398" s="59">
        <f>Q1398/I1398</f>
        <v>9.0909090909090912E-2</v>
      </c>
      <c r="S1398" s="5">
        <v>32</v>
      </c>
      <c r="U1398" s="109" t="s">
        <v>767</v>
      </c>
      <c r="V1398" s="83" t="s">
        <v>362</v>
      </c>
      <c r="W1398" s="8" t="s">
        <v>388</v>
      </c>
      <c r="Y1398" s="175"/>
      <c r="Z1398" s="175"/>
      <c r="AA1398" s="175"/>
      <c r="AB1398" s="175"/>
      <c r="AC1398" s="175"/>
      <c r="AD1398" s="175"/>
      <c r="AE1398" s="175"/>
      <c r="AF1398" s="175"/>
      <c r="AG1398" s="175"/>
      <c r="AH1398" s="175"/>
    </row>
    <row r="1399" spans="1:34">
      <c r="A1399" s="165" t="s">
        <v>1383</v>
      </c>
      <c r="B1399" s="39" t="s">
        <v>63</v>
      </c>
      <c r="C1399" s="41">
        <v>46204</v>
      </c>
      <c r="D1399" s="144">
        <v>0.79166666666666663</v>
      </c>
      <c r="F1399" s="8" t="s">
        <v>917</v>
      </c>
      <c r="G1399" s="2">
        <v>1</v>
      </c>
      <c r="H1399" s="2">
        <v>9</v>
      </c>
      <c r="I1399" s="81">
        <v>585</v>
      </c>
      <c r="J1399" s="2" t="s">
        <v>766</v>
      </c>
      <c r="K1399" s="88" t="s">
        <v>800</v>
      </c>
      <c r="L1399" s="92">
        <v>10000</v>
      </c>
      <c r="M1399" s="69">
        <v>20</v>
      </c>
      <c r="N1399" s="132" t="s">
        <v>821</v>
      </c>
      <c r="O1399" s="39" t="s">
        <v>49</v>
      </c>
      <c r="P1399" s="130"/>
      <c r="Q1399" s="19">
        <v>89</v>
      </c>
      <c r="R1399" s="59">
        <f>Q1399/I1399</f>
        <v>0.15213675213675212</v>
      </c>
      <c r="S1399" s="5">
        <v>29</v>
      </c>
      <c r="U1399" s="109" t="s">
        <v>767</v>
      </c>
      <c r="V1399" s="83" t="s">
        <v>362</v>
      </c>
      <c r="W1399" s="8" t="s">
        <v>368</v>
      </c>
      <c r="Y1399" s="175"/>
      <c r="Z1399" s="175"/>
      <c r="AA1399" s="175"/>
      <c r="AB1399" s="175"/>
      <c r="AC1399" s="175"/>
      <c r="AD1399" s="175"/>
      <c r="AE1399" s="175"/>
      <c r="AF1399" s="175"/>
      <c r="AG1399" s="175"/>
      <c r="AH1399" s="175"/>
    </row>
    <row r="1400" spans="1:34">
      <c r="A1400" s="165" t="s">
        <v>1383</v>
      </c>
      <c r="B1400" s="39" t="s">
        <v>63</v>
      </c>
      <c r="C1400" s="41">
        <v>46204</v>
      </c>
      <c r="D1400" s="144">
        <v>0.83333333333333337</v>
      </c>
      <c r="E1400" s="8"/>
      <c r="F1400" s="8" t="s">
        <v>1023</v>
      </c>
      <c r="G1400" s="2">
        <v>1</v>
      </c>
      <c r="H1400" s="2">
        <v>9</v>
      </c>
      <c r="I1400" s="45">
        <v>200</v>
      </c>
      <c r="J1400" s="2" t="s">
        <v>766</v>
      </c>
      <c r="K1400" s="88" t="s">
        <v>806</v>
      </c>
      <c r="L1400" s="92">
        <v>20000</v>
      </c>
      <c r="M1400" s="10">
        <v>20</v>
      </c>
      <c r="N1400" s="39" t="s">
        <v>817</v>
      </c>
      <c r="O1400" s="39" t="s">
        <v>49</v>
      </c>
      <c r="P1400" s="130"/>
      <c r="Q1400" s="19">
        <v>45</v>
      </c>
      <c r="R1400" s="15">
        <f>Q1400/I1400</f>
        <v>0.22500000000000001</v>
      </c>
      <c r="S1400" s="5">
        <v>23</v>
      </c>
      <c r="U1400" s="109" t="s">
        <v>129</v>
      </c>
      <c r="V1400" s="71" t="s">
        <v>360</v>
      </c>
      <c r="Y1400" s="175"/>
      <c r="Z1400" s="175"/>
      <c r="AA1400" s="175"/>
      <c r="AB1400" s="175"/>
      <c r="AC1400" s="175"/>
      <c r="AD1400" s="175"/>
      <c r="AE1400" s="175"/>
      <c r="AF1400" s="175"/>
      <c r="AG1400" s="175"/>
      <c r="AH1400" s="175"/>
    </row>
    <row r="1401" spans="1:34">
      <c r="A1401" s="165" t="s">
        <v>1383</v>
      </c>
      <c r="B1401" s="39" t="s">
        <v>63</v>
      </c>
      <c r="C1401" s="41">
        <v>46204</v>
      </c>
      <c r="D1401" s="144">
        <v>0.91666666666666663</v>
      </c>
      <c r="F1401" s="8" t="s">
        <v>909</v>
      </c>
      <c r="G1401" s="2">
        <v>1</v>
      </c>
      <c r="H1401" s="2">
        <v>9</v>
      </c>
      <c r="I1401" s="45">
        <v>135</v>
      </c>
      <c r="J1401" s="2" t="s">
        <v>766</v>
      </c>
      <c r="K1401" s="88" t="s">
        <v>813</v>
      </c>
      <c r="L1401" s="92">
        <v>10000</v>
      </c>
      <c r="M1401" s="69">
        <v>15</v>
      </c>
      <c r="N1401" s="132" t="s">
        <v>821</v>
      </c>
      <c r="O1401" s="39" t="s">
        <v>49</v>
      </c>
      <c r="P1401" s="130"/>
      <c r="Q1401" s="19">
        <v>35</v>
      </c>
      <c r="R1401" s="15">
        <f>Q1401/I1401</f>
        <v>0.25925925925925924</v>
      </c>
      <c r="S1401" s="5">
        <v>22</v>
      </c>
      <c r="U1401" s="109" t="s">
        <v>767</v>
      </c>
      <c r="V1401" s="71" t="s">
        <v>362</v>
      </c>
      <c r="W1401" s="8" t="s">
        <v>369</v>
      </c>
      <c r="Y1401" s="175"/>
      <c r="Z1401" s="175"/>
      <c r="AA1401" s="175"/>
      <c r="AB1401" s="175"/>
      <c r="AC1401" s="175"/>
      <c r="AD1401" s="175"/>
      <c r="AE1401" s="175"/>
      <c r="AF1401" s="175"/>
      <c r="AG1401" s="175"/>
      <c r="AH1401" s="175"/>
    </row>
    <row r="1402" spans="1:34">
      <c r="A1402" s="165" t="s">
        <v>1383</v>
      </c>
      <c r="B1402" s="36" t="s">
        <v>63</v>
      </c>
      <c r="C1402" s="41">
        <v>46204</v>
      </c>
      <c r="D1402" s="144" t="s">
        <v>117</v>
      </c>
      <c r="E1402" s="8">
        <v>78</v>
      </c>
      <c r="F1402" s="8" t="s">
        <v>997</v>
      </c>
      <c r="G1402" s="2">
        <v>4</v>
      </c>
      <c r="H1402" s="2">
        <v>9</v>
      </c>
      <c r="I1402" s="45">
        <v>600</v>
      </c>
      <c r="J1402" s="2" t="s">
        <v>760</v>
      </c>
      <c r="K1402" s="109" t="s">
        <v>598</v>
      </c>
      <c r="L1402" s="92">
        <v>30000</v>
      </c>
      <c r="M1402" s="69" t="s">
        <v>97</v>
      </c>
      <c r="N1402" s="39" t="s">
        <v>48</v>
      </c>
      <c r="O1402" s="39" t="s">
        <v>49</v>
      </c>
      <c r="P1402" s="130"/>
      <c r="Q1402" s="19">
        <f>R1402*I1402</f>
        <v>96</v>
      </c>
      <c r="R1402" s="15">
        <v>0.16</v>
      </c>
      <c r="S1402" s="5">
        <f>($AC1402*$AD1402)/(($Z1402/$Y1402)+($AA1402/$Z1402)+($AB1402/$AA1402))</f>
        <v>99.130434782608702</v>
      </c>
      <c r="U1402" s="109" t="s">
        <v>767</v>
      </c>
      <c r="V1402" s="2" t="s">
        <v>121</v>
      </c>
      <c r="W1402" s="205"/>
      <c r="Y1402" s="2">
        <v>1.5</v>
      </c>
      <c r="Z1402" s="2">
        <v>4</v>
      </c>
      <c r="AA1402" s="2">
        <v>10</v>
      </c>
      <c r="AB1402" s="2">
        <v>25</v>
      </c>
      <c r="AC1402" s="2">
        <v>40</v>
      </c>
      <c r="AD1402" s="2">
        <v>19</v>
      </c>
      <c r="AE1402" s="2">
        <f>AC1402*AD1402</f>
        <v>760</v>
      </c>
      <c r="AF1402" s="2">
        <f>Z1402/Y1402</f>
        <v>2.6666666666666665</v>
      </c>
      <c r="AG1402" s="2">
        <f>AA1402/Z1402</f>
        <v>2.5</v>
      </c>
      <c r="AH1402" s="2">
        <f>AB1402/AA1402</f>
        <v>2.5</v>
      </c>
    </row>
    <row r="1403" spans="1:34">
      <c r="A1403" s="165" t="s">
        <v>1383</v>
      </c>
      <c r="B1403" s="36" t="s">
        <v>63</v>
      </c>
      <c r="C1403" s="41">
        <v>46204</v>
      </c>
      <c r="D1403" s="144" t="s">
        <v>115</v>
      </c>
      <c r="E1403" s="8">
        <v>76</v>
      </c>
      <c r="F1403" s="194" t="s">
        <v>1163</v>
      </c>
      <c r="G1403" s="2">
        <v>3</v>
      </c>
      <c r="H1403" s="2">
        <v>8</v>
      </c>
      <c r="I1403" s="45">
        <v>100000</v>
      </c>
      <c r="J1403" s="2" t="s">
        <v>762</v>
      </c>
      <c r="K1403" s="109" t="s">
        <v>601</v>
      </c>
      <c r="L1403" s="92">
        <v>600000</v>
      </c>
      <c r="M1403" s="69">
        <v>40</v>
      </c>
      <c r="N1403" s="39" t="s">
        <v>48</v>
      </c>
      <c r="O1403" s="39" t="s">
        <v>57</v>
      </c>
      <c r="P1403" s="66"/>
      <c r="Q1403" s="38">
        <f>R1403*I1403</f>
        <v>4000</v>
      </c>
      <c r="R1403" s="15">
        <v>0.04</v>
      </c>
      <c r="S1403" s="149" t="s">
        <v>110</v>
      </c>
      <c r="T1403" s="149"/>
      <c r="U1403" s="109" t="s">
        <v>767</v>
      </c>
      <c r="V1403" s="2" t="s">
        <v>121</v>
      </c>
      <c r="W1403" s="205"/>
      <c r="AE1403" s="2">
        <f>AC1403*AD1403</f>
        <v>0</v>
      </c>
      <c r="AF1403" s="2" t="e">
        <f>Z1403/Y1403</f>
        <v>#DIV/0!</v>
      </c>
      <c r="AG1403" s="2" t="e">
        <f>AA1403/Z1403</f>
        <v>#DIV/0!</v>
      </c>
      <c r="AH1403" s="2" t="e">
        <f>AB1403/AA1403</f>
        <v>#DIV/0!</v>
      </c>
    </row>
    <row r="1404" spans="1:34">
      <c r="A1404" s="165" t="s">
        <v>1383</v>
      </c>
      <c r="B1404" s="36" t="s">
        <v>63</v>
      </c>
      <c r="C1404" s="41">
        <v>46204</v>
      </c>
      <c r="D1404" s="144" t="s">
        <v>115</v>
      </c>
      <c r="E1404" s="8">
        <v>79</v>
      </c>
      <c r="F1404" s="194" t="s">
        <v>998</v>
      </c>
      <c r="G1404" s="2">
        <v>3</v>
      </c>
      <c r="H1404" s="2">
        <v>9</v>
      </c>
      <c r="I1404" s="45">
        <v>3000</v>
      </c>
      <c r="J1404" s="2" t="s">
        <v>110</v>
      </c>
      <c r="K1404" s="109" t="s">
        <v>598</v>
      </c>
      <c r="L1404" s="92">
        <v>40000</v>
      </c>
      <c r="M1404" s="69" t="s">
        <v>97</v>
      </c>
      <c r="N1404" s="39" t="s">
        <v>48</v>
      </c>
      <c r="O1404" s="39" t="s">
        <v>49</v>
      </c>
      <c r="P1404" s="130"/>
      <c r="Q1404" s="19">
        <f>R1404*I1404</f>
        <v>330</v>
      </c>
      <c r="R1404" s="15">
        <v>0.11</v>
      </c>
      <c r="S1404" s="5">
        <f>($AC1404*$AD1404)/(($Z1404/$Y1404)+($AA1404/$Z1404)+($AB1404/$AA1404))</f>
        <v>102.59605399792316</v>
      </c>
      <c r="U1404" s="109" t="s">
        <v>853</v>
      </c>
      <c r="V1404" s="2" t="s">
        <v>121</v>
      </c>
      <c r="W1404" s="205"/>
      <c r="Y1404" s="73">
        <v>2</v>
      </c>
      <c r="Z1404" s="73">
        <v>5</v>
      </c>
      <c r="AA1404" s="73">
        <v>13</v>
      </c>
      <c r="AB1404" s="73">
        <v>30</v>
      </c>
      <c r="AC1404" s="73">
        <v>40</v>
      </c>
      <c r="AD1404" s="73">
        <v>19</v>
      </c>
      <c r="AE1404" s="2">
        <f>AC1404*AD1404</f>
        <v>760</v>
      </c>
      <c r="AF1404" s="2">
        <f>Z1404/Y1404</f>
        <v>2.5</v>
      </c>
      <c r="AG1404" s="2">
        <f>AA1404/Z1404</f>
        <v>2.6</v>
      </c>
      <c r="AH1404" s="2">
        <f>AB1404/AA1404</f>
        <v>2.3076923076923075</v>
      </c>
    </row>
    <row r="1405" spans="1:34">
      <c r="A1405" s="165" t="s">
        <v>1383</v>
      </c>
      <c r="B1405" s="36" t="s">
        <v>63</v>
      </c>
      <c r="C1405" s="41">
        <v>46204</v>
      </c>
      <c r="D1405" s="144" t="s">
        <v>116</v>
      </c>
      <c r="E1405" s="8">
        <v>80</v>
      </c>
      <c r="F1405" s="8" t="s">
        <v>178</v>
      </c>
      <c r="G1405" s="2">
        <v>3</v>
      </c>
      <c r="H1405" s="2">
        <v>6</v>
      </c>
      <c r="I1405" s="45">
        <v>10000</v>
      </c>
      <c r="J1405" s="2" t="s">
        <v>110</v>
      </c>
      <c r="K1405" s="109" t="s">
        <v>816</v>
      </c>
      <c r="L1405" s="92">
        <v>60000</v>
      </c>
      <c r="M1405" s="69" t="s">
        <v>111</v>
      </c>
      <c r="N1405" s="39" t="s">
        <v>48</v>
      </c>
      <c r="O1405" s="39" t="s">
        <v>377</v>
      </c>
      <c r="P1405" s="66"/>
      <c r="Q1405" s="38">
        <f>R1405*I1405</f>
        <v>700.00000000000011</v>
      </c>
      <c r="R1405" s="15">
        <v>7.0000000000000007E-2</v>
      </c>
      <c r="S1405" s="149" t="s">
        <v>110</v>
      </c>
      <c r="T1405" s="149"/>
      <c r="U1405" s="109" t="s">
        <v>375</v>
      </c>
      <c r="V1405" s="205" t="s">
        <v>121</v>
      </c>
      <c r="W1405" s="205"/>
      <c r="AE1405" s="2">
        <f>AC1405*AD1405</f>
        <v>0</v>
      </c>
      <c r="AF1405" s="2" t="e">
        <f>Z1405/Y1405</f>
        <v>#DIV/0!</v>
      </c>
      <c r="AG1405" s="2" t="e">
        <f>AA1405/Z1405</f>
        <v>#DIV/0!</v>
      </c>
      <c r="AH1405" s="2" t="e">
        <f>AB1405/AA1405</f>
        <v>#DIV/0!</v>
      </c>
    </row>
    <row r="1406" spans="1:34">
      <c r="A1406" s="165" t="s">
        <v>1383</v>
      </c>
      <c r="B1406" s="36" t="s">
        <v>63</v>
      </c>
      <c r="C1406" s="41">
        <v>46204</v>
      </c>
      <c r="D1406" s="144" t="s">
        <v>876</v>
      </c>
      <c r="E1406" s="8">
        <v>73</v>
      </c>
      <c r="F1406" s="8" t="s">
        <v>1186</v>
      </c>
      <c r="G1406" s="2">
        <v>4</v>
      </c>
      <c r="H1406" s="2">
        <v>6</v>
      </c>
      <c r="I1406" s="45">
        <v>5000</v>
      </c>
      <c r="J1406" s="2" t="s">
        <v>760</v>
      </c>
      <c r="K1406" s="109" t="s">
        <v>601</v>
      </c>
      <c r="L1406" s="92">
        <v>50000</v>
      </c>
      <c r="M1406" s="69">
        <v>60</v>
      </c>
      <c r="N1406" s="39" t="s">
        <v>48</v>
      </c>
      <c r="O1406" s="39" t="s">
        <v>49</v>
      </c>
      <c r="P1406" s="130"/>
      <c r="Q1406" s="19">
        <f>R1406*I1406</f>
        <v>400</v>
      </c>
      <c r="R1406" s="15">
        <v>0.08</v>
      </c>
      <c r="S1406" s="5">
        <f>($AC1406*$AD1406)/(($Z1406/$Y1406)+($AA1406/$Z1406)+($AB1406/$AA1406))</f>
        <v>161.993769470405</v>
      </c>
      <c r="U1406" s="109" t="s">
        <v>375</v>
      </c>
      <c r="V1406" s="205" t="s">
        <v>121</v>
      </c>
      <c r="Y1406" s="2">
        <v>2</v>
      </c>
      <c r="Z1406" s="2">
        <v>5</v>
      </c>
      <c r="AA1406" s="2">
        <v>13</v>
      </c>
      <c r="AB1406" s="2">
        <v>30</v>
      </c>
      <c r="AC1406" s="2">
        <v>60</v>
      </c>
      <c r="AD1406" s="2">
        <v>20</v>
      </c>
      <c r="AE1406" s="2">
        <f>AC1406*AD1406</f>
        <v>1200</v>
      </c>
      <c r="AF1406" s="2">
        <f>Z1406/Y1406</f>
        <v>2.5</v>
      </c>
      <c r="AG1406" s="2">
        <f>AA1406/Z1406</f>
        <v>2.6</v>
      </c>
      <c r="AH1406" s="2">
        <f>AB1406/AA1406</f>
        <v>2.3076923076923075</v>
      </c>
    </row>
    <row r="1407" spans="1:34">
      <c r="A1407" s="165" t="s">
        <v>1383</v>
      </c>
      <c r="B1407" s="36" t="s">
        <v>63</v>
      </c>
      <c r="C1407" s="41">
        <v>46204</v>
      </c>
      <c r="D1407" s="144" t="s">
        <v>876</v>
      </c>
      <c r="E1407" s="8">
        <v>75</v>
      </c>
      <c r="F1407" s="8" t="s">
        <v>1255</v>
      </c>
      <c r="G1407" s="2">
        <v>3</v>
      </c>
      <c r="H1407" s="2">
        <v>9</v>
      </c>
      <c r="I1407" s="45">
        <v>10000</v>
      </c>
      <c r="J1407" s="2" t="s">
        <v>110</v>
      </c>
      <c r="K1407" s="109" t="s">
        <v>816</v>
      </c>
      <c r="L1407" s="92">
        <v>60000</v>
      </c>
      <c r="M1407" s="69" t="s">
        <v>111</v>
      </c>
      <c r="N1407" s="39" t="s">
        <v>48</v>
      </c>
      <c r="O1407" s="39" t="s">
        <v>376</v>
      </c>
      <c r="P1407" s="66"/>
      <c r="Q1407" s="38">
        <f>R1407*I1407</f>
        <v>700.00000000000011</v>
      </c>
      <c r="R1407" s="15">
        <v>7.0000000000000007E-2</v>
      </c>
      <c r="S1407" s="149" t="s">
        <v>110</v>
      </c>
      <c r="T1407" s="149"/>
      <c r="U1407" s="109" t="s">
        <v>767</v>
      </c>
      <c r="V1407" s="205" t="s">
        <v>121</v>
      </c>
      <c r="W1407" s="205"/>
      <c r="AE1407" s="2">
        <f>AC1407*AD1407</f>
        <v>0</v>
      </c>
      <c r="AF1407" s="2" t="e">
        <f>Z1407/Y1407</f>
        <v>#DIV/0!</v>
      </c>
      <c r="AG1407" s="2" t="e">
        <f>AA1407/Z1407</f>
        <v>#DIV/0!</v>
      </c>
      <c r="AH1407" s="2" t="e">
        <f>AB1407/AA1407</f>
        <v>#DIV/0!</v>
      </c>
    </row>
    <row r="1408" spans="1:34">
      <c r="A1408" s="165" t="s">
        <v>1383</v>
      </c>
      <c r="B1408" s="39" t="s">
        <v>63</v>
      </c>
      <c r="C1408" s="145">
        <v>46205</v>
      </c>
      <c r="D1408" s="144">
        <v>0.33333333333333331</v>
      </c>
      <c r="E1408" s="8"/>
      <c r="F1408" s="8" t="s">
        <v>910</v>
      </c>
      <c r="G1408" s="2">
        <v>1</v>
      </c>
      <c r="H1408" s="2">
        <v>9</v>
      </c>
      <c r="I1408" s="45">
        <v>150</v>
      </c>
      <c r="J1408" s="2" t="s">
        <v>766</v>
      </c>
      <c r="K1408" s="88" t="s">
        <v>768</v>
      </c>
      <c r="L1408" s="92">
        <v>10000</v>
      </c>
      <c r="M1408" s="10">
        <v>10</v>
      </c>
      <c r="N1408" s="132" t="s">
        <v>821</v>
      </c>
      <c r="O1408" s="39" t="s">
        <v>49</v>
      </c>
      <c r="P1408" s="130"/>
      <c r="Q1408" s="19">
        <v>35</v>
      </c>
      <c r="R1408" s="15">
        <f>Q1408/I1408</f>
        <v>0.23333333333333334</v>
      </c>
      <c r="S1408" s="5">
        <f>($AC1408*$AD1408)/(($Z1408/$Y1408)+($AA1408/$Z1408)+($AB1408/$AA1408))</f>
        <v>9.9248120300751879</v>
      </c>
      <c r="U1408" s="109" t="s">
        <v>129</v>
      </c>
      <c r="V1408" s="83" t="s">
        <v>361</v>
      </c>
      <c r="W1408" s="153" t="s">
        <v>385</v>
      </c>
      <c r="Y1408" s="2">
        <v>2</v>
      </c>
      <c r="Z1408" s="2">
        <v>7.5</v>
      </c>
      <c r="AA1408" s="2">
        <v>25</v>
      </c>
      <c r="AB1408" s="2">
        <v>100</v>
      </c>
      <c r="AC1408" s="2">
        <v>11</v>
      </c>
      <c r="AD1408" s="2">
        <v>10</v>
      </c>
      <c r="AE1408" s="2">
        <f>AC1408*AD1408</f>
        <v>110</v>
      </c>
      <c r="AF1408" s="2">
        <f>Z1408/Y1408</f>
        <v>3.75</v>
      </c>
      <c r="AG1408" s="2">
        <f>AA1408/Z1408</f>
        <v>3.3333333333333335</v>
      </c>
      <c r="AH1408" s="2">
        <f>AB1408/AA1408</f>
        <v>4</v>
      </c>
    </row>
    <row r="1409" spans="1:34">
      <c r="A1409" s="165" t="s">
        <v>1383</v>
      </c>
      <c r="B1409" s="39" t="s">
        <v>63</v>
      </c>
      <c r="C1409" s="41">
        <v>46205</v>
      </c>
      <c r="D1409" s="144">
        <v>0.33333333333333331</v>
      </c>
      <c r="E1409" s="193"/>
      <c r="F1409" s="8" t="s">
        <v>907</v>
      </c>
      <c r="G1409" s="2">
        <v>1</v>
      </c>
      <c r="H1409" s="2">
        <v>9</v>
      </c>
      <c r="I1409" s="45">
        <v>1100</v>
      </c>
      <c r="J1409" s="2" t="s">
        <v>766</v>
      </c>
      <c r="K1409" s="88" t="s">
        <v>768</v>
      </c>
      <c r="L1409" s="92">
        <v>15000</v>
      </c>
      <c r="M1409" s="82">
        <v>10</v>
      </c>
      <c r="N1409" s="132" t="s">
        <v>821</v>
      </c>
      <c r="O1409" s="39" t="s">
        <v>49</v>
      </c>
      <c r="P1409" s="130"/>
      <c r="Q1409" s="19">
        <f>88+37</f>
        <v>125</v>
      </c>
      <c r="R1409" s="15">
        <f>Q1409/I1409</f>
        <v>0.11363636363636363</v>
      </c>
      <c r="S1409" s="5">
        <v>11</v>
      </c>
      <c r="U1409" s="109" t="s">
        <v>129</v>
      </c>
      <c r="V1409" s="71" t="s">
        <v>362</v>
      </c>
      <c r="W1409" s="8" t="s">
        <v>370</v>
      </c>
      <c r="Y1409" s="175"/>
      <c r="Z1409" s="175"/>
      <c r="AA1409" s="175"/>
      <c r="AB1409" s="175"/>
      <c r="AC1409" s="175"/>
      <c r="AD1409" s="175"/>
      <c r="AE1409" s="175"/>
      <c r="AF1409" s="175"/>
      <c r="AG1409" s="175"/>
      <c r="AH1409" s="175"/>
    </row>
    <row r="1410" spans="1:34">
      <c r="A1410" s="95" t="s">
        <v>447</v>
      </c>
      <c r="B1410" s="95" t="s">
        <v>448</v>
      </c>
      <c r="C1410" s="190">
        <v>46205</v>
      </c>
      <c r="D1410" s="42">
        <v>0.375</v>
      </c>
      <c r="E1410" s="193"/>
      <c r="F1410" s="8" t="s">
        <v>431</v>
      </c>
      <c r="G1410" s="2">
        <v>1</v>
      </c>
      <c r="H1410" s="2">
        <v>9</v>
      </c>
      <c r="I1410" s="126">
        <v>400</v>
      </c>
      <c r="J1410" s="2" t="s">
        <v>766</v>
      </c>
      <c r="K1410" s="109" t="s">
        <v>602</v>
      </c>
      <c r="L1410" s="194">
        <v>20000</v>
      </c>
      <c r="M1410" s="194">
        <v>15</v>
      </c>
      <c r="N1410" s="39" t="s">
        <v>61</v>
      </c>
      <c r="O1410" s="39" t="s">
        <v>49</v>
      </c>
      <c r="P1410" s="214" t="s">
        <v>228</v>
      </c>
      <c r="Q1410" s="19">
        <v>50</v>
      </c>
      <c r="R1410" s="15">
        <f>Q1410/I1410</f>
        <v>0.125</v>
      </c>
      <c r="S1410" s="5">
        <f>($AC1410*$AD1410)/(($Z1410/$Y1410)+($AA1410/$Z1410)+($AB1410/$AA1410))</f>
        <v>32.398753894080997</v>
      </c>
      <c r="U1410" s="109" t="s">
        <v>129</v>
      </c>
      <c r="V1410" s="205" t="s">
        <v>741</v>
      </c>
      <c r="W1410" s="116" t="s">
        <v>749</v>
      </c>
      <c r="Y1410" s="2">
        <v>2</v>
      </c>
      <c r="Z1410" s="2">
        <v>5</v>
      </c>
      <c r="AA1410" s="2">
        <v>13</v>
      </c>
      <c r="AB1410" s="2">
        <v>30</v>
      </c>
      <c r="AC1410" s="2">
        <v>16</v>
      </c>
      <c r="AD1410" s="2">
        <v>15</v>
      </c>
      <c r="AE1410" s="2">
        <f>AC1410*AD1410</f>
        <v>240</v>
      </c>
      <c r="AF1410" s="2">
        <f>Z1410/Y1410</f>
        <v>2.5</v>
      </c>
      <c r="AG1410" s="2">
        <f>AA1410/Z1410</f>
        <v>2.6</v>
      </c>
      <c r="AH1410" s="2">
        <f>AB1410/AA1410</f>
        <v>2.3076923076923075</v>
      </c>
    </row>
    <row r="1411" spans="1:34">
      <c r="A1411" s="165" t="s">
        <v>1383</v>
      </c>
      <c r="B1411" s="39" t="s">
        <v>63</v>
      </c>
      <c r="C1411" s="41">
        <v>46205</v>
      </c>
      <c r="D1411" s="144">
        <v>0.375</v>
      </c>
      <c r="E1411" s="8"/>
      <c r="F1411" s="8" t="s">
        <v>925</v>
      </c>
      <c r="G1411" s="2">
        <v>1</v>
      </c>
      <c r="H1411" s="2">
        <v>9</v>
      </c>
      <c r="I1411" s="45">
        <v>250</v>
      </c>
      <c r="J1411" s="2" t="s">
        <v>766</v>
      </c>
      <c r="K1411" s="88" t="s">
        <v>772</v>
      </c>
      <c r="L1411" s="92">
        <v>25000</v>
      </c>
      <c r="M1411" s="10">
        <v>30</v>
      </c>
      <c r="N1411" s="39" t="s">
        <v>823</v>
      </c>
      <c r="O1411" s="39" t="s">
        <v>49</v>
      </c>
      <c r="P1411" s="130"/>
      <c r="Q1411" s="19">
        <v>50</v>
      </c>
      <c r="R1411" s="15">
        <v>0.2</v>
      </c>
      <c r="S1411" s="5">
        <v>44</v>
      </c>
      <c r="U1411" s="109" t="s">
        <v>54</v>
      </c>
      <c r="V1411" s="71" t="s">
        <v>360</v>
      </c>
      <c r="Y1411" s="175"/>
      <c r="Z1411" s="175"/>
      <c r="AA1411" s="175"/>
      <c r="AB1411" s="175"/>
      <c r="AC1411" s="175"/>
      <c r="AD1411" s="175"/>
      <c r="AE1411" s="175"/>
      <c r="AF1411" s="175"/>
      <c r="AG1411" s="175"/>
      <c r="AH1411" s="175"/>
    </row>
    <row r="1412" spans="1:34">
      <c r="A1412" s="165" t="s">
        <v>1383</v>
      </c>
      <c r="B1412" s="39" t="s">
        <v>63</v>
      </c>
      <c r="C1412" s="41">
        <v>46205</v>
      </c>
      <c r="D1412" s="144">
        <v>0.41666666666666669</v>
      </c>
      <c r="E1412" s="193"/>
      <c r="F1412" s="8" t="s">
        <v>918</v>
      </c>
      <c r="G1412" s="2">
        <v>1</v>
      </c>
      <c r="H1412" s="2">
        <v>9</v>
      </c>
      <c r="I1412" s="81">
        <v>585</v>
      </c>
      <c r="J1412" s="2" t="s">
        <v>766</v>
      </c>
      <c r="K1412" s="88" t="s">
        <v>790</v>
      </c>
      <c r="L1412" s="92">
        <v>10000</v>
      </c>
      <c r="M1412" s="69">
        <v>20</v>
      </c>
      <c r="N1412" s="132" t="s">
        <v>821</v>
      </c>
      <c r="O1412" s="39" t="s">
        <v>49</v>
      </c>
      <c r="P1412" s="130"/>
      <c r="Q1412" s="19">
        <v>85</v>
      </c>
      <c r="R1412" s="59">
        <f>Q1412/I1412</f>
        <v>0.14529914529914531</v>
      </c>
      <c r="S1412" s="5">
        <v>20</v>
      </c>
      <c r="U1412" s="109" t="s">
        <v>767</v>
      </c>
      <c r="V1412" s="83" t="s">
        <v>362</v>
      </c>
      <c r="W1412" s="8" t="s">
        <v>386</v>
      </c>
      <c r="Y1412" s="175"/>
      <c r="Z1412" s="175"/>
      <c r="AA1412" s="175"/>
      <c r="AB1412" s="175"/>
      <c r="AC1412" s="175"/>
      <c r="AD1412" s="175"/>
      <c r="AE1412" s="175"/>
      <c r="AF1412" s="175"/>
      <c r="AG1412" s="175"/>
      <c r="AH1412" s="175"/>
    </row>
    <row r="1413" spans="1:34">
      <c r="A1413" s="96" t="s">
        <v>461</v>
      </c>
      <c r="B1413" s="96" t="s">
        <v>462</v>
      </c>
      <c r="C1413" s="41">
        <v>46205</v>
      </c>
      <c r="D1413" s="42">
        <v>0.4236111111111111</v>
      </c>
      <c r="E1413" s="193"/>
      <c r="F1413" s="8" t="s">
        <v>457</v>
      </c>
      <c r="G1413" s="2">
        <v>1</v>
      </c>
      <c r="I1413" s="126">
        <v>120</v>
      </c>
      <c r="J1413" s="2" t="s">
        <v>766</v>
      </c>
      <c r="K1413" s="109" t="s">
        <v>602</v>
      </c>
      <c r="L1413" s="194">
        <v>20000</v>
      </c>
      <c r="M1413" s="69">
        <v>20</v>
      </c>
      <c r="N1413" s="39" t="s">
        <v>48</v>
      </c>
      <c r="O1413" s="39" t="s">
        <v>49</v>
      </c>
      <c r="P1413" s="211" t="s">
        <v>832</v>
      </c>
      <c r="Q1413" s="19">
        <v>24</v>
      </c>
      <c r="R1413" s="15">
        <f>Q1413/I1413</f>
        <v>0.2</v>
      </c>
      <c r="S1413" s="5">
        <f>($AC1413*$AD1413)/(($Z1413/$Y1413)+($AA1413/$Z1413)+($AB1413/$AA1413))</f>
        <v>25.161290322580644</v>
      </c>
      <c r="U1413" s="109" t="s">
        <v>767</v>
      </c>
      <c r="V1413" s="2" t="s">
        <v>735</v>
      </c>
      <c r="Y1413" s="2">
        <v>2.5</v>
      </c>
      <c r="Z1413" s="2">
        <v>7.5</v>
      </c>
      <c r="AA1413" s="2">
        <v>30</v>
      </c>
      <c r="AB1413" s="2">
        <v>100</v>
      </c>
      <c r="AC1413" s="2">
        <v>13</v>
      </c>
      <c r="AD1413" s="2">
        <v>20</v>
      </c>
      <c r="AE1413" s="2">
        <f>AC1413*AD1413</f>
        <v>260</v>
      </c>
      <c r="AF1413" s="2">
        <f>Z1413/Y1413</f>
        <v>3</v>
      </c>
      <c r="AG1413" s="2">
        <f>AA1413/Z1413</f>
        <v>4</v>
      </c>
      <c r="AH1413" s="2">
        <f>AB1413/AA1413</f>
        <v>3.3333333333333335</v>
      </c>
    </row>
    <row r="1414" spans="1:34">
      <c r="A1414" s="68" t="s">
        <v>357</v>
      </c>
      <c r="B1414" s="68" t="s">
        <v>358</v>
      </c>
      <c r="C1414" s="191">
        <v>46205</v>
      </c>
      <c r="D1414" s="42">
        <v>0.4236111111111111</v>
      </c>
      <c r="E1414" s="8">
        <v>77</v>
      </c>
      <c r="F1414" s="63" t="s">
        <v>309</v>
      </c>
      <c r="G1414" s="2">
        <v>1</v>
      </c>
      <c r="H1414" s="2">
        <v>9</v>
      </c>
      <c r="I1414" s="126">
        <v>1100</v>
      </c>
      <c r="J1414" s="2" t="s">
        <v>766</v>
      </c>
      <c r="K1414" s="137" t="s">
        <v>816</v>
      </c>
      <c r="L1414" s="92">
        <v>40000</v>
      </c>
      <c r="M1414" s="69">
        <v>30</v>
      </c>
      <c r="N1414" s="39" t="s">
        <v>48</v>
      </c>
      <c r="O1414" s="39" t="s">
        <v>49</v>
      </c>
      <c r="P1414" s="211" t="s">
        <v>840</v>
      </c>
      <c r="Q1414" s="19">
        <v>135</v>
      </c>
      <c r="R1414" s="15">
        <f>Q1414/I1414</f>
        <v>0.12272727272727273</v>
      </c>
      <c r="S1414" s="5">
        <f>($AC1414*$AD1414)/(($Z1414/$Y1414)+($AA1414/$Z1414)+($AB1414/$AA1414))</f>
        <v>71.293161814488826</v>
      </c>
      <c r="U1414" s="109" t="s">
        <v>767</v>
      </c>
      <c r="V1414" s="2" t="s">
        <v>696</v>
      </c>
      <c r="Y1414" s="2">
        <v>2.5</v>
      </c>
      <c r="Z1414" s="2">
        <v>6.5</v>
      </c>
      <c r="AA1414" s="2">
        <v>15</v>
      </c>
      <c r="AB1414" s="2">
        <v>40</v>
      </c>
      <c r="AC1414" s="2">
        <v>30</v>
      </c>
      <c r="AD1414" s="2">
        <v>18</v>
      </c>
      <c r="AE1414" s="2">
        <f>AC1414*AD1414</f>
        <v>540</v>
      </c>
      <c r="AF1414" s="2">
        <f>Z1414/Y1414</f>
        <v>2.6</v>
      </c>
      <c r="AG1414" s="2">
        <f>AA1414/Z1414</f>
        <v>2.3076923076923075</v>
      </c>
      <c r="AH1414" s="2">
        <f>AB1414/AA1414</f>
        <v>2.6666666666666665</v>
      </c>
    </row>
    <row r="1415" spans="1:34">
      <c r="A1415" s="165" t="s">
        <v>1383</v>
      </c>
      <c r="B1415" s="36" t="s">
        <v>63</v>
      </c>
      <c r="C1415" s="41">
        <v>46205</v>
      </c>
      <c r="D1415" s="144">
        <v>0.45833333333333331</v>
      </c>
      <c r="E1415" s="8">
        <v>78</v>
      </c>
      <c r="F1415" s="8" t="s">
        <v>1200</v>
      </c>
      <c r="G1415" s="2">
        <v>4</v>
      </c>
      <c r="H1415" s="2">
        <v>9</v>
      </c>
      <c r="I1415" s="45">
        <v>600</v>
      </c>
      <c r="J1415" s="2" t="s">
        <v>760</v>
      </c>
      <c r="K1415" s="109" t="s">
        <v>598</v>
      </c>
      <c r="L1415" s="92">
        <v>30000</v>
      </c>
      <c r="M1415" s="69" t="s">
        <v>97</v>
      </c>
      <c r="N1415" s="39" t="s">
        <v>48</v>
      </c>
      <c r="O1415" s="39" t="s">
        <v>49</v>
      </c>
      <c r="P1415" s="130"/>
      <c r="Q1415" s="19">
        <f>R1415*I1415</f>
        <v>96</v>
      </c>
      <c r="R1415" s="15">
        <v>0.16</v>
      </c>
      <c r="S1415" s="5">
        <f>($AC1415*$AD1415)/(($Z1415/$Y1415)+($AA1415/$Z1415)+($AB1415/$AA1415))</f>
        <v>99.130434782608702</v>
      </c>
      <c r="U1415" s="109" t="s">
        <v>767</v>
      </c>
      <c r="V1415" s="205" t="s">
        <v>121</v>
      </c>
      <c r="Y1415" s="2">
        <v>1.5</v>
      </c>
      <c r="Z1415" s="2">
        <v>4</v>
      </c>
      <c r="AA1415" s="2">
        <v>10</v>
      </c>
      <c r="AB1415" s="2">
        <v>25</v>
      </c>
      <c r="AC1415" s="2">
        <v>40</v>
      </c>
      <c r="AD1415" s="2">
        <v>19</v>
      </c>
      <c r="AE1415" s="2">
        <f>AC1415*AD1415</f>
        <v>760</v>
      </c>
      <c r="AF1415" s="2">
        <f>Z1415/Y1415</f>
        <v>2.6666666666666665</v>
      </c>
      <c r="AG1415" s="2">
        <f>AA1415/Z1415</f>
        <v>2.5</v>
      </c>
      <c r="AH1415" s="2">
        <f>AB1415/AA1415</f>
        <v>2.5</v>
      </c>
    </row>
    <row r="1416" spans="1:34">
      <c r="A1416" s="102" t="s">
        <v>475</v>
      </c>
      <c r="B1416" s="102" t="s">
        <v>476</v>
      </c>
      <c r="C1416" s="190">
        <v>46205</v>
      </c>
      <c r="D1416" s="42">
        <v>0.45833333333333331</v>
      </c>
      <c r="E1416" s="8">
        <v>40</v>
      </c>
      <c r="F1416" s="8" t="s">
        <v>526</v>
      </c>
      <c r="G1416" s="2">
        <v>1</v>
      </c>
      <c r="H1416" s="2">
        <v>8</v>
      </c>
      <c r="I1416" s="126">
        <v>600</v>
      </c>
      <c r="J1416" s="2" t="s">
        <v>766</v>
      </c>
      <c r="K1416" s="109" t="s">
        <v>602</v>
      </c>
      <c r="L1416" s="201">
        <v>30000</v>
      </c>
      <c r="M1416" s="203">
        <v>30</v>
      </c>
      <c r="N1416" s="39" t="s">
        <v>48</v>
      </c>
      <c r="O1416" s="39" t="s">
        <v>535</v>
      </c>
      <c r="P1416" s="197">
        <v>50000</v>
      </c>
      <c r="Q1416" s="2">
        <v>85</v>
      </c>
      <c r="R1416" s="15">
        <f>Q1416/I1416</f>
        <v>0.14166666666666666</v>
      </c>
      <c r="S1416" s="149" t="s">
        <v>110</v>
      </c>
      <c r="T1416" s="149"/>
      <c r="U1416" s="109" t="s">
        <v>767</v>
      </c>
      <c r="V1416" s="2" t="s">
        <v>617</v>
      </c>
      <c r="W1416" s="107" t="s">
        <v>605</v>
      </c>
      <c r="AE1416" s="2">
        <f>AC1416*AD1416</f>
        <v>0</v>
      </c>
      <c r="AF1416" s="2" t="e">
        <f>Z1416/Y1416</f>
        <v>#DIV/0!</v>
      </c>
      <c r="AG1416" s="2" t="e">
        <f>AA1416/Z1416</f>
        <v>#DIV/0!</v>
      </c>
      <c r="AH1416" s="2" t="e">
        <f>AB1416/AA1416</f>
        <v>#DIV/0!</v>
      </c>
    </row>
    <row r="1417" spans="1:34">
      <c r="A1417" s="52" t="s">
        <v>229</v>
      </c>
      <c r="B1417" s="52" t="s">
        <v>230</v>
      </c>
      <c r="C1417" s="41">
        <v>46205</v>
      </c>
      <c r="D1417" s="42">
        <v>0.45833333333333331</v>
      </c>
      <c r="E1417" s="193"/>
      <c r="F1417" s="8" t="s">
        <v>232</v>
      </c>
      <c r="G1417" s="2">
        <v>2</v>
      </c>
      <c r="I1417" s="45">
        <v>600</v>
      </c>
      <c r="J1417" s="2" t="s">
        <v>766</v>
      </c>
      <c r="K1417" s="88" t="s">
        <v>784</v>
      </c>
      <c r="L1417" s="92">
        <v>40000</v>
      </c>
      <c r="M1417" s="55" t="s">
        <v>22</v>
      </c>
      <c r="N1417" s="39" t="s">
        <v>48</v>
      </c>
      <c r="O1417" s="39" t="s">
        <v>49</v>
      </c>
      <c r="P1417" s="211" t="s">
        <v>843</v>
      </c>
      <c r="Q1417" s="19">
        <v>80</v>
      </c>
      <c r="R1417" s="15">
        <f>IF(Q1417&gt;0,Q1417/I1417,"")</f>
        <v>0.13333333333333333</v>
      </c>
      <c r="S1417" s="5">
        <f>($AC1417*$AD1417)/(($Z1417/$Y1417)+($AA1417/$Z1417)+($AB1417/$AA1417))</f>
        <v>76.947040498442377</v>
      </c>
      <c r="U1417" s="109" t="s">
        <v>767</v>
      </c>
      <c r="V1417" s="205" t="s">
        <v>719</v>
      </c>
      <c r="W1417" s="205"/>
      <c r="Y1417" s="2">
        <v>2</v>
      </c>
      <c r="Z1417" s="2">
        <v>5</v>
      </c>
      <c r="AA1417" s="2">
        <v>13</v>
      </c>
      <c r="AB1417" s="2">
        <v>30</v>
      </c>
      <c r="AC1417" s="2">
        <v>30</v>
      </c>
      <c r="AD1417" s="2">
        <v>19</v>
      </c>
      <c r="AE1417" s="2">
        <f>AC1417*AD1417</f>
        <v>570</v>
      </c>
      <c r="AF1417" s="2">
        <f>Z1417/Y1417</f>
        <v>2.5</v>
      </c>
      <c r="AG1417" s="2">
        <f>AA1417/Z1417</f>
        <v>2.6</v>
      </c>
      <c r="AH1417" s="2">
        <f>AB1417/AA1417</f>
        <v>2.3076923076923075</v>
      </c>
    </row>
    <row r="1418" spans="1:34">
      <c r="A1418" s="95" t="s">
        <v>447</v>
      </c>
      <c r="B1418" s="95" t="s">
        <v>448</v>
      </c>
      <c r="C1418" s="190">
        <v>46205</v>
      </c>
      <c r="D1418" s="42">
        <v>0.5</v>
      </c>
      <c r="E1418" s="193"/>
      <c r="F1418" s="8" t="s">
        <v>445</v>
      </c>
      <c r="G1418" s="2">
        <v>3</v>
      </c>
      <c r="H1418" s="2">
        <v>9</v>
      </c>
      <c r="I1418" s="126">
        <v>3500</v>
      </c>
      <c r="J1418" s="2" t="s">
        <v>766</v>
      </c>
      <c r="K1418" s="109" t="s">
        <v>815</v>
      </c>
      <c r="L1418" s="194">
        <v>50000</v>
      </c>
      <c r="M1418" s="194" t="s">
        <v>742</v>
      </c>
      <c r="N1418" s="39" t="s">
        <v>48</v>
      </c>
      <c r="O1418" s="39" t="s">
        <v>49</v>
      </c>
      <c r="P1418" s="211" t="s">
        <v>844</v>
      </c>
      <c r="Q1418" s="19">
        <v>300</v>
      </c>
      <c r="R1418" s="15">
        <f>Q1418/I1418</f>
        <v>8.5714285714285715E-2</v>
      </c>
      <c r="S1418" s="5">
        <f>($AC1418*$AD1418)/(($Z1418/$Y1418)+($AA1418/$Z1418)+($AB1418/$AA1418))</f>
        <v>134.99480789200416</v>
      </c>
      <c r="U1418" s="109" t="s">
        <v>767</v>
      </c>
      <c r="V1418" s="2" t="s">
        <v>741</v>
      </c>
      <c r="W1418" s="250" t="s">
        <v>743</v>
      </c>
      <c r="Y1418" s="2">
        <v>2</v>
      </c>
      <c r="Z1418" s="2">
        <v>5</v>
      </c>
      <c r="AA1418" s="2">
        <v>13</v>
      </c>
      <c r="AB1418" s="2">
        <v>30</v>
      </c>
      <c r="AC1418" s="2">
        <v>20</v>
      </c>
      <c r="AD1418" s="2">
        <v>50</v>
      </c>
      <c r="AE1418" s="2">
        <f>AC1418*AD1418</f>
        <v>1000</v>
      </c>
      <c r="AF1418" s="2">
        <f>Z1418/Y1418</f>
        <v>2.5</v>
      </c>
      <c r="AG1418" s="2">
        <f>AA1418/Z1418</f>
        <v>2.6</v>
      </c>
      <c r="AH1418" s="2">
        <f>AB1418/AA1418</f>
        <v>2.3076923076923075</v>
      </c>
    </row>
    <row r="1419" spans="1:34">
      <c r="A1419" s="68" t="s">
        <v>357</v>
      </c>
      <c r="B1419" s="68" t="s">
        <v>358</v>
      </c>
      <c r="C1419" s="191">
        <v>46205</v>
      </c>
      <c r="D1419" s="42">
        <v>0.5</v>
      </c>
      <c r="E1419" s="8">
        <v>76</v>
      </c>
      <c r="F1419" s="63" t="s">
        <v>1096</v>
      </c>
      <c r="G1419" s="2">
        <v>3</v>
      </c>
      <c r="H1419" s="2">
        <v>9</v>
      </c>
      <c r="I1419" s="126">
        <v>2500</v>
      </c>
      <c r="J1419" s="2" t="s">
        <v>766</v>
      </c>
      <c r="K1419" s="137" t="s">
        <v>815</v>
      </c>
      <c r="L1419" s="92">
        <v>50000</v>
      </c>
      <c r="M1419" s="69">
        <v>50</v>
      </c>
      <c r="N1419" s="39" t="s">
        <v>48</v>
      </c>
      <c r="O1419" s="39" t="s">
        <v>49</v>
      </c>
      <c r="P1419" s="140" t="s">
        <v>839</v>
      </c>
      <c r="Q1419" s="19">
        <v>200</v>
      </c>
      <c r="R1419" s="15">
        <f>Q1419/I1419</f>
        <v>0.08</v>
      </c>
      <c r="S1419" s="5">
        <f>($AC1419*$AD1419)/(($Z1419/$Y1419)+($AA1419/$Z1419)+($AB1419/$AA1419))</f>
        <v>134.99480789200416</v>
      </c>
      <c r="U1419" s="109" t="s">
        <v>125</v>
      </c>
      <c r="V1419" s="2" t="s">
        <v>695</v>
      </c>
      <c r="W1419" s="205"/>
      <c r="Y1419" s="2">
        <v>2</v>
      </c>
      <c r="Z1419" s="2">
        <v>5</v>
      </c>
      <c r="AA1419" s="2">
        <v>13</v>
      </c>
      <c r="AB1419" s="2">
        <v>30</v>
      </c>
      <c r="AC1419" s="2">
        <v>50</v>
      </c>
      <c r="AD1419" s="2">
        <v>20</v>
      </c>
      <c r="AE1419" s="2">
        <f>AC1419*AD1419</f>
        <v>1000</v>
      </c>
      <c r="AF1419" s="2">
        <f>Z1419/Y1419</f>
        <v>2.5</v>
      </c>
      <c r="AG1419" s="2">
        <f>AA1419/Z1419</f>
        <v>2.6</v>
      </c>
      <c r="AH1419" s="2">
        <f>AB1419/AA1419</f>
        <v>2.3076923076923075</v>
      </c>
    </row>
    <row r="1420" spans="1:34">
      <c r="A1420" s="52" t="s">
        <v>220</v>
      </c>
      <c r="B1420" s="52" t="s">
        <v>221</v>
      </c>
      <c r="C1420" s="191">
        <v>46205</v>
      </c>
      <c r="D1420" s="42">
        <v>0.5</v>
      </c>
      <c r="E1420" s="193"/>
      <c r="F1420" s="8" t="s">
        <v>1053</v>
      </c>
      <c r="G1420" s="2">
        <v>1</v>
      </c>
      <c r="H1420" s="2">
        <v>9</v>
      </c>
      <c r="I1420" s="126">
        <v>1100</v>
      </c>
      <c r="J1420" s="2" t="s">
        <v>766</v>
      </c>
      <c r="K1420" s="88" t="s">
        <v>780</v>
      </c>
      <c r="L1420" s="91">
        <v>30000</v>
      </c>
      <c r="M1420" s="203">
        <v>30</v>
      </c>
      <c r="N1420" s="39" t="s">
        <v>48</v>
      </c>
      <c r="O1420" s="39" t="s">
        <v>49</v>
      </c>
      <c r="P1420" s="211" t="s">
        <v>841</v>
      </c>
      <c r="Q1420" s="19">
        <v>125</v>
      </c>
      <c r="R1420" s="15">
        <f>Q1420/I1420</f>
        <v>0.11363636363636363</v>
      </c>
      <c r="S1420" s="5">
        <f>($AC1420*$AD1420)/(($Z1420/$Y1420)+($AA1420/$Z1420)+($AB1420/$AA1420))</f>
        <v>62.448979591836739</v>
      </c>
      <c r="U1420" s="109" t="s">
        <v>767</v>
      </c>
      <c r="V1420" s="205" t="s">
        <v>738</v>
      </c>
      <c r="Y1420" s="2">
        <v>2</v>
      </c>
      <c r="Z1420" s="2">
        <v>5</v>
      </c>
      <c r="AA1420" s="2">
        <v>15</v>
      </c>
      <c r="AB1420" s="2">
        <v>40</v>
      </c>
      <c r="AC1420" s="2">
        <v>17</v>
      </c>
      <c r="AD1420" s="2">
        <v>30</v>
      </c>
      <c r="AE1420" s="2">
        <f>AC1420*AD1420</f>
        <v>510</v>
      </c>
      <c r="AF1420" s="2">
        <f>Z1420/Y1420</f>
        <v>2.5</v>
      </c>
      <c r="AG1420" s="2">
        <f>AA1420/Z1420</f>
        <v>3</v>
      </c>
      <c r="AH1420" s="2">
        <f>AB1420/AA1420</f>
        <v>2.6666666666666665</v>
      </c>
    </row>
    <row r="1421" spans="1:34">
      <c r="A1421" s="165" t="s">
        <v>1383</v>
      </c>
      <c r="B1421" s="36" t="s">
        <v>63</v>
      </c>
      <c r="C1421" s="41">
        <v>46205</v>
      </c>
      <c r="D1421" s="144">
        <v>0.54166666666666663</v>
      </c>
      <c r="E1421" s="8">
        <v>80</v>
      </c>
      <c r="F1421" s="8" t="s">
        <v>1140</v>
      </c>
      <c r="G1421" s="2">
        <v>3</v>
      </c>
      <c r="H1421" s="2">
        <v>6</v>
      </c>
      <c r="I1421" s="45">
        <v>10000</v>
      </c>
      <c r="J1421" s="2" t="s">
        <v>110</v>
      </c>
      <c r="K1421" s="109" t="s">
        <v>816</v>
      </c>
      <c r="L1421" s="92">
        <v>60000</v>
      </c>
      <c r="M1421" s="69" t="s">
        <v>111</v>
      </c>
      <c r="N1421" s="39" t="s">
        <v>48</v>
      </c>
      <c r="O1421" s="39" t="s">
        <v>377</v>
      </c>
      <c r="P1421" s="66"/>
      <c r="Q1421" s="38">
        <f>R1421*I1421</f>
        <v>700.00000000000011</v>
      </c>
      <c r="R1421" s="15">
        <v>7.0000000000000007E-2</v>
      </c>
      <c r="S1421" s="149" t="s">
        <v>110</v>
      </c>
      <c r="T1421" s="149"/>
      <c r="U1421" s="109" t="s">
        <v>375</v>
      </c>
      <c r="V1421" s="205" t="s">
        <v>121</v>
      </c>
      <c r="W1421" s="205"/>
      <c r="AE1421" s="2">
        <f>AC1421*AD1421</f>
        <v>0</v>
      </c>
      <c r="AF1421" s="2" t="e">
        <f>Z1421/Y1421</f>
        <v>#DIV/0!</v>
      </c>
      <c r="AG1421" s="2" t="e">
        <f>AA1421/Z1421</f>
        <v>#DIV/0!</v>
      </c>
      <c r="AH1421" s="2" t="e">
        <f>AB1421/AA1421</f>
        <v>#DIV/0!</v>
      </c>
    </row>
    <row r="1422" spans="1:34">
      <c r="A1422" s="165" t="s">
        <v>1383</v>
      </c>
      <c r="B1422" s="39" t="s">
        <v>63</v>
      </c>
      <c r="C1422" s="41">
        <v>46205</v>
      </c>
      <c r="D1422" s="144">
        <v>0.54166666666666663</v>
      </c>
      <c r="E1422" s="8"/>
      <c r="F1422" s="8" t="s">
        <v>881</v>
      </c>
      <c r="G1422" s="2">
        <v>1</v>
      </c>
      <c r="H1422" s="2">
        <v>9</v>
      </c>
      <c r="I1422" s="45">
        <v>250</v>
      </c>
      <c r="J1422" s="2" t="s">
        <v>766</v>
      </c>
      <c r="K1422" s="88" t="s">
        <v>787</v>
      </c>
      <c r="L1422" s="92">
        <v>25000</v>
      </c>
      <c r="M1422" s="10">
        <v>30</v>
      </c>
      <c r="N1422" s="39" t="s">
        <v>817</v>
      </c>
      <c r="O1422" s="39" t="s">
        <v>49</v>
      </c>
      <c r="P1422" s="130"/>
      <c r="Q1422" s="19">
        <v>50</v>
      </c>
      <c r="R1422" s="15">
        <f>Q1422/I1422</f>
        <v>0.2</v>
      </c>
      <c r="S1422" s="5">
        <v>44</v>
      </c>
      <c r="U1422" s="109" t="s">
        <v>767</v>
      </c>
      <c r="V1422" s="71" t="s">
        <v>360</v>
      </c>
      <c r="W1422" s="205"/>
      <c r="Y1422" s="175"/>
      <c r="Z1422" s="175"/>
      <c r="AA1422" s="175"/>
      <c r="AB1422" s="175"/>
      <c r="AC1422" s="175"/>
      <c r="AD1422" s="175"/>
      <c r="AE1422" s="175"/>
      <c r="AF1422" s="175"/>
      <c r="AG1422" s="175"/>
      <c r="AH1422" s="175"/>
    </row>
    <row r="1423" spans="1:34">
      <c r="A1423" s="165" t="s">
        <v>1383</v>
      </c>
      <c r="B1423" s="39" t="s">
        <v>63</v>
      </c>
      <c r="C1423" s="41">
        <v>46205</v>
      </c>
      <c r="D1423" s="144">
        <v>0.54166666666666663</v>
      </c>
      <c r="F1423" s="8" t="s">
        <v>906</v>
      </c>
      <c r="G1423" s="2">
        <v>1</v>
      </c>
      <c r="H1423" s="2">
        <v>9</v>
      </c>
      <c r="I1423" s="45">
        <v>1100</v>
      </c>
      <c r="J1423" s="2" t="s">
        <v>766</v>
      </c>
      <c r="K1423" s="88" t="s">
        <v>776</v>
      </c>
      <c r="L1423" s="92">
        <v>15000</v>
      </c>
      <c r="M1423" s="82" t="s">
        <v>128</v>
      </c>
      <c r="N1423" s="132" t="s">
        <v>821</v>
      </c>
      <c r="O1423" s="39" t="s">
        <v>49</v>
      </c>
      <c r="P1423" s="130"/>
      <c r="Q1423" s="19">
        <f>88+37</f>
        <v>125</v>
      </c>
      <c r="R1423" s="15">
        <f>Q1423/I1423</f>
        <v>0.11363636363636363</v>
      </c>
      <c r="S1423" s="5">
        <v>24</v>
      </c>
      <c r="U1423" s="109" t="s">
        <v>767</v>
      </c>
      <c r="V1423" s="71" t="s">
        <v>362</v>
      </c>
      <c r="W1423" s="8" t="s">
        <v>370</v>
      </c>
      <c r="Y1423" s="175"/>
      <c r="Z1423" s="175"/>
      <c r="AA1423" s="175"/>
      <c r="AB1423" s="175"/>
      <c r="AC1423" s="175"/>
      <c r="AD1423" s="175"/>
      <c r="AE1423" s="175"/>
      <c r="AF1423" s="175"/>
      <c r="AG1423" s="175"/>
      <c r="AH1423" s="175"/>
    </row>
    <row r="1424" spans="1:34">
      <c r="A1424" s="68" t="s">
        <v>357</v>
      </c>
      <c r="B1424" s="68" t="s">
        <v>358</v>
      </c>
      <c r="C1424" s="191">
        <v>46205</v>
      </c>
      <c r="D1424" s="42">
        <v>0.54166666666666663</v>
      </c>
      <c r="E1424" s="8">
        <v>74</v>
      </c>
      <c r="F1424" s="63" t="s">
        <v>1097</v>
      </c>
      <c r="G1424" s="2">
        <v>2</v>
      </c>
      <c r="H1424" s="2">
        <v>9</v>
      </c>
      <c r="I1424" s="126">
        <v>800</v>
      </c>
      <c r="J1424" s="2" t="s">
        <v>766</v>
      </c>
      <c r="K1424" s="137" t="s">
        <v>603</v>
      </c>
      <c r="L1424" s="92">
        <v>40000</v>
      </c>
      <c r="M1424" s="69">
        <v>40</v>
      </c>
      <c r="N1424" s="39" t="s">
        <v>48</v>
      </c>
      <c r="O1424" s="39" t="s">
        <v>49</v>
      </c>
      <c r="P1424" s="211" t="s">
        <v>843</v>
      </c>
      <c r="Q1424" s="19">
        <v>110</v>
      </c>
      <c r="R1424" s="15">
        <f>Q1424/I1424</f>
        <v>0.13750000000000001</v>
      </c>
      <c r="S1424" s="5">
        <f>($AC1424*$AD1424)/(($Z1424/$Y1424)+($AA1424/$Z1424)+($AB1424/$AA1424))</f>
        <v>102.59605399792316</v>
      </c>
      <c r="U1424" s="109" t="s">
        <v>767</v>
      </c>
      <c r="V1424" s="205" t="s">
        <v>689</v>
      </c>
      <c r="W1424" s="205"/>
      <c r="Y1424" s="2">
        <v>2</v>
      </c>
      <c r="Z1424" s="2">
        <v>5</v>
      </c>
      <c r="AA1424" s="2">
        <v>13</v>
      </c>
      <c r="AB1424" s="2">
        <v>30</v>
      </c>
      <c r="AC1424" s="2">
        <v>40</v>
      </c>
      <c r="AD1424" s="2">
        <v>19</v>
      </c>
      <c r="AE1424" s="2">
        <f>AC1424*AD1424</f>
        <v>760</v>
      </c>
      <c r="AF1424" s="2">
        <f>Z1424/Y1424</f>
        <v>2.5</v>
      </c>
      <c r="AG1424" s="2">
        <f>AA1424/Z1424</f>
        <v>2.6</v>
      </c>
      <c r="AH1424" s="2">
        <f>AB1424/AA1424</f>
        <v>2.3076923076923075</v>
      </c>
    </row>
    <row r="1425" spans="1:34">
      <c r="A1425" s="52" t="s">
        <v>220</v>
      </c>
      <c r="B1425" s="52" t="s">
        <v>221</v>
      </c>
      <c r="C1425" s="191">
        <v>46205</v>
      </c>
      <c r="D1425" s="42">
        <v>0.54166666666666663</v>
      </c>
      <c r="E1425" s="193"/>
      <c r="F1425" s="8" t="s">
        <v>1070</v>
      </c>
      <c r="G1425" s="2">
        <v>2</v>
      </c>
      <c r="H1425" s="2">
        <v>8</v>
      </c>
      <c r="I1425" s="126">
        <v>3000</v>
      </c>
      <c r="J1425" s="2" t="s">
        <v>766</v>
      </c>
      <c r="K1425" s="88" t="s">
        <v>798</v>
      </c>
      <c r="L1425" s="91">
        <v>40000</v>
      </c>
      <c r="M1425" s="203">
        <v>40</v>
      </c>
      <c r="N1425" s="39" t="s">
        <v>48</v>
      </c>
      <c r="O1425" s="39" t="s">
        <v>57</v>
      </c>
      <c r="P1425" s="197">
        <v>2000000</v>
      </c>
      <c r="Q1425" s="2">
        <v>280</v>
      </c>
      <c r="R1425" s="15">
        <f>Q1425/I1425</f>
        <v>9.3333333333333338E-2</v>
      </c>
      <c r="S1425" s="149" t="s">
        <v>110</v>
      </c>
      <c r="T1425" s="149"/>
      <c r="U1425" s="109" t="s">
        <v>219</v>
      </c>
      <c r="V1425" s="205" t="s">
        <v>738</v>
      </c>
      <c r="Y1425" s="70"/>
      <c r="Z1425" s="70"/>
      <c r="AA1425" s="70"/>
      <c r="AB1425" s="70"/>
      <c r="AC1425" s="70"/>
      <c r="AD1425" s="70"/>
      <c r="AE1425" s="2">
        <f>AC1425*AD1425</f>
        <v>0</v>
      </c>
      <c r="AF1425" s="2" t="e">
        <f>Z1425/Y1425</f>
        <v>#DIV/0!</v>
      </c>
      <c r="AG1425" s="2" t="e">
        <f>AA1425/Z1425</f>
        <v>#DIV/0!</v>
      </c>
      <c r="AH1425" s="2" t="e">
        <f>AB1425/AA1425</f>
        <v>#DIV/0!</v>
      </c>
    </row>
    <row r="1426" spans="1:34">
      <c r="A1426" s="165" t="s">
        <v>1383</v>
      </c>
      <c r="B1426" s="39" t="s">
        <v>63</v>
      </c>
      <c r="C1426" s="41">
        <v>46205</v>
      </c>
      <c r="D1426" s="144">
        <v>0.58333333333333337</v>
      </c>
      <c r="E1426" s="193"/>
      <c r="F1426" s="8" t="s">
        <v>913</v>
      </c>
      <c r="G1426" s="2">
        <v>1</v>
      </c>
      <c r="H1426" s="2">
        <v>9</v>
      </c>
      <c r="I1426" s="45">
        <v>260</v>
      </c>
      <c r="J1426" s="2" t="s">
        <v>766</v>
      </c>
      <c r="K1426" s="88" t="s">
        <v>776</v>
      </c>
      <c r="L1426" s="92">
        <v>10000</v>
      </c>
      <c r="M1426" s="69">
        <v>10</v>
      </c>
      <c r="N1426" s="132" t="s">
        <v>821</v>
      </c>
      <c r="O1426" s="39" t="s">
        <v>49</v>
      </c>
      <c r="P1426" s="130"/>
      <c r="Q1426" s="19">
        <v>40</v>
      </c>
      <c r="R1426" s="15">
        <f>Q1426/I1426</f>
        <v>0.15384615384615385</v>
      </c>
      <c r="S1426" s="5">
        <f>($AC1426*$AD1426)/(($Z1426/$Y1426)+($AA1426/$Z1426)+($AB1426/$AA1426))</f>
        <v>9.9248120300751879</v>
      </c>
      <c r="U1426" s="137" t="s">
        <v>129</v>
      </c>
      <c r="V1426" s="83" t="s">
        <v>362</v>
      </c>
      <c r="W1426" s="8" t="s">
        <v>387</v>
      </c>
      <c r="Y1426" s="2">
        <v>2</v>
      </c>
      <c r="Z1426" s="2">
        <v>7.5</v>
      </c>
      <c r="AA1426" s="2">
        <v>25</v>
      </c>
      <c r="AB1426" s="2">
        <v>100</v>
      </c>
      <c r="AC1426" s="2">
        <v>11</v>
      </c>
      <c r="AD1426" s="2">
        <v>10</v>
      </c>
      <c r="AE1426" s="2">
        <f>AC1426*AD1426</f>
        <v>110</v>
      </c>
      <c r="AF1426" s="2">
        <f>Z1426/Y1426</f>
        <v>3.75</v>
      </c>
      <c r="AG1426" s="2">
        <f>AA1426/Z1426</f>
        <v>3.3333333333333335</v>
      </c>
      <c r="AH1426" s="2">
        <f>AB1426/AA1426</f>
        <v>4</v>
      </c>
    </row>
    <row r="1427" spans="1:34">
      <c r="A1427" s="96" t="s">
        <v>461</v>
      </c>
      <c r="B1427" s="96" t="s">
        <v>462</v>
      </c>
      <c r="C1427" s="41">
        <v>46205</v>
      </c>
      <c r="D1427" s="42">
        <v>0.59027777777777779</v>
      </c>
      <c r="E1427" s="193"/>
      <c r="F1427" s="8" t="s">
        <v>1334</v>
      </c>
      <c r="G1427" s="2">
        <v>2</v>
      </c>
      <c r="I1427" s="126">
        <v>300</v>
      </c>
      <c r="J1427" s="2" t="s">
        <v>766</v>
      </c>
      <c r="K1427" s="109" t="s">
        <v>598</v>
      </c>
      <c r="L1427" s="194">
        <v>30000</v>
      </c>
      <c r="M1427" s="69">
        <v>30</v>
      </c>
      <c r="N1427" s="39" t="s">
        <v>48</v>
      </c>
      <c r="O1427" s="39" t="s">
        <v>49</v>
      </c>
      <c r="P1427" s="211" t="s">
        <v>842</v>
      </c>
      <c r="Q1427" s="19">
        <v>65</v>
      </c>
      <c r="R1427" s="15">
        <f>Q1427/I1427</f>
        <v>0.21666666666666667</v>
      </c>
      <c r="S1427" s="5">
        <f>($AC1427*$AD1427)/(($Z1427/$Y1427)+($AA1427/$Z1427)+($AB1427/$AA1427))</f>
        <v>53.333333333333336</v>
      </c>
      <c r="U1427" s="109" t="s">
        <v>767</v>
      </c>
      <c r="V1427" s="205" t="s">
        <v>735</v>
      </c>
      <c r="Y1427" s="2">
        <v>2</v>
      </c>
      <c r="Z1427" s="2">
        <v>5</v>
      </c>
      <c r="AA1427" s="2">
        <v>20</v>
      </c>
      <c r="AB1427" s="2">
        <v>50</v>
      </c>
      <c r="AC1427" s="2">
        <v>16</v>
      </c>
      <c r="AD1427" s="2">
        <v>30</v>
      </c>
      <c r="AE1427" s="2">
        <f>AC1427*AD1427</f>
        <v>480</v>
      </c>
      <c r="AF1427" s="2">
        <f>Z1427/Y1427</f>
        <v>2.5</v>
      </c>
      <c r="AG1427" s="2">
        <f>AA1427/Z1427</f>
        <v>4</v>
      </c>
      <c r="AH1427" s="2">
        <f>AB1427/AA1427</f>
        <v>2.5</v>
      </c>
    </row>
    <row r="1428" spans="1:34" ht="15" thickBot="1">
      <c r="A1428" s="165" t="s">
        <v>1383</v>
      </c>
      <c r="B1428" s="39" t="s">
        <v>63</v>
      </c>
      <c r="C1428" s="41">
        <v>46205</v>
      </c>
      <c r="D1428" s="144">
        <v>0.625</v>
      </c>
      <c r="F1428" s="8" t="s">
        <v>912</v>
      </c>
      <c r="G1428" s="2">
        <v>1</v>
      </c>
      <c r="H1428" s="2">
        <v>9</v>
      </c>
      <c r="I1428" s="45">
        <v>240</v>
      </c>
      <c r="J1428" s="2" t="s">
        <v>766</v>
      </c>
      <c r="K1428" s="88" t="s">
        <v>784</v>
      </c>
      <c r="L1428" s="92">
        <v>10000</v>
      </c>
      <c r="M1428" s="69">
        <v>20</v>
      </c>
      <c r="N1428" s="132" t="s">
        <v>821</v>
      </c>
      <c r="O1428" s="39" t="s">
        <v>49</v>
      </c>
      <c r="P1428" s="130"/>
      <c r="Q1428" s="19">
        <v>40</v>
      </c>
      <c r="R1428" s="15">
        <v>0.16666666666666666</v>
      </c>
      <c r="S1428" s="5">
        <v>29</v>
      </c>
      <c r="U1428" s="109" t="s">
        <v>767</v>
      </c>
      <c r="V1428" s="71" t="s">
        <v>362</v>
      </c>
      <c r="W1428" s="8" t="s">
        <v>367</v>
      </c>
      <c r="Y1428" s="175"/>
      <c r="Z1428" s="175"/>
      <c r="AA1428" s="175"/>
      <c r="AB1428" s="175"/>
      <c r="AC1428" s="175"/>
      <c r="AD1428" s="175"/>
      <c r="AE1428" s="175"/>
      <c r="AF1428" s="175"/>
      <c r="AG1428" s="175"/>
      <c r="AH1428" s="175"/>
    </row>
    <row r="1429" spans="1:34">
      <c r="A1429" s="165" t="s">
        <v>1383</v>
      </c>
      <c r="B1429" s="39" t="s">
        <v>63</v>
      </c>
      <c r="C1429" s="41">
        <v>46205</v>
      </c>
      <c r="D1429" s="144">
        <v>0.66666666666666663</v>
      </c>
      <c r="E1429" s="8"/>
      <c r="F1429" s="8" t="s">
        <v>1024</v>
      </c>
      <c r="G1429" s="2">
        <v>1</v>
      </c>
      <c r="H1429" s="2">
        <v>9</v>
      </c>
      <c r="I1429" s="99">
        <v>400</v>
      </c>
      <c r="J1429" s="2" t="s">
        <v>766</v>
      </c>
      <c r="K1429" s="88" t="s">
        <v>794</v>
      </c>
      <c r="L1429" s="89">
        <v>30000</v>
      </c>
      <c r="M1429" s="206">
        <v>20</v>
      </c>
      <c r="N1429" s="39" t="s">
        <v>817</v>
      </c>
      <c r="O1429" s="39" t="s">
        <v>49</v>
      </c>
      <c r="P1429" s="130"/>
      <c r="Q1429" s="19">
        <v>70</v>
      </c>
      <c r="R1429" s="15">
        <f>Q1429/I1429</f>
        <v>0.17499999999999999</v>
      </c>
      <c r="S1429" s="5">
        <v>37</v>
      </c>
      <c r="U1429" s="109" t="s">
        <v>129</v>
      </c>
      <c r="V1429" s="71" t="s">
        <v>360</v>
      </c>
      <c r="Y1429" s="175"/>
      <c r="Z1429" s="175"/>
      <c r="AA1429" s="175"/>
      <c r="AB1429" s="175"/>
      <c r="AC1429" s="175"/>
      <c r="AD1429" s="175"/>
      <c r="AE1429" s="175"/>
      <c r="AF1429" s="175"/>
      <c r="AG1429" s="175"/>
      <c r="AH1429" s="175"/>
    </row>
    <row r="1430" spans="1:34">
      <c r="A1430" s="52" t="s">
        <v>229</v>
      </c>
      <c r="B1430" s="52" t="s">
        <v>230</v>
      </c>
      <c r="C1430" s="41">
        <v>46205</v>
      </c>
      <c r="D1430" s="42">
        <v>0.66666666666666663</v>
      </c>
      <c r="E1430" s="193"/>
      <c r="F1430" s="8" t="s">
        <v>273</v>
      </c>
      <c r="G1430" s="2">
        <v>1</v>
      </c>
      <c r="I1430" s="37">
        <v>120</v>
      </c>
      <c r="J1430" s="2" t="s">
        <v>766</v>
      </c>
      <c r="K1430" s="88" t="s">
        <v>795</v>
      </c>
      <c r="L1430" s="89">
        <v>20000</v>
      </c>
      <c r="M1430" s="204">
        <v>20</v>
      </c>
      <c r="N1430" s="39" t="s">
        <v>61</v>
      </c>
      <c r="O1430" s="39" t="s">
        <v>49</v>
      </c>
      <c r="P1430" s="130"/>
      <c r="Q1430" s="19">
        <v>20</v>
      </c>
      <c r="R1430" s="15">
        <f>IF(Q1430&gt;0,Q1430/I1430,"")</f>
        <v>0.16666666666666666</v>
      </c>
      <c r="S1430" s="5">
        <f>($AC1430*$AD1430)/(($Z1430/$Y1430)+($AA1430/$Z1430)+($AB1430/$AA1430))</f>
        <v>31.111111111111111</v>
      </c>
      <c r="U1430" s="109" t="s">
        <v>767</v>
      </c>
      <c r="V1430" s="205" t="s">
        <v>719</v>
      </c>
      <c r="W1430" s="205"/>
      <c r="Y1430" s="2">
        <v>2</v>
      </c>
      <c r="Z1430" s="2">
        <v>5</v>
      </c>
      <c r="AA1430" s="2">
        <v>20</v>
      </c>
      <c r="AB1430" s="2">
        <v>50</v>
      </c>
      <c r="AC1430" s="2">
        <v>14</v>
      </c>
      <c r="AD1430" s="2">
        <v>20</v>
      </c>
      <c r="AE1430" s="2">
        <f>AC1430*AD1430</f>
        <v>280</v>
      </c>
      <c r="AF1430" s="2">
        <f>Z1430/Y1430</f>
        <v>2.5</v>
      </c>
      <c r="AG1430" s="2">
        <f>AA1430/Z1430</f>
        <v>4</v>
      </c>
      <c r="AH1430" s="2">
        <f>AB1430/AA1430</f>
        <v>2.5</v>
      </c>
    </row>
    <row r="1431" spans="1:34">
      <c r="A1431" s="52" t="s">
        <v>229</v>
      </c>
      <c r="B1431" s="52" t="s">
        <v>230</v>
      </c>
      <c r="C1431" s="41">
        <v>46205</v>
      </c>
      <c r="D1431" s="42">
        <v>0.70833333333333337</v>
      </c>
      <c r="E1431" s="193"/>
      <c r="F1431" s="8" t="s">
        <v>236</v>
      </c>
      <c r="G1431" s="2">
        <v>2</v>
      </c>
      <c r="I1431" s="45">
        <v>600</v>
      </c>
      <c r="J1431" s="2" t="s">
        <v>766</v>
      </c>
      <c r="K1431" s="88" t="s">
        <v>812</v>
      </c>
      <c r="L1431" s="92">
        <v>40000</v>
      </c>
      <c r="M1431" s="55" t="s">
        <v>22</v>
      </c>
      <c r="N1431" s="39" t="s">
        <v>48</v>
      </c>
      <c r="O1431" s="39" t="s">
        <v>49</v>
      </c>
      <c r="P1431" s="211" t="s">
        <v>843</v>
      </c>
      <c r="Q1431" s="19">
        <v>80</v>
      </c>
      <c r="R1431" s="15">
        <f>IF(Q1431&gt;0,Q1431/I1431,"")</f>
        <v>0.13333333333333333</v>
      </c>
      <c r="S1431" s="5">
        <f>($AC1431*$AD1431)/(($Z1431/$Y1431)+($AA1431/$Z1431)+($AB1431/$AA1431))</f>
        <v>76.947040498442377</v>
      </c>
      <c r="U1431" s="109" t="s">
        <v>767</v>
      </c>
      <c r="V1431" s="205" t="s">
        <v>719</v>
      </c>
      <c r="W1431" s="205"/>
      <c r="Y1431" s="2">
        <v>2</v>
      </c>
      <c r="Z1431" s="2">
        <v>5</v>
      </c>
      <c r="AA1431" s="2">
        <v>13</v>
      </c>
      <c r="AB1431" s="2">
        <v>30</v>
      </c>
      <c r="AC1431" s="2">
        <v>30</v>
      </c>
      <c r="AD1431" s="2">
        <v>19</v>
      </c>
      <c r="AE1431" s="2">
        <f>AC1431*AD1431</f>
        <v>570</v>
      </c>
      <c r="AF1431" s="2">
        <f>Z1431/Y1431</f>
        <v>2.5</v>
      </c>
      <c r="AG1431" s="2">
        <f>AA1431/Z1431</f>
        <v>2.6</v>
      </c>
      <c r="AH1431" s="2">
        <f>AB1431/AA1431</f>
        <v>2.3076923076923075</v>
      </c>
    </row>
    <row r="1432" spans="1:34" ht="15" thickBot="1">
      <c r="A1432" s="102" t="s">
        <v>475</v>
      </c>
      <c r="B1432" s="102" t="s">
        <v>476</v>
      </c>
      <c r="C1432" s="47">
        <v>46205</v>
      </c>
      <c r="D1432" s="42">
        <v>0.75</v>
      </c>
      <c r="E1432" s="8">
        <v>41</v>
      </c>
      <c r="F1432" s="8" t="s">
        <v>522</v>
      </c>
      <c r="G1432" s="2">
        <v>1</v>
      </c>
      <c r="H1432" s="2">
        <v>9</v>
      </c>
      <c r="I1432" s="126">
        <v>250</v>
      </c>
      <c r="J1432" s="2" t="s">
        <v>766</v>
      </c>
      <c r="K1432" s="109" t="s">
        <v>602</v>
      </c>
      <c r="L1432" s="201">
        <v>25000</v>
      </c>
      <c r="M1432" s="203">
        <v>30</v>
      </c>
      <c r="N1432" s="39" t="s">
        <v>48</v>
      </c>
      <c r="O1432" s="39" t="s">
        <v>49</v>
      </c>
      <c r="P1432" s="140" t="s">
        <v>831</v>
      </c>
      <c r="Q1432" s="19">
        <v>50</v>
      </c>
      <c r="R1432" s="15">
        <f>Q1432/I1432</f>
        <v>0.2</v>
      </c>
      <c r="S1432" s="5">
        <f>($AC1432*$AD1432)/(($Z1432/$Y1432)+($AA1432/$Z1432)+($AB1432/$AA1432))</f>
        <v>55.03292568203198</v>
      </c>
      <c r="U1432" s="109" t="s">
        <v>219</v>
      </c>
      <c r="V1432" s="2" t="s">
        <v>616</v>
      </c>
      <c r="W1432" s="102" t="s">
        <v>538</v>
      </c>
      <c r="Y1432" s="2">
        <v>2.5</v>
      </c>
      <c r="Z1432" s="2">
        <v>6.5</v>
      </c>
      <c r="AA1432" s="2">
        <v>20</v>
      </c>
      <c r="AB1432" s="2">
        <v>50</v>
      </c>
      <c r="AC1432" s="2">
        <v>30</v>
      </c>
      <c r="AD1432" s="2">
        <v>15</v>
      </c>
      <c r="AE1432" s="2">
        <f>AC1432*AD1432</f>
        <v>450</v>
      </c>
      <c r="AF1432" s="2">
        <f>Z1432/Y1432</f>
        <v>2.6</v>
      </c>
      <c r="AG1432" s="2">
        <f>AA1432/Z1432</f>
        <v>3.0769230769230771</v>
      </c>
      <c r="AH1432" s="2">
        <f>AB1432/AA1432</f>
        <v>2.5</v>
      </c>
    </row>
    <row r="1433" spans="1:34">
      <c r="A1433" s="52" t="s">
        <v>220</v>
      </c>
      <c r="B1433" s="52" t="s">
        <v>221</v>
      </c>
      <c r="C1433" s="191">
        <v>46205</v>
      </c>
      <c r="D1433" s="42">
        <v>0.75</v>
      </c>
      <c r="E1433" s="193"/>
      <c r="F1433" s="8" t="s">
        <v>1073</v>
      </c>
      <c r="G1433" s="2">
        <v>1</v>
      </c>
      <c r="H1433" s="2">
        <v>9</v>
      </c>
      <c r="I1433" s="127">
        <v>1100</v>
      </c>
      <c r="J1433" s="2" t="s">
        <v>766</v>
      </c>
      <c r="K1433" s="88" t="s">
        <v>799</v>
      </c>
      <c r="L1433" s="90">
        <v>30000</v>
      </c>
      <c r="M1433" s="208">
        <v>20</v>
      </c>
      <c r="N1433" s="39" t="s">
        <v>48</v>
      </c>
      <c r="O1433" s="39" t="s">
        <v>49</v>
      </c>
      <c r="P1433" s="140" t="s">
        <v>838</v>
      </c>
      <c r="Q1433" s="19">
        <v>125</v>
      </c>
      <c r="R1433" s="15">
        <f>Q1433/I1433</f>
        <v>0.11363636363636363</v>
      </c>
      <c r="S1433" s="5">
        <f>($AC1433*$AD1433)/(($Z1433/$Y1433)+($AA1433/$Z1433)+($AB1433/$AA1433))</f>
        <v>41.632653061224495</v>
      </c>
      <c r="U1433" s="109" t="s">
        <v>129</v>
      </c>
      <c r="V1433" s="205" t="s">
        <v>738</v>
      </c>
      <c r="W1433" s="205"/>
      <c r="Y1433" s="2">
        <v>2</v>
      </c>
      <c r="Z1433" s="2">
        <v>5</v>
      </c>
      <c r="AA1433" s="2">
        <v>15</v>
      </c>
      <c r="AB1433" s="2">
        <v>40</v>
      </c>
      <c r="AC1433" s="2">
        <v>17</v>
      </c>
      <c r="AD1433" s="115">
        <v>20</v>
      </c>
      <c r="AE1433" s="2">
        <f>AC1433*AD1433</f>
        <v>340</v>
      </c>
      <c r="AF1433" s="2">
        <f>Z1433/Y1433</f>
        <v>2.5</v>
      </c>
      <c r="AG1433" s="2">
        <f>AA1433/Z1433</f>
        <v>3</v>
      </c>
      <c r="AH1433" s="2">
        <f>AB1433/AA1433</f>
        <v>2.6666666666666665</v>
      </c>
    </row>
    <row r="1434" spans="1:34">
      <c r="A1434" s="96" t="s">
        <v>461</v>
      </c>
      <c r="B1434" s="96" t="s">
        <v>462</v>
      </c>
      <c r="C1434" s="41">
        <v>46205</v>
      </c>
      <c r="D1434" s="42">
        <v>0.75694444444444442</v>
      </c>
      <c r="F1434" s="8" t="s">
        <v>458</v>
      </c>
      <c r="G1434" s="2">
        <v>1</v>
      </c>
      <c r="I1434" s="126">
        <v>200</v>
      </c>
      <c r="J1434" s="2" t="s">
        <v>766</v>
      </c>
      <c r="K1434" s="109" t="s">
        <v>602</v>
      </c>
      <c r="L1434" s="194">
        <v>30000</v>
      </c>
      <c r="M1434" s="69">
        <v>20</v>
      </c>
      <c r="N1434" s="39" t="s">
        <v>48</v>
      </c>
      <c r="O1434" s="39" t="s">
        <v>49</v>
      </c>
      <c r="P1434" s="140" t="s">
        <v>833</v>
      </c>
      <c r="Q1434" s="19">
        <v>40</v>
      </c>
      <c r="R1434" s="15">
        <f>Q1434/I1434</f>
        <v>0.2</v>
      </c>
      <c r="S1434" s="5">
        <f>($AC1434*$AD1434)/(($Z1434/$Y1434)+($AA1434/$Z1434)+($AB1434/$AA1434))</f>
        <v>41.632653061224495</v>
      </c>
      <c r="U1434" s="109" t="s">
        <v>767</v>
      </c>
      <c r="V1434" s="205" t="s">
        <v>735</v>
      </c>
      <c r="W1434" s="205"/>
      <c r="Y1434" s="2">
        <v>2</v>
      </c>
      <c r="Z1434" s="2">
        <v>5</v>
      </c>
      <c r="AA1434" s="2">
        <v>15</v>
      </c>
      <c r="AB1434" s="2">
        <v>40</v>
      </c>
      <c r="AC1434" s="2">
        <v>17</v>
      </c>
      <c r="AD1434" s="2">
        <v>20</v>
      </c>
      <c r="AE1434" s="2">
        <f>AC1434*AD1434</f>
        <v>340</v>
      </c>
      <c r="AF1434" s="2">
        <f>Z1434/Y1434</f>
        <v>2.5</v>
      </c>
      <c r="AG1434" s="2">
        <f>AA1434/Z1434</f>
        <v>3</v>
      </c>
      <c r="AH1434" s="2">
        <f>AB1434/AA1434</f>
        <v>2.6666666666666665</v>
      </c>
    </row>
    <row r="1435" spans="1:34">
      <c r="A1435" s="165" t="s">
        <v>1383</v>
      </c>
      <c r="B1435" s="39" t="s">
        <v>63</v>
      </c>
      <c r="C1435" s="41">
        <v>46205</v>
      </c>
      <c r="D1435" s="144">
        <v>0.79166666666666663</v>
      </c>
      <c r="F1435" s="8" t="s">
        <v>911</v>
      </c>
      <c r="G1435" s="2">
        <v>1</v>
      </c>
      <c r="H1435" s="2">
        <v>9</v>
      </c>
      <c r="I1435" s="81">
        <v>2200</v>
      </c>
      <c r="J1435" s="2" t="s">
        <v>766</v>
      </c>
      <c r="K1435" s="88" t="s">
        <v>800</v>
      </c>
      <c r="L1435" s="92">
        <v>20000</v>
      </c>
      <c r="M1435" s="82" t="s">
        <v>128</v>
      </c>
      <c r="N1435" s="132" t="s">
        <v>821</v>
      </c>
      <c r="O1435" s="39" t="s">
        <v>49</v>
      </c>
      <c r="P1435" s="130"/>
      <c r="Q1435" s="19">
        <v>200</v>
      </c>
      <c r="R1435" s="59">
        <f>Q1435/I1435</f>
        <v>9.0909090909090912E-2</v>
      </c>
      <c r="S1435" s="5">
        <v>32</v>
      </c>
      <c r="U1435" s="109" t="s">
        <v>767</v>
      </c>
      <c r="V1435" s="83" t="s">
        <v>362</v>
      </c>
      <c r="W1435" s="8" t="s">
        <v>388</v>
      </c>
      <c r="Y1435" s="175"/>
      <c r="Z1435" s="175"/>
      <c r="AA1435" s="175"/>
      <c r="AB1435" s="175"/>
      <c r="AC1435" s="175"/>
      <c r="AD1435" s="175"/>
      <c r="AE1435" s="175"/>
      <c r="AF1435" s="175"/>
      <c r="AG1435" s="175"/>
      <c r="AH1435" s="175"/>
    </row>
    <row r="1436" spans="1:34">
      <c r="A1436" s="165" t="s">
        <v>1383</v>
      </c>
      <c r="B1436" s="39" t="s">
        <v>63</v>
      </c>
      <c r="C1436" s="41">
        <v>46205</v>
      </c>
      <c r="D1436" s="144">
        <v>0.79166666666666663</v>
      </c>
      <c r="F1436" s="8" t="s">
        <v>920</v>
      </c>
      <c r="G1436" s="2">
        <v>1</v>
      </c>
      <c r="H1436" s="2">
        <v>9</v>
      </c>
      <c r="I1436" s="81">
        <v>585</v>
      </c>
      <c r="J1436" s="2" t="s">
        <v>766</v>
      </c>
      <c r="K1436" s="88" t="s">
        <v>800</v>
      </c>
      <c r="L1436" s="92">
        <v>10000</v>
      </c>
      <c r="M1436" s="69">
        <v>20</v>
      </c>
      <c r="N1436" s="132" t="s">
        <v>821</v>
      </c>
      <c r="O1436" s="39" t="s">
        <v>49</v>
      </c>
      <c r="P1436" s="130"/>
      <c r="Q1436" s="19">
        <v>85</v>
      </c>
      <c r="R1436" s="59">
        <f>Q1436/I1436</f>
        <v>0.14529914529914531</v>
      </c>
      <c r="S1436" s="5">
        <v>29</v>
      </c>
      <c r="U1436" s="109" t="s">
        <v>129</v>
      </c>
      <c r="V1436" s="83" t="s">
        <v>362</v>
      </c>
      <c r="W1436" s="8" t="s">
        <v>368</v>
      </c>
      <c r="Y1436" s="175"/>
      <c r="Z1436" s="175"/>
      <c r="AA1436" s="175"/>
      <c r="AB1436" s="175"/>
      <c r="AC1436" s="175"/>
      <c r="AD1436" s="175"/>
      <c r="AE1436" s="175"/>
      <c r="AF1436" s="175"/>
      <c r="AG1436" s="175"/>
      <c r="AH1436" s="175"/>
    </row>
    <row r="1437" spans="1:34">
      <c r="A1437" s="165" t="s">
        <v>1383</v>
      </c>
      <c r="B1437" s="39" t="s">
        <v>63</v>
      </c>
      <c r="C1437" s="41">
        <v>46205</v>
      </c>
      <c r="D1437" s="144">
        <v>0.83333333333333337</v>
      </c>
      <c r="E1437" s="8"/>
      <c r="F1437" s="8" t="s">
        <v>1023</v>
      </c>
      <c r="G1437" s="2">
        <v>1</v>
      </c>
      <c r="H1437" s="2">
        <v>9</v>
      </c>
      <c r="I1437" s="45">
        <v>200</v>
      </c>
      <c r="J1437" s="2" t="s">
        <v>766</v>
      </c>
      <c r="K1437" s="88" t="s">
        <v>806</v>
      </c>
      <c r="L1437" s="92">
        <v>20000</v>
      </c>
      <c r="M1437" s="10">
        <v>20</v>
      </c>
      <c r="N1437" s="39" t="s">
        <v>817</v>
      </c>
      <c r="O1437" s="39" t="s">
        <v>49</v>
      </c>
      <c r="P1437" s="130"/>
      <c r="Q1437" s="19">
        <v>45</v>
      </c>
      <c r="R1437" s="15">
        <f>Q1437/I1437</f>
        <v>0.22500000000000001</v>
      </c>
      <c r="S1437" s="5">
        <v>23</v>
      </c>
      <c r="U1437" s="109" t="s">
        <v>129</v>
      </c>
      <c r="V1437" s="71" t="s">
        <v>360</v>
      </c>
      <c r="Y1437" s="175"/>
      <c r="Z1437" s="175"/>
      <c r="AA1437" s="175"/>
      <c r="AB1437" s="175"/>
      <c r="AC1437" s="175"/>
      <c r="AD1437" s="175"/>
      <c r="AE1437" s="175"/>
      <c r="AF1437" s="175"/>
      <c r="AG1437" s="175"/>
      <c r="AH1437" s="175"/>
    </row>
    <row r="1438" spans="1:34">
      <c r="A1438" s="165" t="s">
        <v>1383</v>
      </c>
      <c r="B1438" s="39" t="s">
        <v>63</v>
      </c>
      <c r="C1438" s="41">
        <v>46205</v>
      </c>
      <c r="D1438" s="144">
        <v>0.91666666666666663</v>
      </c>
      <c r="F1438" s="8" t="s">
        <v>909</v>
      </c>
      <c r="G1438" s="2">
        <v>1</v>
      </c>
      <c r="H1438" s="2">
        <v>9</v>
      </c>
      <c r="I1438" s="45">
        <v>135</v>
      </c>
      <c r="J1438" s="2" t="s">
        <v>766</v>
      </c>
      <c r="K1438" s="88" t="s">
        <v>813</v>
      </c>
      <c r="L1438" s="92">
        <v>10000</v>
      </c>
      <c r="M1438" s="69">
        <v>15</v>
      </c>
      <c r="N1438" s="132" t="s">
        <v>821</v>
      </c>
      <c r="O1438" s="39" t="s">
        <v>49</v>
      </c>
      <c r="P1438" s="130"/>
      <c r="Q1438" s="19">
        <v>35</v>
      </c>
      <c r="R1438" s="15">
        <f>Q1438/I1438</f>
        <v>0.25925925925925924</v>
      </c>
      <c r="S1438" s="5">
        <v>22</v>
      </c>
      <c r="U1438" s="109" t="s">
        <v>767</v>
      </c>
      <c r="V1438" s="71" t="s">
        <v>362</v>
      </c>
      <c r="W1438" s="8" t="s">
        <v>369</v>
      </c>
      <c r="Y1438" s="175"/>
      <c r="Z1438" s="175"/>
      <c r="AA1438" s="175"/>
      <c r="AB1438" s="175"/>
      <c r="AC1438" s="175"/>
      <c r="AD1438" s="175"/>
      <c r="AE1438" s="175"/>
      <c r="AF1438" s="175"/>
      <c r="AG1438" s="175"/>
      <c r="AH1438" s="175"/>
    </row>
    <row r="1439" spans="1:34">
      <c r="A1439" s="96" t="s">
        <v>461</v>
      </c>
      <c r="B1439" s="96" t="s">
        <v>462</v>
      </c>
      <c r="C1439" s="41">
        <v>46205</v>
      </c>
      <c r="D1439" s="42">
        <v>0.92361111111111116</v>
      </c>
      <c r="F1439" s="8" t="s">
        <v>456</v>
      </c>
      <c r="G1439" s="2">
        <v>1</v>
      </c>
      <c r="I1439" s="126">
        <v>120</v>
      </c>
      <c r="J1439" s="2" t="s">
        <v>766</v>
      </c>
      <c r="K1439" s="109" t="s">
        <v>737</v>
      </c>
      <c r="L1439" s="194">
        <v>20000</v>
      </c>
      <c r="M1439" s="69">
        <v>15</v>
      </c>
      <c r="N1439" s="39" t="s">
        <v>48</v>
      </c>
      <c r="O1439" s="39" t="s">
        <v>49</v>
      </c>
      <c r="P1439" s="136" t="s">
        <v>827</v>
      </c>
      <c r="Q1439" s="19">
        <v>24</v>
      </c>
      <c r="R1439" s="15">
        <f>Q1439/I1439</f>
        <v>0.2</v>
      </c>
      <c r="S1439" s="5">
        <f>($AC1439*$AD1439)/(($Z1439/$Y1439)+($AA1439/$Z1439)+($AB1439/$AA1439))</f>
        <v>25.161290322580644</v>
      </c>
      <c r="U1439" s="109" t="s">
        <v>463</v>
      </c>
      <c r="V1439" s="2" t="s">
        <v>735</v>
      </c>
      <c r="W1439" s="2" t="s">
        <v>464</v>
      </c>
      <c r="Y1439" s="2">
        <v>2.5</v>
      </c>
      <c r="Z1439" s="2">
        <v>7.5</v>
      </c>
      <c r="AA1439" s="2">
        <v>30</v>
      </c>
      <c r="AB1439" s="2">
        <v>100</v>
      </c>
      <c r="AC1439" s="2">
        <v>13</v>
      </c>
      <c r="AD1439" s="2">
        <v>20</v>
      </c>
      <c r="AE1439" s="2">
        <f>AC1439*AD1439</f>
        <v>260</v>
      </c>
      <c r="AF1439" s="2">
        <f>Z1439/Y1439</f>
        <v>3</v>
      </c>
      <c r="AG1439" s="2">
        <f>AA1439/Z1439</f>
        <v>4</v>
      </c>
      <c r="AH1439" s="2">
        <f>AB1439/AA1439</f>
        <v>3.3333333333333335</v>
      </c>
    </row>
    <row r="1440" spans="1:34">
      <c r="A1440" s="165" t="s">
        <v>1383</v>
      </c>
      <c r="B1440" s="36" t="s">
        <v>63</v>
      </c>
      <c r="C1440" s="41">
        <v>46205</v>
      </c>
      <c r="D1440" s="144" t="s">
        <v>117</v>
      </c>
      <c r="E1440" s="14">
        <v>81</v>
      </c>
      <c r="F1440" s="8" t="s">
        <v>999</v>
      </c>
      <c r="G1440" s="2">
        <v>2</v>
      </c>
      <c r="H1440" s="2">
        <v>9</v>
      </c>
      <c r="I1440" s="45">
        <v>800</v>
      </c>
      <c r="J1440" s="2" t="s">
        <v>761</v>
      </c>
      <c r="K1440" s="109" t="s">
        <v>601</v>
      </c>
      <c r="L1440" s="92">
        <v>40000</v>
      </c>
      <c r="M1440" s="69">
        <v>30</v>
      </c>
      <c r="N1440" s="39" t="s">
        <v>48</v>
      </c>
      <c r="O1440" s="39" t="s">
        <v>49</v>
      </c>
      <c r="P1440" s="130"/>
      <c r="Q1440" s="19">
        <f>R1440*I1440</f>
        <v>100</v>
      </c>
      <c r="R1440" s="15">
        <v>0.125</v>
      </c>
      <c r="S1440" s="5">
        <f>($AC1440*$AD1440)/(($Z1440/$Y1440)+($AA1440/$Z1440)+($AB1440/$AA1440))</f>
        <v>77.027027027027017</v>
      </c>
      <c r="U1440" s="109" t="s">
        <v>767</v>
      </c>
      <c r="V1440" s="205" t="s">
        <v>121</v>
      </c>
      <c r="W1440" s="205"/>
      <c r="Y1440" s="2">
        <v>2</v>
      </c>
      <c r="Z1440" s="2">
        <v>5</v>
      </c>
      <c r="AA1440" s="2">
        <v>12.5</v>
      </c>
      <c r="AB1440" s="2">
        <v>30</v>
      </c>
      <c r="AC1440" s="2">
        <v>30</v>
      </c>
      <c r="AD1440" s="2">
        <v>19</v>
      </c>
      <c r="AE1440" s="2">
        <f>AC1440*AD1440</f>
        <v>570</v>
      </c>
      <c r="AF1440" s="2">
        <f>Z1440/Y1440</f>
        <v>2.5</v>
      </c>
      <c r="AG1440" s="2">
        <f>AA1440/Z1440</f>
        <v>2.5</v>
      </c>
      <c r="AH1440" s="2">
        <f>AB1440/AA1440</f>
        <v>2.4</v>
      </c>
    </row>
    <row r="1441" spans="1:34">
      <c r="A1441" s="165" t="s">
        <v>1383</v>
      </c>
      <c r="B1441" s="36" t="s">
        <v>63</v>
      </c>
      <c r="C1441" s="41">
        <v>46205</v>
      </c>
      <c r="D1441" s="144" t="s">
        <v>120</v>
      </c>
      <c r="E1441" s="14">
        <v>82</v>
      </c>
      <c r="F1441" s="8" t="s">
        <v>1032</v>
      </c>
      <c r="G1441" s="2">
        <v>8</v>
      </c>
      <c r="H1441" s="2">
        <v>9</v>
      </c>
      <c r="I1441" s="45">
        <v>10000</v>
      </c>
      <c r="J1441" s="2" t="s">
        <v>110</v>
      </c>
      <c r="K1441" s="109" t="s">
        <v>737</v>
      </c>
      <c r="L1441" s="92">
        <v>60000</v>
      </c>
      <c r="M1441" s="69">
        <v>120</v>
      </c>
      <c r="N1441" s="39" t="s">
        <v>48</v>
      </c>
      <c r="O1441" s="39" t="s">
        <v>49</v>
      </c>
      <c r="P1441" s="130"/>
      <c r="Q1441" s="19">
        <f>R1441*I1441</f>
        <v>700.00000000000011</v>
      </c>
      <c r="R1441" s="15">
        <v>7.0000000000000007E-2</v>
      </c>
      <c r="S1441" s="5">
        <f>($AC1441*$AD1441)/(($Z1441/$Y1441)+($AA1441/$Z1441)+($AB1441/$AA1441))</f>
        <v>340.18691588785049</v>
      </c>
      <c r="U1441" s="109" t="s">
        <v>853</v>
      </c>
      <c r="V1441" s="2" t="s">
        <v>121</v>
      </c>
      <c r="W1441" s="205"/>
      <c r="Y1441" s="2">
        <v>2</v>
      </c>
      <c r="Z1441" s="2">
        <v>5</v>
      </c>
      <c r="AA1441" s="2">
        <v>13</v>
      </c>
      <c r="AB1441" s="2">
        <v>30</v>
      </c>
      <c r="AC1441" s="2">
        <v>120</v>
      </c>
      <c r="AD1441" s="2">
        <v>21</v>
      </c>
      <c r="AE1441" s="2">
        <f>AC1441*AD1441</f>
        <v>2520</v>
      </c>
      <c r="AF1441" s="2">
        <f>Z1441/Y1441</f>
        <v>2.5</v>
      </c>
      <c r="AG1441" s="2">
        <f>AA1441/Z1441</f>
        <v>2.6</v>
      </c>
      <c r="AH1441" s="2">
        <f>AB1441/AA1441</f>
        <v>2.3076923076923075</v>
      </c>
    </row>
    <row r="1442" spans="1:34">
      <c r="A1442" s="165" t="s">
        <v>1383</v>
      </c>
      <c r="B1442" s="36" t="s">
        <v>63</v>
      </c>
      <c r="C1442" s="41">
        <v>46205</v>
      </c>
      <c r="D1442" s="144" t="s">
        <v>115</v>
      </c>
      <c r="E1442" s="8">
        <v>79</v>
      </c>
      <c r="F1442" s="8" t="s">
        <v>1179</v>
      </c>
      <c r="G1442" s="2">
        <v>3</v>
      </c>
      <c r="H1442" s="2">
        <v>9</v>
      </c>
      <c r="I1442" s="45">
        <v>3000</v>
      </c>
      <c r="J1442" s="2" t="s">
        <v>110</v>
      </c>
      <c r="K1442" s="109" t="s">
        <v>598</v>
      </c>
      <c r="L1442" s="92">
        <v>40000</v>
      </c>
      <c r="M1442" s="69" t="s">
        <v>97</v>
      </c>
      <c r="N1442" s="39" t="s">
        <v>48</v>
      </c>
      <c r="O1442" s="39" t="s">
        <v>49</v>
      </c>
      <c r="P1442" s="130"/>
      <c r="Q1442" s="19">
        <f>R1442*I1442</f>
        <v>330</v>
      </c>
      <c r="R1442" s="15">
        <v>0.11</v>
      </c>
      <c r="S1442" s="5">
        <f>($AC1442*$AD1442)/(($Z1442/$Y1442)+($AA1442/$Z1442)+($AB1442/$AA1442))</f>
        <v>102.59605399792316</v>
      </c>
      <c r="U1442" s="109" t="s">
        <v>853</v>
      </c>
      <c r="V1442" s="205" t="s">
        <v>121</v>
      </c>
      <c r="Y1442" s="73">
        <v>2</v>
      </c>
      <c r="Z1442" s="73">
        <v>5</v>
      </c>
      <c r="AA1442" s="73">
        <v>13</v>
      </c>
      <c r="AB1442" s="73">
        <v>30</v>
      </c>
      <c r="AC1442" s="73">
        <v>40</v>
      </c>
      <c r="AD1442" s="73">
        <v>19</v>
      </c>
      <c r="AE1442" s="2">
        <f>AC1442*AD1442</f>
        <v>760</v>
      </c>
      <c r="AF1442" s="2">
        <f>Z1442/Y1442</f>
        <v>2.5</v>
      </c>
      <c r="AG1442" s="2">
        <f>AA1442/Z1442</f>
        <v>2.6</v>
      </c>
      <c r="AH1442" s="2">
        <f>AB1442/AA1442</f>
        <v>2.3076923076923075</v>
      </c>
    </row>
    <row r="1443" spans="1:34">
      <c r="A1443" s="165" t="s">
        <v>1383</v>
      </c>
      <c r="B1443" s="36" t="s">
        <v>63</v>
      </c>
      <c r="C1443" s="41">
        <v>46205</v>
      </c>
      <c r="D1443" s="144" t="s">
        <v>116</v>
      </c>
      <c r="E1443" s="8">
        <v>83</v>
      </c>
      <c r="F1443" s="8" t="s">
        <v>179</v>
      </c>
      <c r="G1443" s="2">
        <v>3</v>
      </c>
      <c r="H1443" s="2">
        <v>8</v>
      </c>
      <c r="I1443" s="45">
        <v>1500</v>
      </c>
      <c r="J1443" s="2" t="s">
        <v>762</v>
      </c>
      <c r="K1443" s="109" t="s">
        <v>598</v>
      </c>
      <c r="L1443" s="92">
        <v>25000</v>
      </c>
      <c r="M1443" s="69" t="s">
        <v>97</v>
      </c>
      <c r="N1443" s="39" t="s">
        <v>48</v>
      </c>
      <c r="O1443" s="39" t="s">
        <v>57</v>
      </c>
      <c r="P1443" s="66"/>
      <c r="Q1443" s="38">
        <f>R1443*I1443</f>
        <v>172.5</v>
      </c>
      <c r="R1443" s="15">
        <v>0.115</v>
      </c>
      <c r="S1443" s="149" t="s">
        <v>110</v>
      </c>
      <c r="T1443" s="149"/>
      <c r="U1443" s="109" t="s">
        <v>852</v>
      </c>
      <c r="V1443" s="2" t="s">
        <v>121</v>
      </c>
      <c r="W1443" s="205"/>
      <c r="AE1443" s="2">
        <f>AC1443*AD1443</f>
        <v>0</v>
      </c>
      <c r="AF1443" s="2" t="e">
        <f>Z1443/Y1443</f>
        <v>#DIV/0!</v>
      </c>
      <c r="AG1443" s="2" t="e">
        <f>AA1443/Z1443</f>
        <v>#DIV/0!</v>
      </c>
      <c r="AH1443" s="2" t="e">
        <f>AB1443/AA1443</f>
        <v>#DIV/0!</v>
      </c>
    </row>
    <row r="1444" spans="1:34">
      <c r="A1444" s="165" t="s">
        <v>1383</v>
      </c>
      <c r="B1444" s="36" t="s">
        <v>63</v>
      </c>
      <c r="C1444" s="41">
        <v>46205</v>
      </c>
      <c r="D1444" s="144" t="s">
        <v>876</v>
      </c>
      <c r="E1444" s="14">
        <v>72</v>
      </c>
      <c r="F1444" s="8" t="s">
        <v>1211</v>
      </c>
      <c r="G1444" s="2">
        <v>3</v>
      </c>
      <c r="H1444" s="2">
        <v>9</v>
      </c>
      <c r="I1444" s="45">
        <v>1000</v>
      </c>
      <c r="J1444" s="2" t="s">
        <v>110</v>
      </c>
      <c r="K1444" s="109" t="s">
        <v>601</v>
      </c>
      <c r="L1444" s="92">
        <v>60000</v>
      </c>
      <c r="M1444" s="69">
        <v>30</v>
      </c>
      <c r="N1444" s="39" t="s">
        <v>48</v>
      </c>
      <c r="O1444" s="39" t="s">
        <v>49</v>
      </c>
      <c r="P1444" s="130"/>
      <c r="Q1444" s="19">
        <f>R1444*I1444</f>
        <v>120</v>
      </c>
      <c r="R1444" s="15">
        <v>0.12</v>
      </c>
      <c r="S1444" s="5">
        <f>($AC1444*$AD1444)/(($Z1444/$Y1444)+($AA1444/$Z1444)+($AB1444/$AA1444))</f>
        <v>85.046728971962622</v>
      </c>
      <c r="U1444" s="109" t="s">
        <v>767</v>
      </c>
      <c r="V1444" s="205" t="s">
        <v>121</v>
      </c>
      <c r="W1444" s="205"/>
      <c r="Y1444" s="2">
        <v>2</v>
      </c>
      <c r="Z1444" s="2">
        <v>5</v>
      </c>
      <c r="AA1444" s="2">
        <v>13</v>
      </c>
      <c r="AB1444" s="2">
        <v>30</v>
      </c>
      <c r="AC1444" s="2">
        <v>30</v>
      </c>
      <c r="AD1444" s="2">
        <v>21</v>
      </c>
      <c r="AE1444" s="2">
        <f>AC1444*AD1444</f>
        <v>630</v>
      </c>
      <c r="AF1444" s="2">
        <f>Z1444/Y1444</f>
        <v>2.5</v>
      </c>
      <c r="AG1444" s="2">
        <f>AA1444/Z1444</f>
        <v>2.6</v>
      </c>
      <c r="AH1444" s="2">
        <f>AB1444/AA1444</f>
        <v>2.3076923076923075</v>
      </c>
    </row>
    <row r="1445" spans="1:34">
      <c r="A1445" s="165" t="s">
        <v>1383</v>
      </c>
      <c r="B1445" s="36" t="s">
        <v>63</v>
      </c>
      <c r="C1445" s="41">
        <v>46205</v>
      </c>
      <c r="D1445" s="144" t="s">
        <v>876</v>
      </c>
      <c r="E1445" s="8">
        <v>76</v>
      </c>
      <c r="F1445" s="8" t="s">
        <v>1258</v>
      </c>
      <c r="G1445" s="2">
        <v>3</v>
      </c>
      <c r="H1445" s="2">
        <v>8</v>
      </c>
      <c r="I1445" s="45">
        <v>100000</v>
      </c>
      <c r="J1445" s="2" t="s">
        <v>762</v>
      </c>
      <c r="K1445" s="109" t="s">
        <v>601</v>
      </c>
      <c r="L1445" s="92">
        <v>600000</v>
      </c>
      <c r="M1445" s="69">
        <v>40</v>
      </c>
      <c r="N1445" s="39" t="s">
        <v>48</v>
      </c>
      <c r="O1445" s="39" t="s">
        <v>57</v>
      </c>
      <c r="P1445" s="66"/>
      <c r="Q1445" s="38">
        <f>R1445*I1445</f>
        <v>4000</v>
      </c>
      <c r="R1445" s="15">
        <v>0.04</v>
      </c>
      <c r="S1445" s="149" t="s">
        <v>110</v>
      </c>
      <c r="T1445" s="149"/>
      <c r="U1445" s="109" t="s">
        <v>767</v>
      </c>
      <c r="V1445" s="2" t="s">
        <v>121</v>
      </c>
      <c r="W1445" s="205"/>
      <c r="AE1445" s="2">
        <f>AC1445*AD1445</f>
        <v>0</v>
      </c>
      <c r="AF1445" s="2" t="e">
        <f>Z1445/Y1445</f>
        <v>#DIV/0!</v>
      </c>
      <c r="AG1445" s="2" t="e">
        <f>AA1445/Z1445</f>
        <v>#DIV/0!</v>
      </c>
      <c r="AH1445" s="2" t="e">
        <f>AB1445/AA1445</f>
        <v>#DIV/0!</v>
      </c>
    </row>
    <row r="1446" spans="1:34">
      <c r="A1446" s="165" t="s">
        <v>1383</v>
      </c>
      <c r="B1446" s="36" t="s">
        <v>63</v>
      </c>
      <c r="C1446" s="41">
        <v>46205</v>
      </c>
      <c r="D1446" s="144" t="s">
        <v>876</v>
      </c>
      <c r="E1446" s="8">
        <v>77</v>
      </c>
      <c r="F1446" s="8" t="s">
        <v>1262</v>
      </c>
      <c r="G1446" s="2">
        <v>3</v>
      </c>
      <c r="H1446" s="2">
        <v>9</v>
      </c>
      <c r="I1446" s="45">
        <v>2500</v>
      </c>
      <c r="J1446" s="2" t="s">
        <v>760</v>
      </c>
      <c r="K1446" s="109" t="s">
        <v>602</v>
      </c>
      <c r="L1446" s="92">
        <v>35000</v>
      </c>
      <c r="M1446" s="69" t="s">
        <v>97</v>
      </c>
      <c r="N1446" s="39" t="s">
        <v>48</v>
      </c>
      <c r="O1446" s="39" t="s">
        <v>860</v>
      </c>
      <c r="P1446" s="66"/>
      <c r="Q1446" s="38">
        <f>R1446*I1446</f>
        <v>275</v>
      </c>
      <c r="R1446" s="15">
        <v>0.11</v>
      </c>
      <c r="S1446" s="149" t="s">
        <v>110</v>
      </c>
      <c r="T1446" s="149"/>
      <c r="U1446" s="109" t="s">
        <v>767</v>
      </c>
      <c r="V1446" s="205" t="s">
        <v>121</v>
      </c>
      <c r="W1446" s="205"/>
      <c r="AE1446" s="2">
        <f>AC1446*AD1446</f>
        <v>0</v>
      </c>
      <c r="AF1446" s="2" t="e">
        <f>Z1446/Y1446</f>
        <v>#DIV/0!</v>
      </c>
      <c r="AG1446" s="2" t="e">
        <f>AA1446/Z1446</f>
        <v>#DIV/0!</v>
      </c>
      <c r="AH1446" s="2" t="e">
        <f>AB1446/AA1446</f>
        <v>#DIV/0!</v>
      </c>
    </row>
    <row r="1447" spans="1:34">
      <c r="A1447" s="165" t="s">
        <v>1383</v>
      </c>
      <c r="B1447" s="39" t="s">
        <v>63</v>
      </c>
      <c r="C1447" s="145">
        <v>46206</v>
      </c>
      <c r="D1447" s="144">
        <v>0.33333333333333331</v>
      </c>
      <c r="E1447" s="8"/>
      <c r="F1447" s="8" t="s">
        <v>910</v>
      </c>
      <c r="G1447" s="2">
        <v>1</v>
      </c>
      <c r="H1447" s="2">
        <v>9</v>
      </c>
      <c r="I1447" s="45">
        <v>150</v>
      </c>
      <c r="J1447" s="2" t="s">
        <v>766</v>
      </c>
      <c r="K1447" s="88" t="s">
        <v>768</v>
      </c>
      <c r="L1447" s="92">
        <v>10000</v>
      </c>
      <c r="M1447" s="10">
        <v>10</v>
      </c>
      <c r="N1447" s="132" t="s">
        <v>821</v>
      </c>
      <c r="O1447" s="39" t="s">
        <v>49</v>
      </c>
      <c r="P1447" s="130"/>
      <c r="Q1447" s="19">
        <v>35</v>
      </c>
      <c r="R1447" s="15">
        <f>Q1447/I1447</f>
        <v>0.23333333333333334</v>
      </c>
      <c r="S1447" s="5">
        <f>($AC1447*$AD1447)/(($Z1447/$Y1447)+($AA1447/$Z1447)+($AB1447/$AA1447))</f>
        <v>9.9248120300751879</v>
      </c>
      <c r="U1447" s="109" t="s">
        <v>129</v>
      </c>
      <c r="V1447" s="83" t="s">
        <v>361</v>
      </c>
      <c r="W1447" s="153" t="s">
        <v>385</v>
      </c>
      <c r="Y1447" s="2">
        <v>2</v>
      </c>
      <c r="Z1447" s="2">
        <v>7.5</v>
      </c>
      <c r="AA1447" s="2">
        <v>25</v>
      </c>
      <c r="AB1447" s="2">
        <v>100</v>
      </c>
      <c r="AC1447" s="2">
        <v>11</v>
      </c>
      <c r="AD1447" s="2">
        <v>10</v>
      </c>
      <c r="AE1447" s="2">
        <f>AC1447*AD1447</f>
        <v>110</v>
      </c>
      <c r="AF1447" s="2">
        <f>Z1447/Y1447</f>
        <v>3.75</v>
      </c>
      <c r="AG1447" s="2">
        <f>AA1447/Z1447</f>
        <v>3.3333333333333335</v>
      </c>
      <c r="AH1447" s="2">
        <f>AB1447/AA1447</f>
        <v>4</v>
      </c>
    </row>
    <row r="1448" spans="1:34">
      <c r="A1448" s="165" t="s">
        <v>1383</v>
      </c>
      <c r="B1448" s="39" t="s">
        <v>63</v>
      </c>
      <c r="C1448" s="41">
        <v>46206</v>
      </c>
      <c r="D1448" s="144">
        <v>0.33333333333333331</v>
      </c>
      <c r="E1448" s="193"/>
      <c r="F1448" s="8" t="s">
        <v>907</v>
      </c>
      <c r="G1448" s="2">
        <v>1</v>
      </c>
      <c r="H1448" s="2">
        <v>9</v>
      </c>
      <c r="I1448" s="45">
        <v>1100</v>
      </c>
      <c r="J1448" s="2" t="s">
        <v>766</v>
      </c>
      <c r="K1448" s="88" t="s">
        <v>768</v>
      </c>
      <c r="L1448" s="92">
        <v>15000</v>
      </c>
      <c r="M1448" s="82">
        <v>10</v>
      </c>
      <c r="N1448" s="132" t="s">
        <v>821</v>
      </c>
      <c r="O1448" s="39" t="s">
        <v>49</v>
      </c>
      <c r="P1448" s="130"/>
      <c r="Q1448" s="19">
        <f>88+37</f>
        <v>125</v>
      </c>
      <c r="R1448" s="15">
        <f>Q1448/I1448</f>
        <v>0.11363636363636363</v>
      </c>
      <c r="S1448" s="5">
        <v>11</v>
      </c>
      <c r="U1448" s="109" t="s">
        <v>129</v>
      </c>
      <c r="V1448" s="71" t="s">
        <v>362</v>
      </c>
      <c r="W1448" s="8" t="s">
        <v>370</v>
      </c>
      <c r="Y1448" s="175"/>
      <c r="Z1448" s="175"/>
      <c r="AA1448" s="175"/>
      <c r="AB1448" s="175"/>
      <c r="AC1448" s="175"/>
      <c r="AD1448" s="175"/>
      <c r="AE1448" s="175"/>
      <c r="AF1448" s="175"/>
      <c r="AG1448" s="175"/>
      <c r="AH1448" s="175"/>
    </row>
    <row r="1449" spans="1:34">
      <c r="A1449" s="165" t="s">
        <v>1383</v>
      </c>
      <c r="B1449" s="39" t="s">
        <v>63</v>
      </c>
      <c r="C1449" s="41">
        <v>46206</v>
      </c>
      <c r="D1449" s="144">
        <v>0.41666666666666669</v>
      </c>
      <c r="E1449" s="193"/>
      <c r="F1449" s="8" t="s">
        <v>918</v>
      </c>
      <c r="G1449" s="2">
        <v>1</v>
      </c>
      <c r="H1449" s="2">
        <v>9</v>
      </c>
      <c r="I1449" s="81">
        <v>585</v>
      </c>
      <c r="J1449" s="2" t="s">
        <v>766</v>
      </c>
      <c r="K1449" s="88" t="s">
        <v>790</v>
      </c>
      <c r="L1449" s="92">
        <v>10000</v>
      </c>
      <c r="M1449" s="69">
        <v>20</v>
      </c>
      <c r="N1449" s="132" t="s">
        <v>821</v>
      </c>
      <c r="O1449" s="39" t="s">
        <v>49</v>
      </c>
      <c r="P1449" s="130"/>
      <c r="Q1449" s="19">
        <v>85</v>
      </c>
      <c r="R1449" s="59">
        <f>Q1449/I1449</f>
        <v>0.14529914529914531</v>
      </c>
      <c r="S1449" s="5">
        <v>20</v>
      </c>
      <c r="U1449" s="109" t="s">
        <v>767</v>
      </c>
      <c r="V1449" s="83" t="s">
        <v>362</v>
      </c>
      <c r="W1449" s="8" t="s">
        <v>386</v>
      </c>
      <c r="Y1449" s="175"/>
      <c r="Z1449" s="175"/>
      <c r="AA1449" s="175"/>
      <c r="AB1449" s="175"/>
      <c r="AC1449" s="175"/>
      <c r="AD1449" s="175"/>
      <c r="AE1449" s="175"/>
      <c r="AF1449" s="175"/>
      <c r="AG1449" s="175"/>
      <c r="AH1449" s="175"/>
    </row>
    <row r="1450" spans="1:34">
      <c r="A1450" s="96" t="s">
        <v>461</v>
      </c>
      <c r="B1450" s="96" t="s">
        <v>462</v>
      </c>
      <c r="C1450" s="41">
        <v>46206</v>
      </c>
      <c r="D1450" s="42">
        <v>0.4236111111111111</v>
      </c>
      <c r="E1450" s="193"/>
      <c r="F1450" s="8" t="s">
        <v>457</v>
      </c>
      <c r="G1450" s="2">
        <v>1</v>
      </c>
      <c r="I1450" s="126">
        <v>120</v>
      </c>
      <c r="J1450" s="2" t="s">
        <v>766</v>
      </c>
      <c r="K1450" s="109" t="s">
        <v>602</v>
      </c>
      <c r="L1450" s="194">
        <v>20000</v>
      </c>
      <c r="M1450" s="69">
        <v>20</v>
      </c>
      <c r="N1450" s="39" t="s">
        <v>48</v>
      </c>
      <c r="O1450" s="39" t="s">
        <v>49</v>
      </c>
      <c r="P1450" s="211" t="s">
        <v>832</v>
      </c>
      <c r="Q1450" s="19">
        <v>24</v>
      </c>
      <c r="R1450" s="15">
        <f>Q1450/I1450</f>
        <v>0.2</v>
      </c>
      <c r="S1450" s="5">
        <f>($AC1450*$AD1450)/(($Z1450/$Y1450)+($AA1450/$Z1450)+($AB1450/$AA1450))</f>
        <v>25.161290322580644</v>
      </c>
      <c r="U1450" s="109" t="s">
        <v>767</v>
      </c>
      <c r="V1450" s="2" t="s">
        <v>735</v>
      </c>
      <c r="Y1450" s="2">
        <v>2.5</v>
      </c>
      <c r="Z1450" s="2">
        <v>7.5</v>
      </c>
      <c r="AA1450" s="2">
        <v>30</v>
      </c>
      <c r="AB1450" s="2">
        <v>100</v>
      </c>
      <c r="AC1450" s="2">
        <v>13</v>
      </c>
      <c r="AD1450" s="2">
        <v>20</v>
      </c>
      <c r="AE1450" s="2">
        <f>AC1450*AD1450</f>
        <v>260</v>
      </c>
      <c r="AF1450" s="2">
        <f>Z1450/Y1450</f>
        <v>3</v>
      </c>
      <c r="AG1450" s="2">
        <f>AA1450/Z1450</f>
        <v>4</v>
      </c>
      <c r="AH1450" s="2">
        <f>AB1450/AA1450</f>
        <v>3.3333333333333335</v>
      </c>
    </row>
    <row r="1451" spans="1:34">
      <c r="A1451" s="68" t="s">
        <v>357</v>
      </c>
      <c r="B1451" s="68" t="s">
        <v>358</v>
      </c>
      <c r="C1451" s="191">
        <v>46206</v>
      </c>
      <c r="D1451" s="42">
        <v>0.4236111111111111</v>
      </c>
      <c r="E1451" s="8">
        <v>78</v>
      </c>
      <c r="F1451" s="63" t="s">
        <v>329</v>
      </c>
      <c r="G1451" s="2">
        <v>1</v>
      </c>
      <c r="H1451" s="2">
        <v>9</v>
      </c>
      <c r="I1451" s="126">
        <v>1100</v>
      </c>
      <c r="J1451" s="2" t="s">
        <v>766</v>
      </c>
      <c r="K1451" s="137" t="s">
        <v>816</v>
      </c>
      <c r="L1451" s="92">
        <v>40000</v>
      </c>
      <c r="M1451" s="69">
        <v>30</v>
      </c>
      <c r="N1451" s="39" t="s">
        <v>48</v>
      </c>
      <c r="O1451" s="39" t="s">
        <v>49</v>
      </c>
      <c r="P1451" s="211" t="s">
        <v>840</v>
      </c>
      <c r="Q1451" s="19">
        <v>135</v>
      </c>
      <c r="R1451" s="15">
        <f>Q1451/I1451</f>
        <v>0.12272727272727273</v>
      </c>
      <c r="S1451" s="5">
        <f>($AC1451*$AD1451)/(($Z1451/$Y1451)+($AA1451/$Z1451)+($AB1451/$AA1451))</f>
        <v>71.293161814488826</v>
      </c>
      <c r="U1451" s="109" t="s">
        <v>219</v>
      </c>
      <c r="V1451" s="2" t="s">
        <v>697</v>
      </c>
      <c r="W1451" s="162" t="s">
        <v>389</v>
      </c>
      <c r="Y1451" s="2">
        <v>2.5</v>
      </c>
      <c r="Z1451" s="2">
        <v>6.5</v>
      </c>
      <c r="AA1451" s="2">
        <v>15</v>
      </c>
      <c r="AB1451" s="2">
        <v>40</v>
      </c>
      <c r="AC1451" s="2">
        <v>30</v>
      </c>
      <c r="AD1451" s="2">
        <v>18</v>
      </c>
      <c r="AE1451" s="2">
        <f>AC1451*AD1451</f>
        <v>540</v>
      </c>
      <c r="AF1451" s="2">
        <f>Z1451/Y1451</f>
        <v>2.6</v>
      </c>
      <c r="AG1451" s="2">
        <f>AA1451/Z1451</f>
        <v>2.3076923076923075</v>
      </c>
      <c r="AH1451" s="2">
        <f>AB1451/AA1451</f>
        <v>2.6666666666666665</v>
      </c>
    </row>
    <row r="1452" spans="1:34">
      <c r="A1452" s="165" t="s">
        <v>1383</v>
      </c>
      <c r="B1452" s="36" t="s">
        <v>63</v>
      </c>
      <c r="C1452" s="41">
        <v>46206</v>
      </c>
      <c r="D1452" s="144">
        <v>0.45833333333333331</v>
      </c>
      <c r="E1452" s="8">
        <v>78</v>
      </c>
      <c r="F1452" s="8" t="s">
        <v>1294</v>
      </c>
      <c r="G1452" s="2">
        <v>4</v>
      </c>
      <c r="H1452" s="2">
        <v>9</v>
      </c>
      <c r="I1452" s="45">
        <v>600</v>
      </c>
      <c r="J1452" s="2" t="s">
        <v>760</v>
      </c>
      <c r="K1452" s="109" t="s">
        <v>598</v>
      </c>
      <c r="L1452" s="92">
        <v>30000</v>
      </c>
      <c r="M1452" s="69" t="s">
        <v>97</v>
      </c>
      <c r="N1452" s="39" t="s">
        <v>48</v>
      </c>
      <c r="O1452" s="39" t="s">
        <v>49</v>
      </c>
      <c r="P1452" s="130"/>
      <c r="Q1452" s="19">
        <f>R1452*I1452</f>
        <v>96</v>
      </c>
      <c r="R1452" s="15">
        <v>0.16</v>
      </c>
      <c r="S1452" s="5">
        <f>($AC1452*$AD1452)/(($Z1452/$Y1452)+($AA1452/$Z1452)+($AB1452/$AA1452))</f>
        <v>99.130434782608702</v>
      </c>
      <c r="U1452" s="109" t="s">
        <v>767</v>
      </c>
      <c r="V1452" s="2" t="s">
        <v>121</v>
      </c>
      <c r="W1452" s="205"/>
      <c r="Y1452" s="2">
        <v>1.5</v>
      </c>
      <c r="Z1452" s="2">
        <v>4</v>
      </c>
      <c r="AA1452" s="2">
        <v>10</v>
      </c>
      <c r="AB1452" s="2">
        <v>25</v>
      </c>
      <c r="AC1452" s="2">
        <v>40</v>
      </c>
      <c r="AD1452" s="2">
        <v>19</v>
      </c>
      <c r="AE1452" s="2">
        <f>AC1452*AD1452</f>
        <v>760</v>
      </c>
      <c r="AF1452" s="2">
        <f>Z1452/Y1452</f>
        <v>2.6666666666666665</v>
      </c>
      <c r="AG1452" s="2">
        <f>AA1452/Z1452</f>
        <v>2.5</v>
      </c>
      <c r="AH1452" s="2">
        <f>AB1452/AA1452</f>
        <v>2.5</v>
      </c>
    </row>
    <row r="1453" spans="1:34">
      <c r="A1453" s="102" t="s">
        <v>475</v>
      </c>
      <c r="B1453" s="102" t="s">
        <v>476</v>
      </c>
      <c r="C1453" s="190">
        <v>46206</v>
      </c>
      <c r="D1453" s="42">
        <v>0.45833333333333331</v>
      </c>
      <c r="E1453" s="8">
        <v>42</v>
      </c>
      <c r="F1453" s="8" t="s">
        <v>527</v>
      </c>
      <c r="G1453" s="2">
        <v>1</v>
      </c>
      <c r="H1453" s="2">
        <v>8</v>
      </c>
      <c r="I1453" s="126">
        <v>600</v>
      </c>
      <c r="J1453" s="2" t="s">
        <v>766</v>
      </c>
      <c r="K1453" s="109" t="s">
        <v>602</v>
      </c>
      <c r="L1453" s="201">
        <v>30000</v>
      </c>
      <c r="M1453" s="64">
        <v>30</v>
      </c>
      <c r="N1453" s="39" t="s">
        <v>48</v>
      </c>
      <c r="O1453" s="39" t="s">
        <v>536</v>
      </c>
      <c r="P1453" s="197">
        <v>40000</v>
      </c>
      <c r="Q1453" s="2">
        <v>80</v>
      </c>
      <c r="R1453" s="15">
        <f>Q1453/I1453</f>
        <v>0.13333333333333333</v>
      </c>
      <c r="S1453" s="149" t="s">
        <v>110</v>
      </c>
      <c r="T1453" s="149"/>
      <c r="U1453" s="109" t="s">
        <v>767</v>
      </c>
      <c r="V1453" s="205" t="s">
        <v>615</v>
      </c>
      <c r="AE1453" s="2">
        <f>AC1453*AD1453</f>
        <v>0</v>
      </c>
      <c r="AF1453" s="2" t="e">
        <f>Z1453/Y1453</f>
        <v>#DIV/0!</v>
      </c>
      <c r="AG1453" s="2" t="e">
        <f>AA1453/Z1453</f>
        <v>#DIV/0!</v>
      </c>
      <c r="AH1453" s="2" t="e">
        <f>AB1453/AA1453</f>
        <v>#DIV/0!</v>
      </c>
    </row>
    <row r="1454" spans="1:34">
      <c r="A1454" s="52" t="s">
        <v>229</v>
      </c>
      <c r="B1454" s="52" t="s">
        <v>230</v>
      </c>
      <c r="C1454" s="41">
        <v>46206</v>
      </c>
      <c r="D1454" s="42">
        <v>0.45833333333333331</v>
      </c>
      <c r="E1454" s="193"/>
      <c r="F1454" s="194" t="s">
        <v>233</v>
      </c>
      <c r="G1454" s="2">
        <v>2</v>
      </c>
      <c r="I1454" s="45">
        <v>600</v>
      </c>
      <c r="J1454" s="2" t="s">
        <v>766</v>
      </c>
      <c r="K1454" s="88" t="s">
        <v>784</v>
      </c>
      <c r="L1454" s="92">
        <v>40000</v>
      </c>
      <c r="M1454" s="204" t="s">
        <v>22</v>
      </c>
      <c r="N1454" s="39" t="s">
        <v>48</v>
      </c>
      <c r="O1454" s="39" t="s">
        <v>49</v>
      </c>
      <c r="P1454" s="211" t="s">
        <v>843</v>
      </c>
      <c r="Q1454" s="19">
        <v>80</v>
      </c>
      <c r="R1454" s="15">
        <f>IF(Q1454&gt;0,Q1454/I1454,"")</f>
        <v>0.13333333333333333</v>
      </c>
      <c r="S1454" s="5">
        <f>($AC1454*$AD1454)/(($Z1454/$Y1454)+($AA1454/$Z1454)+($AB1454/$AA1454))</f>
        <v>76.947040498442377</v>
      </c>
      <c r="U1454" s="109" t="s">
        <v>767</v>
      </c>
      <c r="V1454" s="205" t="s">
        <v>719</v>
      </c>
      <c r="W1454" s="205"/>
      <c r="Y1454" s="2">
        <v>2</v>
      </c>
      <c r="Z1454" s="2">
        <v>5</v>
      </c>
      <c r="AA1454" s="2">
        <v>13</v>
      </c>
      <c r="AB1454" s="2">
        <v>30</v>
      </c>
      <c r="AC1454" s="2">
        <v>30</v>
      </c>
      <c r="AD1454" s="2">
        <v>19</v>
      </c>
      <c r="AE1454" s="2">
        <f>AC1454*AD1454</f>
        <v>570</v>
      </c>
      <c r="AF1454" s="2">
        <f>Z1454/Y1454</f>
        <v>2.5</v>
      </c>
      <c r="AG1454" s="2">
        <f>AA1454/Z1454</f>
        <v>2.6</v>
      </c>
      <c r="AH1454" s="2">
        <f>AB1454/AA1454</f>
        <v>2.3076923076923075</v>
      </c>
    </row>
    <row r="1455" spans="1:34">
      <c r="A1455" s="95" t="s">
        <v>447</v>
      </c>
      <c r="B1455" s="95" t="s">
        <v>448</v>
      </c>
      <c r="C1455" s="190">
        <v>46206</v>
      </c>
      <c r="D1455" s="42">
        <v>0.5</v>
      </c>
      <c r="E1455" s="193"/>
      <c r="F1455" s="8" t="s">
        <v>1326</v>
      </c>
      <c r="G1455" s="2">
        <v>3</v>
      </c>
      <c r="H1455" s="2">
        <v>8</v>
      </c>
      <c r="I1455" s="126">
        <v>3500</v>
      </c>
      <c r="J1455" s="2" t="s">
        <v>766</v>
      </c>
      <c r="K1455" s="109" t="s">
        <v>815</v>
      </c>
      <c r="L1455" s="194">
        <v>50000</v>
      </c>
      <c r="M1455" s="8">
        <v>60</v>
      </c>
      <c r="N1455" s="39" t="s">
        <v>48</v>
      </c>
      <c r="O1455" s="39" t="s">
        <v>49</v>
      </c>
      <c r="P1455" s="211" t="s">
        <v>844</v>
      </c>
      <c r="Q1455" s="19">
        <v>300</v>
      </c>
      <c r="R1455" s="15">
        <f>Q1455/I1455</f>
        <v>8.5714285714285715E-2</v>
      </c>
      <c r="S1455" s="5">
        <f>($AC1455*$AD1455)/(($Z1455/$Y1455)+($AA1455/$Z1455)+($AB1455/$AA1455))</f>
        <v>134.99480789200416</v>
      </c>
      <c r="U1455" s="109" t="s">
        <v>767</v>
      </c>
      <c r="V1455" s="2" t="s">
        <v>741</v>
      </c>
      <c r="W1455" s="205"/>
      <c r="Y1455" s="2">
        <v>2</v>
      </c>
      <c r="Z1455" s="2">
        <v>5</v>
      </c>
      <c r="AA1455" s="2">
        <v>13</v>
      </c>
      <c r="AB1455" s="2">
        <v>30</v>
      </c>
      <c r="AC1455" s="2">
        <v>20</v>
      </c>
      <c r="AD1455" s="2">
        <v>50</v>
      </c>
      <c r="AE1455" s="2">
        <f>AC1455*AD1455</f>
        <v>1000</v>
      </c>
      <c r="AF1455" s="2">
        <f>Z1455/Y1455</f>
        <v>2.5</v>
      </c>
      <c r="AG1455" s="2">
        <f>AA1455/Z1455</f>
        <v>2.6</v>
      </c>
      <c r="AH1455" s="2">
        <f>AB1455/AA1455</f>
        <v>2.3076923076923075</v>
      </c>
    </row>
    <row r="1456" spans="1:34">
      <c r="A1456" s="52" t="s">
        <v>220</v>
      </c>
      <c r="B1456" s="52" t="s">
        <v>221</v>
      </c>
      <c r="C1456" s="191">
        <v>46206</v>
      </c>
      <c r="D1456" s="42">
        <v>0.5</v>
      </c>
      <c r="E1456" s="193"/>
      <c r="F1456" s="8" t="s">
        <v>1297</v>
      </c>
      <c r="G1456" s="2">
        <v>2</v>
      </c>
      <c r="H1456" s="2">
        <v>8</v>
      </c>
      <c r="I1456" s="126">
        <v>1100</v>
      </c>
      <c r="J1456" s="2" t="s">
        <v>766</v>
      </c>
      <c r="K1456" s="109" t="s">
        <v>767</v>
      </c>
      <c r="L1456" s="91">
        <v>35000</v>
      </c>
      <c r="M1456" s="64">
        <v>40</v>
      </c>
      <c r="N1456" s="39" t="s">
        <v>48</v>
      </c>
      <c r="O1456" s="39" t="s">
        <v>122</v>
      </c>
      <c r="P1456" s="197">
        <v>50000</v>
      </c>
      <c r="Q1456" s="2">
        <v>135</v>
      </c>
      <c r="R1456" s="15">
        <f>Q1456/I1456</f>
        <v>0.12272727272727273</v>
      </c>
      <c r="S1456" s="149" t="s">
        <v>110</v>
      </c>
      <c r="T1456" s="149"/>
      <c r="U1456" s="109" t="s">
        <v>767</v>
      </c>
      <c r="V1456" s="71" t="s">
        <v>738</v>
      </c>
      <c r="W1456" s="205"/>
      <c r="AE1456" s="2">
        <f>AC1456*AD1456</f>
        <v>0</v>
      </c>
      <c r="AF1456" s="2" t="e">
        <f>Z1456/Y1456</f>
        <v>#DIV/0!</v>
      </c>
      <c r="AG1456" s="2" t="e">
        <f>AA1456/Z1456</f>
        <v>#DIV/0!</v>
      </c>
      <c r="AH1456" s="2" t="e">
        <f>AB1456/AA1456</f>
        <v>#DIV/0!</v>
      </c>
    </row>
    <row r="1457" spans="1:34">
      <c r="A1457" s="52" t="s">
        <v>220</v>
      </c>
      <c r="B1457" s="52" t="s">
        <v>221</v>
      </c>
      <c r="C1457" s="191">
        <v>46206</v>
      </c>
      <c r="D1457" s="42">
        <v>0.5</v>
      </c>
      <c r="E1457" s="193"/>
      <c r="F1457" s="8" t="s">
        <v>740</v>
      </c>
      <c r="G1457" s="2">
        <v>2</v>
      </c>
      <c r="H1457" s="2">
        <v>8</v>
      </c>
      <c r="I1457" s="126">
        <v>1100</v>
      </c>
      <c r="J1457" s="2" t="s">
        <v>766</v>
      </c>
      <c r="K1457" s="88" t="s">
        <v>793</v>
      </c>
      <c r="L1457" s="91">
        <v>35000</v>
      </c>
      <c r="M1457" s="64">
        <v>40</v>
      </c>
      <c r="N1457" s="39" t="s">
        <v>48</v>
      </c>
      <c r="O1457" s="39" t="s">
        <v>122</v>
      </c>
      <c r="P1457" s="197">
        <v>50000</v>
      </c>
      <c r="Q1457" s="2">
        <v>135</v>
      </c>
      <c r="R1457" s="15">
        <f>Q1457/I1457</f>
        <v>0.12272727272727273</v>
      </c>
      <c r="S1457" s="149" t="s">
        <v>110</v>
      </c>
      <c r="T1457" s="149"/>
      <c r="U1457" s="109" t="s">
        <v>767</v>
      </c>
      <c r="V1457" s="205" t="s">
        <v>738</v>
      </c>
      <c r="W1457" s="205"/>
      <c r="AE1457" s="2">
        <f>AC1457*AD1457</f>
        <v>0</v>
      </c>
      <c r="AF1457" s="2" t="e">
        <f>Z1457/Y1457</f>
        <v>#DIV/0!</v>
      </c>
      <c r="AG1457" s="2" t="e">
        <f>AA1457/Z1457</f>
        <v>#DIV/0!</v>
      </c>
      <c r="AH1457" s="2" t="e">
        <f>AB1457/AA1457</f>
        <v>#DIV/0!</v>
      </c>
    </row>
    <row r="1458" spans="1:34">
      <c r="A1458" s="165" t="s">
        <v>1383</v>
      </c>
      <c r="B1458" s="36" t="s">
        <v>63</v>
      </c>
      <c r="C1458" s="41">
        <v>46206</v>
      </c>
      <c r="D1458" s="144">
        <v>0.54166666666666663</v>
      </c>
      <c r="E1458" s="8">
        <v>83</v>
      </c>
      <c r="F1458" s="8" t="s">
        <v>1136</v>
      </c>
      <c r="G1458" s="2">
        <v>3</v>
      </c>
      <c r="H1458" s="2">
        <v>8</v>
      </c>
      <c r="I1458" s="45">
        <v>1500</v>
      </c>
      <c r="J1458" s="2" t="s">
        <v>762</v>
      </c>
      <c r="K1458" s="109" t="s">
        <v>598</v>
      </c>
      <c r="L1458" s="92">
        <v>25000</v>
      </c>
      <c r="M1458" s="202" t="s">
        <v>97</v>
      </c>
      <c r="N1458" s="39" t="s">
        <v>48</v>
      </c>
      <c r="O1458" s="39" t="s">
        <v>57</v>
      </c>
      <c r="P1458" s="66"/>
      <c r="Q1458" s="38">
        <f>R1458*I1458</f>
        <v>172.5</v>
      </c>
      <c r="R1458" s="15">
        <v>0.115</v>
      </c>
      <c r="S1458" s="149" t="s">
        <v>110</v>
      </c>
      <c r="T1458" s="149"/>
      <c r="U1458" s="109" t="s">
        <v>852</v>
      </c>
      <c r="V1458" s="2" t="s">
        <v>121</v>
      </c>
      <c r="W1458" s="205"/>
      <c r="AE1458" s="2">
        <f>AC1458*AD1458</f>
        <v>0</v>
      </c>
      <c r="AF1458" s="2" t="e">
        <f>Z1458/Y1458</f>
        <v>#DIV/0!</v>
      </c>
      <c r="AG1458" s="2" t="e">
        <f>AA1458/Z1458</f>
        <v>#DIV/0!</v>
      </c>
      <c r="AH1458" s="2" t="e">
        <f>AB1458/AA1458</f>
        <v>#DIV/0!</v>
      </c>
    </row>
    <row r="1459" spans="1:34">
      <c r="A1459" s="165" t="s">
        <v>1383</v>
      </c>
      <c r="B1459" s="39" t="s">
        <v>63</v>
      </c>
      <c r="C1459" s="41">
        <v>46206</v>
      </c>
      <c r="D1459" s="144">
        <v>0.54166666666666663</v>
      </c>
      <c r="E1459" s="8"/>
      <c r="F1459" s="8" t="s">
        <v>881</v>
      </c>
      <c r="G1459" s="2">
        <v>1</v>
      </c>
      <c r="H1459" s="2">
        <v>9</v>
      </c>
      <c r="I1459" s="45">
        <v>250</v>
      </c>
      <c r="J1459" s="2" t="s">
        <v>766</v>
      </c>
      <c r="K1459" s="88" t="s">
        <v>787</v>
      </c>
      <c r="L1459" s="92">
        <v>25000</v>
      </c>
      <c r="M1459" s="205">
        <v>30</v>
      </c>
      <c r="N1459" s="39" t="s">
        <v>817</v>
      </c>
      <c r="O1459" s="39" t="s">
        <v>49</v>
      </c>
      <c r="P1459" s="130"/>
      <c r="Q1459" s="19">
        <v>50</v>
      </c>
      <c r="R1459" s="15">
        <f>Q1459/I1459</f>
        <v>0.2</v>
      </c>
      <c r="S1459" s="5">
        <v>44</v>
      </c>
      <c r="U1459" s="109" t="s">
        <v>767</v>
      </c>
      <c r="V1459" s="71" t="s">
        <v>360</v>
      </c>
      <c r="Y1459" s="175"/>
      <c r="Z1459" s="175"/>
      <c r="AA1459" s="175"/>
      <c r="AB1459" s="175"/>
      <c r="AC1459" s="175"/>
      <c r="AD1459" s="175"/>
      <c r="AE1459" s="175"/>
      <c r="AF1459" s="175"/>
      <c r="AG1459" s="175"/>
      <c r="AH1459" s="175"/>
    </row>
    <row r="1460" spans="1:34">
      <c r="A1460" s="165" t="s">
        <v>1383</v>
      </c>
      <c r="B1460" s="39" t="s">
        <v>63</v>
      </c>
      <c r="C1460" s="41">
        <v>46206</v>
      </c>
      <c r="D1460" s="144">
        <v>0.54166666666666663</v>
      </c>
      <c r="F1460" s="8" t="s">
        <v>906</v>
      </c>
      <c r="G1460" s="2">
        <v>1</v>
      </c>
      <c r="H1460" s="2">
        <v>9</v>
      </c>
      <c r="I1460" s="45">
        <v>1100</v>
      </c>
      <c r="J1460" s="2" t="s">
        <v>766</v>
      </c>
      <c r="K1460" s="88" t="s">
        <v>776</v>
      </c>
      <c r="L1460" s="92">
        <v>15000</v>
      </c>
      <c r="M1460" s="209" t="s">
        <v>128</v>
      </c>
      <c r="N1460" s="132" t="s">
        <v>821</v>
      </c>
      <c r="O1460" s="39" t="s">
        <v>49</v>
      </c>
      <c r="P1460" s="130"/>
      <c r="Q1460" s="19">
        <f>88+37</f>
        <v>125</v>
      </c>
      <c r="R1460" s="15">
        <f>Q1460/I1460</f>
        <v>0.11363636363636363</v>
      </c>
      <c r="S1460" s="5">
        <v>24</v>
      </c>
      <c r="U1460" s="109" t="s">
        <v>767</v>
      </c>
      <c r="V1460" s="71" t="s">
        <v>362</v>
      </c>
      <c r="W1460" s="8" t="s">
        <v>370</v>
      </c>
      <c r="Y1460" s="175"/>
      <c r="Z1460" s="175"/>
      <c r="AA1460" s="175"/>
      <c r="AB1460" s="175"/>
      <c r="AC1460" s="175"/>
      <c r="AD1460" s="175"/>
      <c r="AE1460" s="175"/>
      <c r="AF1460" s="175"/>
      <c r="AG1460" s="175"/>
      <c r="AH1460" s="175"/>
    </row>
    <row r="1461" spans="1:34">
      <c r="A1461" s="52" t="s">
        <v>220</v>
      </c>
      <c r="B1461" s="52" t="s">
        <v>221</v>
      </c>
      <c r="C1461" s="191">
        <v>46206</v>
      </c>
      <c r="D1461" s="42">
        <v>0.54166666666666663</v>
      </c>
      <c r="E1461" s="193"/>
      <c r="F1461" s="194" t="s">
        <v>1071</v>
      </c>
      <c r="G1461" s="2">
        <v>2</v>
      </c>
      <c r="H1461" s="2">
        <v>8</v>
      </c>
      <c r="I1461" s="126">
        <v>3000</v>
      </c>
      <c r="J1461" s="2" t="s">
        <v>766</v>
      </c>
      <c r="K1461" s="88" t="s">
        <v>798</v>
      </c>
      <c r="L1461" s="91">
        <v>40000</v>
      </c>
      <c r="M1461" s="64">
        <v>40</v>
      </c>
      <c r="N1461" s="39" t="s">
        <v>48</v>
      </c>
      <c r="O1461" s="39" t="s">
        <v>57</v>
      </c>
      <c r="P1461" s="197">
        <v>2000000</v>
      </c>
      <c r="Q1461" s="2">
        <v>280</v>
      </c>
      <c r="R1461" s="15">
        <f>Q1461/I1461</f>
        <v>9.3333333333333338E-2</v>
      </c>
      <c r="S1461" s="149" t="s">
        <v>110</v>
      </c>
      <c r="T1461" s="149"/>
      <c r="U1461" s="109" t="s">
        <v>219</v>
      </c>
      <c r="V1461" s="205" t="s">
        <v>738</v>
      </c>
      <c r="Y1461" s="70"/>
      <c r="Z1461" s="70"/>
      <c r="AA1461" s="70"/>
      <c r="AB1461" s="70"/>
      <c r="AC1461" s="70"/>
      <c r="AD1461" s="70"/>
      <c r="AE1461" s="2">
        <f>AC1461*AD1461</f>
        <v>0</v>
      </c>
      <c r="AF1461" s="2" t="e">
        <f>Z1461/Y1461</f>
        <v>#DIV/0!</v>
      </c>
      <c r="AG1461" s="2" t="e">
        <f>AA1461/Z1461</f>
        <v>#DIV/0!</v>
      </c>
      <c r="AH1461" s="2" t="e">
        <f>AB1461/AA1461</f>
        <v>#DIV/0!</v>
      </c>
    </row>
    <row r="1462" spans="1:34">
      <c r="A1462" s="165" t="s">
        <v>1383</v>
      </c>
      <c r="B1462" s="39" t="s">
        <v>63</v>
      </c>
      <c r="C1462" s="41">
        <v>46206</v>
      </c>
      <c r="D1462" s="144">
        <v>0.58333333333333337</v>
      </c>
      <c r="E1462" s="193"/>
      <c r="F1462" s="194" t="s">
        <v>913</v>
      </c>
      <c r="G1462" s="2">
        <v>1</v>
      </c>
      <c r="H1462" s="2">
        <v>9</v>
      </c>
      <c r="I1462" s="45">
        <v>260</v>
      </c>
      <c r="J1462" s="2" t="s">
        <v>766</v>
      </c>
      <c r="K1462" s="88" t="s">
        <v>776</v>
      </c>
      <c r="L1462" s="92">
        <v>10000</v>
      </c>
      <c r="M1462" s="202">
        <v>10</v>
      </c>
      <c r="N1462" s="132" t="s">
        <v>821</v>
      </c>
      <c r="O1462" s="39" t="s">
        <v>49</v>
      </c>
      <c r="P1462" s="130"/>
      <c r="Q1462" s="19">
        <v>40</v>
      </c>
      <c r="R1462" s="15">
        <f>Q1462/I1462</f>
        <v>0.15384615384615385</v>
      </c>
      <c r="S1462" s="5">
        <f>($AC1462*$AD1462)/(($Z1462/$Y1462)+($AA1462/$Z1462)+($AB1462/$AA1462))</f>
        <v>9.9248120300751879</v>
      </c>
      <c r="U1462" s="137" t="s">
        <v>129</v>
      </c>
      <c r="V1462" s="83" t="s">
        <v>362</v>
      </c>
      <c r="W1462" s="8" t="s">
        <v>387</v>
      </c>
      <c r="Y1462" s="2">
        <v>2</v>
      </c>
      <c r="Z1462" s="2">
        <v>7.5</v>
      </c>
      <c r="AA1462" s="2">
        <v>25</v>
      </c>
      <c r="AB1462" s="2">
        <v>100</v>
      </c>
      <c r="AC1462" s="2">
        <v>11</v>
      </c>
      <c r="AD1462" s="2">
        <v>10</v>
      </c>
      <c r="AE1462" s="2">
        <f>AC1462*AD1462</f>
        <v>110</v>
      </c>
      <c r="AF1462" s="2">
        <f>Z1462/Y1462</f>
        <v>3.75</v>
      </c>
      <c r="AG1462" s="2">
        <f>AA1462/Z1462</f>
        <v>3.3333333333333335</v>
      </c>
      <c r="AH1462" s="2">
        <f>AB1462/AA1462</f>
        <v>4</v>
      </c>
    </row>
    <row r="1463" spans="1:34">
      <c r="A1463" s="96" t="s">
        <v>461</v>
      </c>
      <c r="B1463" s="96" t="s">
        <v>462</v>
      </c>
      <c r="C1463" s="41">
        <v>46206</v>
      </c>
      <c r="D1463" s="42">
        <v>0.59027777777777779</v>
      </c>
      <c r="E1463" s="193"/>
      <c r="F1463" s="194" t="s">
        <v>459</v>
      </c>
      <c r="G1463" s="2">
        <v>1</v>
      </c>
      <c r="I1463" s="126">
        <v>120</v>
      </c>
      <c r="J1463" s="2" t="s">
        <v>766</v>
      </c>
      <c r="K1463" s="109" t="s">
        <v>602</v>
      </c>
      <c r="L1463" s="194">
        <v>20000</v>
      </c>
      <c r="M1463" s="202">
        <v>20</v>
      </c>
      <c r="N1463" s="39" t="s">
        <v>48</v>
      </c>
      <c r="O1463" s="39" t="s">
        <v>465</v>
      </c>
      <c r="P1463" s="197">
        <v>6000</v>
      </c>
      <c r="Q1463" s="2">
        <v>24</v>
      </c>
      <c r="R1463" s="15">
        <f>Q1463/I1463</f>
        <v>0.2</v>
      </c>
      <c r="S1463" s="149" t="s">
        <v>110</v>
      </c>
      <c r="T1463" s="149"/>
      <c r="U1463" s="109" t="s">
        <v>767</v>
      </c>
      <c r="V1463" s="2" t="s">
        <v>735</v>
      </c>
      <c r="AE1463" s="2">
        <f>AC1463*AD1463</f>
        <v>0</v>
      </c>
      <c r="AF1463" s="2" t="e">
        <f>Z1463/Y1463</f>
        <v>#DIV/0!</v>
      </c>
      <c r="AG1463" s="2" t="e">
        <f>AA1463/Z1463</f>
        <v>#DIV/0!</v>
      </c>
      <c r="AH1463" s="2" t="e">
        <f>AB1463/AA1463</f>
        <v>#DIV/0!</v>
      </c>
    </row>
    <row r="1464" spans="1:34">
      <c r="A1464" s="165" t="s">
        <v>1383</v>
      </c>
      <c r="B1464" s="39" t="s">
        <v>63</v>
      </c>
      <c r="C1464" s="41">
        <v>46206</v>
      </c>
      <c r="D1464" s="144">
        <v>0.625</v>
      </c>
      <c r="F1464" s="8" t="s">
        <v>912</v>
      </c>
      <c r="G1464" s="2">
        <v>1</v>
      </c>
      <c r="H1464" s="2">
        <v>9</v>
      </c>
      <c r="I1464" s="45">
        <v>240</v>
      </c>
      <c r="J1464" s="2" t="s">
        <v>766</v>
      </c>
      <c r="K1464" s="88" t="s">
        <v>784</v>
      </c>
      <c r="L1464" s="92">
        <v>10000</v>
      </c>
      <c r="M1464" s="202">
        <v>20</v>
      </c>
      <c r="N1464" s="132" t="s">
        <v>821</v>
      </c>
      <c r="O1464" s="39" t="s">
        <v>49</v>
      </c>
      <c r="P1464" s="130"/>
      <c r="Q1464" s="19">
        <v>40</v>
      </c>
      <c r="R1464" s="15">
        <v>0.16666666666666666</v>
      </c>
      <c r="S1464" s="5">
        <v>29</v>
      </c>
      <c r="U1464" s="109" t="s">
        <v>767</v>
      </c>
      <c r="V1464" s="71" t="s">
        <v>362</v>
      </c>
      <c r="W1464" s="8" t="s">
        <v>367</v>
      </c>
      <c r="Y1464" s="175"/>
      <c r="Z1464" s="175"/>
      <c r="AA1464" s="175"/>
      <c r="AB1464" s="175"/>
      <c r="AC1464" s="175"/>
      <c r="AD1464" s="175"/>
      <c r="AE1464" s="175"/>
      <c r="AF1464" s="175"/>
      <c r="AG1464" s="175"/>
      <c r="AH1464" s="175"/>
    </row>
    <row r="1465" spans="1:34">
      <c r="A1465" s="165" t="s">
        <v>1383</v>
      </c>
      <c r="B1465" s="39" t="s">
        <v>63</v>
      </c>
      <c r="C1465" s="41">
        <v>46206</v>
      </c>
      <c r="D1465" s="144">
        <v>0.66666666666666663</v>
      </c>
      <c r="E1465" s="8"/>
      <c r="F1465" s="8" t="s">
        <v>1024</v>
      </c>
      <c r="G1465" s="2">
        <v>1</v>
      </c>
      <c r="H1465" s="2">
        <v>9</v>
      </c>
      <c r="I1465" s="45">
        <v>400</v>
      </c>
      <c r="J1465" s="2" t="s">
        <v>766</v>
      </c>
      <c r="K1465" s="88" t="s">
        <v>794</v>
      </c>
      <c r="L1465" s="92">
        <v>30000</v>
      </c>
      <c r="M1465" s="205">
        <v>20</v>
      </c>
      <c r="N1465" s="39" t="s">
        <v>817</v>
      </c>
      <c r="O1465" s="39" t="s">
        <v>49</v>
      </c>
      <c r="P1465" s="130"/>
      <c r="Q1465" s="19">
        <v>70</v>
      </c>
      <c r="R1465" s="15">
        <f>Q1465/I1465</f>
        <v>0.17499999999999999</v>
      </c>
      <c r="S1465" s="5">
        <v>37</v>
      </c>
      <c r="U1465" s="109" t="s">
        <v>129</v>
      </c>
      <c r="V1465" s="71" t="s">
        <v>360</v>
      </c>
      <c r="Y1465" s="175"/>
      <c r="Z1465" s="175"/>
      <c r="AA1465" s="175"/>
      <c r="AB1465" s="175"/>
      <c r="AC1465" s="175"/>
      <c r="AD1465" s="175"/>
      <c r="AE1465" s="175"/>
      <c r="AF1465" s="175"/>
      <c r="AG1465" s="175"/>
      <c r="AH1465" s="175"/>
    </row>
    <row r="1466" spans="1:34">
      <c r="A1466" s="52" t="s">
        <v>229</v>
      </c>
      <c r="B1466" s="52" t="s">
        <v>230</v>
      </c>
      <c r="C1466" s="41">
        <v>46206</v>
      </c>
      <c r="D1466" s="42">
        <v>0.66666666666666663</v>
      </c>
      <c r="F1466" s="8" t="s">
        <v>273</v>
      </c>
      <c r="G1466" s="2">
        <v>1</v>
      </c>
      <c r="I1466" s="45">
        <v>120</v>
      </c>
      <c r="J1466" s="2" t="s">
        <v>766</v>
      </c>
      <c r="K1466" s="88" t="s">
        <v>795</v>
      </c>
      <c r="L1466" s="92">
        <v>20000</v>
      </c>
      <c r="M1466" s="204">
        <v>20</v>
      </c>
      <c r="N1466" s="39" t="s">
        <v>61</v>
      </c>
      <c r="O1466" s="39" t="s">
        <v>49</v>
      </c>
      <c r="P1466" s="130"/>
      <c r="Q1466" s="19">
        <v>20</v>
      </c>
      <c r="R1466" s="15">
        <f>IF(Q1466&gt;0,Q1466/I1466,"")</f>
        <v>0.16666666666666666</v>
      </c>
      <c r="S1466" s="5">
        <f>($AC1466*$AD1466)/(($Z1466/$Y1466)+($AA1466/$Z1466)+($AB1466/$AA1466))</f>
        <v>31.111111111111111</v>
      </c>
      <c r="U1466" s="109" t="s">
        <v>767</v>
      </c>
      <c r="V1466" s="205" t="s">
        <v>719</v>
      </c>
      <c r="W1466" s="205"/>
      <c r="Y1466" s="2">
        <v>2</v>
      </c>
      <c r="Z1466" s="2">
        <v>5</v>
      </c>
      <c r="AA1466" s="2">
        <v>20</v>
      </c>
      <c r="AB1466" s="2">
        <v>50</v>
      </c>
      <c r="AC1466" s="2">
        <v>14</v>
      </c>
      <c r="AD1466" s="2">
        <v>20</v>
      </c>
      <c r="AE1466" s="2">
        <f>AC1466*AD1466</f>
        <v>280</v>
      </c>
      <c r="AF1466" s="2">
        <f>Z1466/Y1466</f>
        <v>2.5</v>
      </c>
      <c r="AG1466" s="2">
        <f>AA1466/Z1466</f>
        <v>4</v>
      </c>
      <c r="AH1466" s="2">
        <f>AB1466/AA1466</f>
        <v>2.5</v>
      </c>
    </row>
    <row r="1467" spans="1:34">
      <c r="A1467" s="52" t="s">
        <v>229</v>
      </c>
      <c r="B1467" s="52" t="s">
        <v>230</v>
      </c>
      <c r="C1467" s="41">
        <v>46206</v>
      </c>
      <c r="D1467" s="42">
        <v>0.70833333333333337</v>
      </c>
      <c r="E1467" s="193"/>
      <c r="F1467" s="8" t="s">
        <v>237</v>
      </c>
      <c r="G1467" s="2">
        <v>2</v>
      </c>
      <c r="I1467" s="45">
        <v>600</v>
      </c>
      <c r="J1467" s="2" t="s">
        <v>766</v>
      </c>
      <c r="K1467" s="88" t="s">
        <v>812</v>
      </c>
      <c r="L1467" s="92">
        <v>40000</v>
      </c>
      <c r="M1467" s="204" t="s">
        <v>22</v>
      </c>
      <c r="N1467" s="39" t="s">
        <v>48</v>
      </c>
      <c r="O1467" s="39" t="s">
        <v>49</v>
      </c>
      <c r="P1467" s="211" t="s">
        <v>843</v>
      </c>
      <c r="Q1467" s="19">
        <v>80</v>
      </c>
      <c r="R1467" s="15">
        <f>IF(Q1467&gt;0,Q1467/I1467,"")</f>
        <v>0.13333333333333333</v>
      </c>
      <c r="S1467" s="5">
        <f>($AC1467*$AD1467)/(($Z1467/$Y1467)+($AA1467/$Z1467)+($AB1467/$AA1467))</f>
        <v>76.947040498442377</v>
      </c>
      <c r="U1467" s="109" t="s">
        <v>767</v>
      </c>
      <c r="V1467" s="2" t="s">
        <v>719</v>
      </c>
      <c r="W1467" s="205"/>
      <c r="Y1467" s="2">
        <v>2</v>
      </c>
      <c r="Z1467" s="2">
        <v>5</v>
      </c>
      <c r="AA1467" s="2">
        <v>13</v>
      </c>
      <c r="AB1467" s="2">
        <v>30</v>
      </c>
      <c r="AC1467" s="2">
        <v>30</v>
      </c>
      <c r="AD1467" s="2">
        <v>19</v>
      </c>
      <c r="AE1467" s="2">
        <f>AC1467*AD1467</f>
        <v>570</v>
      </c>
      <c r="AF1467" s="2">
        <f>Z1467/Y1467</f>
        <v>2.5</v>
      </c>
      <c r="AG1467" s="2">
        <f>AA1467/Z1467</f>
        <v>2.6</v>
      </c>
      <c r="AH1467" s="2">
        <f>AB1467/AA1467</f>
        <v>2.3076923076923075</v>
      </c>
    </row>
    <row r="1468" spans="1:34">
      <c r="A1468" s="102" t="s">
        <v>475</v>
      </c>
      <c r="B1468" s="102" t="s">
        <v>476</v>
      </c>
      <c r="C1468" s="47">
        <v>46206</v>
      </c>
      <c r="D1468" s="42">
        <v>0.75</v>
      </c>
      <c r="E1468" s="8">
        <v>43</v>
      </c>
      <c r="F1468" s="8" t="s">
        <v>495</v>
      </c>
      <c r="G1468" s="2">
        <v>1</v>
      </c>
      <c r="H1468" s="2">
        <v>8</v>
      </c>
      <c r="I1468" s="126">
        <v>250</v>
      </c>
      <c r="J1468" s="2" t="s">
        <v>766</v>
      </c>
      <c r="K1468" s="109" t="s">
        <v>602</v>
      </c>
      <c r="L1468" s="201">
        <v>25000</v>
      </c>
      <c r="M1468" s="64">
        <v>30</v>
      </c>
      <c r="N1468" s="39" t="s">
        <v>48</v>
      </c>
      <c r="O1468" s="39" t="s">
        <v>359</v>
      </c>
      <c r="P1468" s="197">
        <v>10000</v>
      </c>
      <c r="Q1468" s="2">
        <v>45</v>
      </c>
      <c r="R1468" s="15">
        <f>Q1468/I1468</f>
        <v>0.18</v>
      </c>
      <c r="S1468" s="149" t="s">
        <v>110</v>
      </c>
      <c r="T1468" s="149"/>
      <c r="U1468" s="109" t="s">
        <v>767</v>
      </c>
      <c r="V1468" s="2" t="s">
        <v>614</v>
      </c>
      <c r="AE1468" s="2">
        <f>AC1468*AD1468</f>
        <v>0</v>
      </c>
      <c r="AF1468" s="2" t="e">
        <f>Z1468/Y1468</f>
        <v>#DIV/0!</v>
      </c>
      <c r="AG1468" s="2" t="e">
        <f>AA1468/Z1468</f>
        <v>#DIV/0!</v>
      </c>
      <c r="AH1468" s="2" t="e">
        <f>AB1468/AA1468</f>
        <v>#DIV/0!</v>
      </c>
    </row>
    <row r="1469" spans="1:34">
      <c r="A1469" s="52" t="s">
        <v>220</v>
      </c>
      <c r="B1469" s="52" t="s">
        <v>221</v>
      </c>
      <c r="C1469" s="191">
        <v>46206</v>
      </c>
      <c r="D1469" s="42">
        <v>0.75</v>
      </c>
      <c r="E1469" s="193"/>
      <c r="F1469" s="8" t="s">
        <v>1073</v>
      </c>
      <c r="G1469" s="2">
        <v>1</v>
      </c>
      <c r="H1469" s="2">
        <v>9</v>
      </c>
      <c r="I1469" s="126">
        <v>1100</v>
      </c>
      <c r="J1469" s="2" t="s">
        <v>766</v>
      </c>
      <c r="K1469" s="88" t="s">
        <v>799</v>
      </c>
      <c r="L1469" s="91">
        <v>30000</v>
      </c>
      <c r="M1469" s="64">
        <v>20</v>
      </c>
      <c r="N1469" s="39" t="s">
        <v>48</v>
      </c>
      <c r="O1469" s="39" t="s">
        <v>49</v>
      </c>
      <c r="P1469" s="140" t="s">
        <v>838</v>
      </c>
      <c r="Q1469" s="19">
        <v>125</v>
      </c>
      <c r="R1469" s="15">
        <f>Q1469/I1469</f>
        <v>0.11363636363636363</v>
      </c>
      <c r="S1469" s="5">
        <f>($AC1469*$AD1469)/(($Z1469/$Y1469)+($AA1469/$Z1469)+($AB1469/$AA1469))</f>
        <v>41.632653061224495</v>
      </c>
      <c r="U1469" s="109" t="s">
        <v>129</v>
      </c>
      <c r="V1469" s="205" t="s">
        <v>738</v>
      </c>
      <c r="W1469" s="205"/>
      <c r="Y1469" s="2">
        <v>2</v>
      </c>
      <c r="Z1469" s="2">
        <v>5</v>
      </c>
      <c r="AA1469" s="2">
        <v>15</v>
      </c>
      <c r="AB1469" s="2">
        <v>40</v>
      </c>
      <c r="AC1469" s="2">
        <v>17</v>
      </c>
      <c r="AD1469" s="115">
        <v>20</v>
      </c>
      <c r="AE1469" s="2">
        <f>AC1469*AD1469</f>
        <v>340</v>
      </c>
      <c r="AF1469" s="2">
        <f>Z1469/Y1469</f>
        <v>2.5</v>
      </c>
      <c r="AG1469" s="2">
        <f>AA1469/Z1469</f>
        <v>3</v>
      </c>
      <c r="AH1469" s="2">
        <f>AB1469/AA1469</f>
        <v>2.6666666666666665</v>
      </c>
    </row>
    <row r="1470" spans="1:34">
      <c r="A1470" s="96" t="s">
        <v>461</v>
      </c>
      <c r="B1470" s="96" t="s">
        <v>462</v>
      </c>
      <c r="C1470" s="41">
        <v>46206</v>
      </c>
      <c r="D1470" s="42">
        <v>0.75694444444444442</v>
      </c>
      <c r="F1470" s="8" t="s">
        <v>458</v>
      </c>
      <c r="G1470" s="2">
        <v>1</v>
      </c>
      <c r="I1470" s="126">
        <v>200</v>
      </c>
      <c r="J1470" s="2" t="s">
        <v>766</v>
      </c>
      <c r="K1470" s="109" t="s">
        <v>602</v>
      </c>
      <c r="L1470" s="194">
        <v>30000</v>
      </c>
      <c r="M1470" s="202">
        <v>20</v>
      </c>
      <c r="N1470" s="39" t="s">
        <v>48</v>
      </c>
      <c r="O1470" s="39" t="s">
        <v>49</v>
      </c>
      <c r="P1470" s="140" t="s">
        <v>833</v>
      </c>
      <c r="Q1470" s="19">
        <v>40</v>
      </c>
      <c r="R1470" s="15">
        <f>Q1470/I1470</f>
        <v>0.2</v>
      </c>
      <c r="S1470" s="5">
        <f>($AC1470*$AD1470)/(($Z1470/$Y1470)+($AA1470/$Z1470)+($AB1470/$AA1470))</f>
        <v>41.632653061224495</v>
      </c>
      <c r="U1470" s="109" t="s">
        <v>767</v>
      </c>
      <c r="V1470" s="205" t="s">
        <v>735</v>
      </c>
      <c r="W1470" s="205"/>
      <c r="Y1470" s="2">
        <v>2</v>
      </c>
      <c r="Z1470" s="2">
        <v>5</v>
      </c>
      <c r="AA1470" s="2">
        <v>15</v>
      </c>
      <c r="AB1470" s="2">
        <v>40</v>
      </c>
      <c r="AC1470" s="2">
        <v>17</v>
      </c>
      <c r="AD1470" s="2">
        <v>20</v>
      </c>
      <c r="AE1470" s="2">
        <f>AC1470*AD1470</f>
        <v>340</v>
      </c>
      <c r="AF1470" s="2">
        <f>Z1470/Y1470</f>
        <v>2.5</v>
      </c>
      <c r="AG1470" s="2">
        <f>AA1470/Z1470</f>
        <v>3</v>
      </c>
      <c r="AH1470" s="2">
        <f>AB1470/AA1470</f>
        <v>2.6666666666666665</v>
      </c>
    </row>
    <row r="1471" spans="1:34">
      <c r="A1471" s="95" t="s">
        <v>447</v>
      </c>
      <c r="B1471" s="95" t="s">
        <v>448</v>
      </c>
      <c r="C1471" s="190">
        <v>46206</v>
      </c>
      <c r="D1471" s="42">
        <v>0.79166666666666663</v>
      </c>
      <c r="E1471" s="193"/>
      <c r="F1471" s="8" t="s">
        <v>403</v>
      </c>
      <c r="G1471" s="2">
        <v>1</v>
      </c>
      <c r="H1471" s="2">
        <v>9</v>
      </c>
      <c r="I1471" s="126">
        <v>300</v>
      </c>
      <c r="J1471" s="2" t="s">
        <v>766</v>
      </c>
      <c r="K1471" s="109" t="s">
        <v>602</v>
      </c>
      <c r="L1471" s="194">
        <v>25000</v>
      </c>
      <c r="M1471" s="8">
        <v>25</v>
      </c>
      <c r="N1471" s="39" t="s">
        <v>48</v>
      </c>
      <c r="O1471" s="39" t="s">
        <v>49</v>
      </c>
      <c r="P1471" s="140" t="s">
        <v>834</v>
      </c>
      <c r="Q1471" s="19">
        <v>50</v>
      </c>
      <c r="R1471" s="15">
        <f>Q1471/I1471</f>
        <v>0.16666666666666666</v>
      </c>
      <c r="S1471" s="5">
        <f>($AC1471*$AD1471)/(($Z1471/$Y1471)+($AA1471/$Z1471)+($AB1471/$AA1471))</f>
        <v>37.5</v>
      </c>
      <c r="U1471" s="109" t="s">
        <v>767</v>
      </c>
      <c r="V1471" s="2" t="s">
        <v>741</v>
      </c>
      <c r="Y1471" s="2">
        <v>2.5</v>
      </c>
      <c r="Z1471" s="2">
        <v>7.5</v>
      </c>
      <c r="AA1471" s="2">
        <v>25</v>
      </c>
      <c r="AB1471" s="2">
        <v>75</v>
      </c>
      <c r="AC1471" s="2">
        <v>14</v>
      </c>
      <c r="AD1471" s="2">
        <v>25</v>
      </c>
      <c r="AE1471" s="2">
        <f>AC1471*AD1471</f>
        <v>350</v>
      </c>
      <c r="AF1471" s="2">
        <f>Z1471/Y1471</f>
        <v>3</v>
      </c>
      <c r="AG1471" s="2">
        <f>AA1471/Z1471</f>
        <v>3.3333333333333335</v>
      </c>
      <c r="AH1471" s="2">
        <f>AB1471/AA1471</f>
        <v>3</v>
      </c>
    </row>
    <row r="1472" spans="1:34">
      <c r="A1472" s="165" t="s">
        <v>1383</v>
      </c>
      <c r="B1472" s="39" t="s">
        <v>63</v>
      </c>
      <c r="C1472" s="41">
        <v>46206</v>
      </c>
      <c r="D1472" s="144">
        <v>0.79166666666666663</v>
      </c>
      <c r="F1472" s="8" t="s">
        <v>911</v>
      </c>
      <c r="G1472" s="2">
        <v>1</v>
      </c>
      <c r="H1472" s="2">
        <v>9</v>
      </c>
      <c r="I1472" s="81">
        <v>2200</v>
      </c>
      <c r="J1472" s="2" t="s">
        <v>766</v>
      </c>
      <c r="K1472" s="88" t="s">
        <v>800</v>
      </c>
      <c r="L1472" s="92">
        <v>20000</v>
      </c>
      <c r="M1472" s="209" t="s">
        <v>128</v>
      </c>
      <c r="N1472" s="132" t="s">
        <v>821</v>
      </c>
      <c r="O1472" s="39" t="s">
        <v>49</v>
      </c>
      <c r="P1472" s="130"/>
      <c r="Q1472" s="19">
        <v>200</v>
      </c>
      <c r="R1472" s="59">
        <f>Q1472/I1472</f>
        <v>9.0909090909090912E-2</v>
      </c>
      <c r="S1472" s="5">
        <v>32</v>
      </c>
      <c r="U1472" s="109" t="s">
        <v>767</v>
      </c>
      <c r="V1472" s="83" t="s">
        <v>362</v>
      </c>
      <c r="W1472" s="8" t="s">
        <v>388</v>
      </c>
      <c r="Y1472" s="175"/>
      <c r="Z1472" s="175"/>
      <c r="AA1472" s="175"/>
      <c r="AB1472" s="175"/>
      <c r="AC1472" s="175"/>
      <c r="AD1472" s="175"/>
      <c r="AE1472" s="175"/>
      <c r="AF1472" s="175"/>
      <c r="AG1472" s="175"/>
      <c r="AH1472" s="175"/>
    </row>
    <row r="1473" spans="1:34">
      <c r="A1473" s="165" t="s">
        <v>1383</v>
      </c>
      <c r="B1473" s="39" t="s">
        <v>63</v>
      </c>
      <c r="C1473" s="41">
        <v>46206</v>
      </c>
      <c r="D1473" s="144">
        <v>0.79166666666666663</v>
      </c>
      <c r="F1473" s="8" t="s">
        <v>917</v>
      </c>
      <c r="G1473" s="2">
        <v>1</v>
      </c>
      <c r="H1473" s="2">
        <v>9</v>
      </c>
      <c r="I1473" s="81">
        <v>585</v>
      </c>
      <c r="J1473" s="2" t="s">
        <v>766</v>
      </c>
      <c r="K1473" s="88" t="s">
        <v>800</v>
      </c>
      <c r="L1473" s="92">
        <v>10000</v>
      </c>
      <c r="M1473" s="202">
        <v>20</v>
      </c>
      <c r="N1473" s="132" t="s">
        <v>821</v>
      </c>
      <c r="O1473" s="39" t="s">
        <v>49</v>
      </c>
      <c r="P1473" s="130"/>
      <c r="Q1473" s="19">
        <v>89</v>
      </c>
      <c r="R1473" s="59">
        <f>Q1473/I1473</f>
        <v>0.15213675213675212</v>
      </c>
      <c r="S1473" s="5">
        <v>29</v>
      </c>
      <c r="U1473" s="109" t="s">
        <v>767</v>
      </c>
      <c r="V1473" s="83" t="s">
        <v>362</v>
      </c>
      <c r="W1473" s="8" t="s">
        <v>368</v>
      </c>
      <c r="Y1473" s="175"/>
      <c r="Z1473" s="175"/>
      <c r="AA1473" s="175"/>
      <c r="AB1473" s="175"/>
      <c r="AC1473" s="175"/>
      <c r="AD1473" s="175"/>
      <c r="AE1473" s="175"/>
      <c r="AF1473" s="175"/>
      <c r="AG1473" s="175"/>
      <c r="AH1473" s="175"/>
    </row>
    <row r="1474" spans="1:34">
      <c r="A1474" s="165" t="s">
        <v>1383</v>
      </c>
      <c r="B1474" s="39" t="s">
        <v>63</v>
      </c>
      <c r="C1474" s="41">
        <v>46206</v>
      </c>
      <c r="D1474" s="144">
        <v>0.83333333333333337</v>
      </c>
      <c r="E1474" s="8"/>
      <c r="F1474" s="8" t="s">
        <v>1023</v>
      </c>
      <c r="G1474" s="2">
        <v>1</v>
      </c>
      <c r="H1474" s="2">
        <v>9</v>
      </c>
      <c r="I1474" s="45">
        <v>200</v>
      </c>
      <c r="J1474" s="2" t="s">
        <v>766</v>
      </c>
      <c r="K1474" s="88" t="s">
        <v>806</v>
      </c>
      <c r="L1474" s="92">
        <v>20000</v>
      </c>
      <c r="M1474" s="205">
        <v>20</v>
      </c>
      <c r="N1474" s="39" t="s">
        <v>817</v>
      </c>
      <c r="O1474" s="39" t="s">
        <v>49</v>
      </c>
      <c r="P1474" s="130"/>
      <c r="Q1474" s="19">
        <v>45</v>
      </c>
      <c r="R1474" s="15">
        <f>Q1474/I1474</f>
        <v>0.22500000000000001</v>
      </c>
      <c r="S1474" s="5">
        <v>23</v>
      </c>
      <c r="U1474" s="109" t="s">
        <v>129</v>
      </c>
      <c r="V1474" s="71" t="s">
        <v>360</v>
      </c>
      <c r="Y1474" s="175"/>
      <c r="Z1474" s="175"/>
      <c r="AA1474" s="175"/>
      <c r="AB1474" s="175"/>
      <c r="AC1474" s="175"/>
      <c r="AD1474" s="175"/>
      <c r="AE1474" s="175"/>
      <c r="AF1474" s="175"/>
      <c r="AG1474" s="175"/>
      <c r="AH1474" s="175"/>
    </row>
    <row r="1475" spans="1:34">
      <c r="A1475" s="102" t="s">
        <v>475</v>
      </c>
      <c r="B1475" s="102" t="s">
        <v>476</v>
      </c>
      <c r="C1475" s="41">
        <v>46206</v>
      </c>
      <c r="D1475" s="42">
        <v>0.88194444444444442</v>
      </c>
      <c r="E1475" s="193"/>
      <c r="F1475" s="8" t="s">
        <v>483</v>
      </c>
      <c r="G1475" s="2">
        <v>1</v>
      </c>
      <c r="H1475" s="2">
        <v>9</v>
      </c>
      <c r="I1475" s="126">
        <v>160</v>
      </c>
      <c r="J1475" s="2" t="s">
        <v>766</v>
      </c>
      <c r="K1475" s="109" t="s">
        <v>603</v>
      </c>
      <c r="L1475" s="201">
        <v>20000</v>
      </c>
      <c r="M1475" s="64">
        <v>20</v>
      </c>
      <c r="N1475" s="39" t="s">
        <v>48</v>
      </c>
      <c r="O1475" s="39" t="s">
        <v>49</v>
      </c>
      <c r="P1475" s="211" t="s">
        <v>828</v>
      </c>
      <c r="Q1475" s="19">
        <v>30</v>
      </c>
      <c r="R1475" s="15">
        <f>Q1475/I1475</f>
        <v>0.1875</v>
      </c>
      <c r="S1475" s="5">
        <f>($AC1475*$AD1475)/(($Z1475/$Y1475)+($AA1475/$Z1475)+($AB1475/$AA1475))</f>
        <v>20</v>
      </c>
      <c r="U1475" s="109" t="s">
        <v>767</v>
      </c>
      <c r="V1475" s="71" t="s">
        <v>595</v>
      </c>
      <c r="W1475" s="107" t="s">
        <v>604</v>
      </c>
      <c r="Y1475" s="2">
        <v>2</v>
      </c>
      <c r="Z1475" s="2">
        <v>5</v>
      </c>
      <c r="AA1475" s="2">
        <v>40</v>
      </c>
      <c r="AB1475" s="2">
        <v>100</v>
      </c>
      <c r="AC1475" s="2">
        <v>20</v>
      </c>
      <c r="AD1475" s="2">
        <v>13</v>
      </c>
      <c r="AE1475" s="2">
        <f>AC1475*AD1475</f>
        <v>260</v>
      </c>
      <c r="AF1475" s="2">
        <f>Z1475/Y1475</f>
        <v>2.5</v>
      </c>
      <c r="AG1475" s="2">
        <f>AA1475/Z1475</f>
        <v>8</v>
      </c>
      <c r="AH1475" s="2">
        <f>AB1475/AA1475</f>
        <v>2.5</v>
      </c>
    </row>
    <row r="1476" spans="1:34">
      <c r="A1476" s="165" t="s">
        <v>1383</v>
      </c>
      <c r="B1476" s="39" t="s">
        <v>63</v>
      </c>
      <c r="C1476" s="41">
        <v>46206</v>
      </c>
      <c r="D1476" s="144">
        <v>0.91666666666666663</v>
      </c>
      <c r="F1476" s="8" t="s">
        <v>909</v>
      </c>
      <c r="G1476" s="2">
        <v>1</v>
      </c>
      <c r="H1476" s="2">
        <v>9</v>
      </c>
      <c r="I1476" s="45">
        <v>135</v>
      </c>
      <c r="J1476" s="2" t="s">
        <v>766</v>
      </c>
      <c r="K1476" s="88" t="s">
        <v>813</v>
      </c>
      <c r="L1476" s="89">
        <v>10000</v>
      </c>
      <c r="M1476" s="202">
        <v>15</v>
      </c>
      <c r="N1476" s="132" t="s">
        <v>821</v>
      </c>
      <c r="O1476" s="39" t="s">
        <v>49</v>
      </c>
      <c r="P1476" s="210"/>
      <c r="Q1476" s="19">
        <v>35</v>
      </c>
      <c r="R1476" s="15">
        <f>Q1476/I1476</f>
        <v>0.25925925925925924</v>
      </c>
      <c r="S1476" s="5">
        <v>22</v>
      </c>
      <c r="U1476" s="109" t="s">
        <v>767</v>
      </c>
      <c r="V1476" s="71" t="s">
        <v>362</v>
      </c>
      <c r="W1476" s="8" t="s">
        <v>369</v>
      </c>
      <c r="Y1476" s="175"/>
      <c r="Z1476" s="175"/>
      <c r="AA1476" s="175"/>
      <c r="AB1476" s="175"/>
      <c r="AC1476" s="175"/>
      <c r="AD1476" s="175"/>
      <c r="AE1476" s="175"/>
      <c r="AF1476" s="175"/>
      <c r="AG1476" s="175"/>
      <c r="AH1476" s="175"/>
    </row>
    <row r="1477" spans="1:34">
      <c r="A1477" s="96" t="s">
        <v>461</v>
      </c>
      <c r="B1477" s="96" t="s">
        <v>462</v>
      </c>
      <c r="C1477" s="41">
        <v>46206</v>
      </c>
      <c r="D1477" s="42">
        <v>0.92361111111111116</v>
      </c>
      <c r="F1477" s="8" t="s">
        <v>456</v>
      </c>
      <c r="G1477" s="2">
        <v>1</v>
      </c>
      <c r="I1477" s="125">
        <v>120</v>
      </c>
      <c r="J1477" s="2" t="s">
        <v>766</v>
      </c>
      <c r="K1477" s="109" t="s">
        <v>737</v>
      </c>
      <c r="L1477" s="8">
        <v>20000</v>
      </c>
      <c r="M1477" s="202">
        <v>15</v>
      </c>
      <c r="N1477" s="39" t="s">
        <v>48</v>
      </c>
      <c r="O1477" s="39" t="s">
        <v>49</v>
      </c>
      <c r="P1477" s="211" t="s">
        <v>827</v>
      </c>
      <c r="Q1477" s="19">
        <v>24</v>
      </c>
      <c r="R1477" s="15">
        <f>Q1477/I1477</f>
        <v>0.2</v>
      </c>
      <c r="S1477" s="5">
        <f>($AC1477*$AD1477)/(($Z1477/$Y1477)+($AA1477/$Z1477)+($AB1477/$AA1477))</f>
        <v>25.161290322580644</v>
      </c>
      <c r="U1477" s="109" t="s">
        <v>463</v>
      </c>
      <c r="V1477" s="2" t="s">
        <v>735</v>
      </c>
      <c r="W1477" s="2" t="s">
        <v>464</v>
      </c>
      <c r="Y1477" s="2">
        <v>2.5</v>
      </c>
      <c r="Z1477" s="2">
        <v>7.5</v>
      </c>
      <c r="AA1477" s="2">
        <v>30</v>
      </c>
      <c r="AB1477" s="2">
        <v>100</v>
      </c>
      <c r="AC1477" s="2">
        <v>13</v>
      </c>
      <c r="AD1477" s="2">
        <v>20</v>
      </c>
      <c r="AE1477" s="2">
        <f>AC1477*AD1477</f>
        <v>260</v>
      </c>
      <c r="AF1477" s="2">
        <f>Z1477/Y1477</f>
        <v>3</v>
      </c>
      <c r="AG1477" s="2">
        <f>AA1477/Z1477</f>
        <v>4</v>
      </c>
      <c r="AH1477" s="2">
        <f>AB1477/AA1477</f>
        <v>3.3333333333333335</v>
      </c>
    </row>
    <row r="1478" spans="1:34">
      <c r="A1478" s="165" t="s">
        <v>1383</v>
      </c>
      <c r="B1478" s="36" t="s">
        <v>63</v>
      </c>
      <c r="C1478" s="41">
        <v>46206</v>
      </c>
      <c r="D1478" s="144" t="s">
        <v>117</v>
      </c>
      <c r="E1478" s="14">
        <v>81</v>
      </c>
      <c r="F1478" s="8" t="s">
        <v>1000</v>
      </c>
      <c r="G1478" s="2">
        <v>2</v>
      </c>
      <c r="H1478" s="2">
        <v>9</v>
      </c>
      <c r="I1478" s="45">
        <v>800</v>
      </c>
      <c r="J1478" s="2" t="s">
        <v>761</v>
      </c>
      <c r="K1478" s="109" t="s">
        <v>601</v>
      </c>
      <c r="L1478" s="89">
        <v>40000</v>
      </c>
      <c r="M1478" s="202">
        <v>30</v>
      </c>
      <c r="N1478" s="39" t="s">
        <v>48</v>
      </c>
      <c r="O1478" s="39" t="s">
        <v>49</v>
      </c>
      <c r="P1478" s="130"/>
      <c r="Q1478" s="19">
        <f>R1478*I1478</f>
        <v>100</v>
      </c>
      <c r="R1478" s="15">
        <v>0.125</v>
      </c>
      <c r="S1478" s="5">
        <f>($AC1478*$AD1478)/(($Z1478/$Y1478)+($AA1478/$Z1478)+($AB1478/$AA1478))</f>
        <v>77.027027027027017</v>
      </c>
      <c r="U1478" s="109" t="s">
        <v>767</v>
      </c>
      <c r="V1478" s="205" t="s">
        <v>121</v>
      </c>
      <c r="W1478" s="205"/>
      <c r="Y1478" s="2">
        <v>2</v>
      </c>
      <c r="Z1478" s="2">
        <v>5</v>
      </c>
      <c r="AA1478" s="2">
        <v>12.5</v>
      </c>
      <c r="AB1478" s="2">
        <v>30</v>
      </c>
      <c r="AC1478" s="2">
        <v>30</v>
      </c>
      <c r="AD1478" s="2">
        <v>19</v>
      </c>
      <c r="AE1478" s="2">
        <f>AC1478*AD1478</f>
        <v>570</v>
      </c>
      <c r="AF1478" s="2">
        <f>Z1478/Y1478</f>
        <v>2.5</v>
      </c>
      <c r="AG1478" s="2">
        <f>AA1478/Z1478</f>
        <v>2.5</v>
      </c>
      <c r="AH1478" s="2">
        <f>AB1478/AA1478</f>
        <v>2.4</v>
      </c>
    </row>
    <row r="1479" spans="1:34">
      <c r="A1479" s="165" t="s">
        <v>1383</v>
      </c>
      <c r="B1479" s="36" t="s">
        <v>63</v>
      </c>
      <c r="C1479" s="192">
        <v>46206</v>
      </c>
      <c r="D1479" s="144" t="s">
        <v>120</v>
      </c>
      <c r="E1479" s="14">
        <v>82</v>
      </c>
      <c r="F1479" s="8" t="s">
        <v>1033</v>
      </c>
      <c r="G1479" s="2">
        <v>8</v>
      </c>
      <c r="H1479" s="2">
        <v>9</v>
      </c>
      <c r="I1479" s="45">
        <v>10000</v>
      </c>
      <c r="J1479" s="2" t="s">
        <v>110</v>
      </c>
      <c r="K1479" s="109" t="s">
        <v>737</v>
      </c>
      <c r="L1479" s="92">
        <v>60000</v>
      </c>
      <c r="M1479" s="202">
        <v>120</v>
      </c>
      <c r="N1479" s="39" t="s">
        <v>48</v>
      </c>
      <c r="O1479" s="39" t="s">
        <v>49</v>
      </c>
      <c r="P1479" s="130"/>
      <c r="Q1479" s="19">
        <f>R1479*I1479</f>
        <v>700.00000000000011</v>
      </c>
      <c r="R1479" s="15">
        <v>7.0000000000000007E-2</v>
      </c>
      <c r="S1479" s="5">
        <f>($AC1479*$AD1479)/(($Z1479/$Y1479)+($AA1479/$Z1479)+($AB1479/$AA1479))</f>
        <v>340.18691588785049</v>
      </c>
      <c r="U1479" s="109" t="s">
        <v>853</v>
      </c>
      <c r="V1479" s="2" t="s">
        <v>121</v>
      </c>
      <c r="W1479" s="205"/>
      <c r="Y1479" s="2">
        <v>2</v>
      </c>
      <c r="Z1479" s="2">
        <v>5</v>
      </c>
      <c r="AA1479" s="2">
        <v>13</v>
      </c>
      <c r="AB1479" s="2">
        <v>30</v>
      </c>
      <c r="AC1479" s="2">
        <v>120</v>
      </c>
      <c r="AD1479" s="2">
        <v>21</v>
      </c>
      <c r="AE1479" s="2">
        <f>AC1479*AD1479</f>
        <v>2520</v>
      </c>
      <c r="AF1479" s="2">
        <f>Z1479/Y1479</f>
        <v>2.5</v>
      </c>
      <c r="AG1479" s="2">
        <f>AA1479/Z1479</f>
        <v>2.6</v>
      </c>
      <c r="AH1479" s="2">
        <f>AB1479/AA1479</f>
        <v>2.3076923076923075</v>
      </c>
    </row>
    <row r="1480" spans="1:34">
      <c r="A1480" s="165" t="s">
        <v>1383</v>
      </c>
      <c r="B1480" s="36" t="s">
        <v>63</v>
      </c>
      <c r="C1480" s="192">
        <v>46206</v>
      </c>
      <c r="D1480" s="144" t="s">
        <v>116</v>
      </c>
      <c r="E1480" s="8">
        <v>84</v>
      </c>
      <c r="F1480" s="8" t="s">
        <v>1001</v>
      </c>
      <c r="G1480" s="2">
        <v>1</v>
      </c>
      <c r="H1480" s="2">
        <v>8</v>
      </c>
      <c r="I1480" s="45">
        <v>5000</v>
      </c>
      <c r="J1480" s="2" t="s">
        <v>760</v>
      </c>
      <c r="K1480" s="109" t="s">
        <v>601</v>
      </c>
      <c r="L1480" s="89">
        <v>50000</v>
      </c>
      <c r="M1480" s="202">
        <v>20</v>
      </c>
      <c r="N1480" s="39" t="s">
        <v>48</v>
      </c>
      <c r="O1480" s="39" t="s">
        <v>49</v>
      </c>
      <c r="P1480" s="130"/>
      <c r="Q1480" s="19">
        <f>R1480*I1480</f>
        <v>400</v>
      </c>
      <c r="R1480" s="15">
        <v>0.08</v>
      </c>
      <c r="S1480" s="5">
        <f>($AC1480*$AD1480)/(($Z1480/$Y1480)+($AA1480/$Z1480)+($AB1480/$AA1480))</f>
        <v>53.997923156801669</v>
      </c>
      <c r="U1480" s="109" t="s">
        <v>463</v>
      </c>
      <c r="V1480" s="205" t="s">
        <v>121</v>
      </c>
      <c r="W1480" s="205"/>
      <c r="Y1480" s="73">
        <v>2</v>
      </c>
      <c r="Z1480" s="73">
        <v>5</v>
      </c>
      <c r="AA1480" s="73">
        <v>13</v>
      </c>
      <c r="AB1480" s="73">
        <v>30</v>
      </c>
      <c r="AC1480" s="73">
        <v>20</v>
      </c>
      <c r="AD1480" s="73">
        <v>20</v>
      </c>
      <c r="AE1480" s="2">
        <f>AC1480*AD1480</f>
        <v>400</v>
      </c>
      <c r="AF1480" s="2">
        <f>Z1480/Y1480</f>
        <v>2.5</v>
      </c>
      <c r="AG1480" s="2">
        <f>AA1480/Z1480</f>
        <v>2.6</v>
      </c>
      <c r="AH1480" s="2">
        <f>AB1480/AA1480</f>
        <v>2.3076923076923075</v>
      </c>
    </row>
    <row r="1481" spans="1:34">
      <c r="A1481" s="165" t="s">
        <v>1383</v>
      </c>
      <c r="B1481" s="36" t="s">
        <v>63</v>
      </c>
      <c r="C1481" s="192">
        <v>46206</v>
      </c>
      <c r="D1481" s="144" t="s">
        <v>876</v>
      </c>
      <c r="E1481" s="8">
        <v>79</v>
      </c>
      <c r="F1481" s="8" t="s">
        <v>1274</v>
      </c>
      <c r="G1481" s="2">
        <v>3</v>
      </c>
      <c r="H1481" s="2">
        <v>9</v>
      </c>
      <c r="I1481" s="45">
        <v>3000</v>
      </c>
      <c r="J1481" s="2" t="s">
        <v>110</v>
      </c>
      <c r="K1481" s="109" t="s">
        <v>598</v>
      </c>
      <c r="L1481" s="89">
        <v>40000</v>
      </c>
      <c r="M1481" s="202" t="s">
        <v>97</v>
      </c>
      <c r="N1481" s="39" t="s">
        <v>48</v>
      </c>
      <c r="O1481" s="39" t="s">
        <v>49</v>
      </c>
      <c r="P1481" s="210"/>
      <c r="Q1481" s="19">
        <f>R1481*I1481</f>
        <v>330</v>
      </c>
      <c r="R1481" s="15">
        <v>0.11</v>
      </c>
      <c r="S1481" s="5">
        <f>($AC1481*$AD1481)/(($Z1481/$Y1481)+($AA1481/$Z1481)+($AB1481/$AA1481))</f>
        <v>102.59605399792316</v>
      </c>
      <c r="U1481" s="109" t="s">
        <v>853</v>
      </c>
      <c r="V1481" s="2" t="s">
        <v>121</v>
      </c>
      <c r="W1481" s="205"/>
      <c r="Y1481" s="73">
        <v>2</v>
      </c>
      <c r="Z1481" s="73">
        <v>5</v>
      </c>
      <c r="AA1481" s="73">
        <v>13</v>
      </c>
      <c r="AB1481" s="73">
        <v>30</v>
      </c>
      <c r="AC1481" s="73">
        <v>40</v>
      </c>
      <c r="AD1481" s="73">
        <v>19</v>
      </c>
      <c r="AE1481" s="2">
        <f>AC1481*AD1481</f>
        <v>760</v>
      </c>
      <c r="AF1481" s="2">
        <f>Z1481/Y1481</f>
        <v>2.5</v>
      </c>
      <c r="AG1481" s="2">
        <f>AA1481/Z1481</f>
        <v>2.6</v>
      </c>
      <c r="AH1481" s="2">
        <f>AB1481/AA1481</f>
        <v>2.3076923076923075</v>
      </c>
    </row>
    <row r="1482" spans="1:34">
      <c r="A1482" s="165" t="s">
        <v>1383</v>
      </c>
      <c r="B1482" s="36" t="s">
        <v>63</v>
      </c>
      <c r="C1482" s="192">
        <v>46206</v>
      </c>
      <c r="D1482" s="144" t="s">
        <v>876</v>
      </c>
      <c r="E1482" s="8">
        <v>80</v>
      </c>
      <c r="F1482" s="8" t="s">
        <v>1238</v>
      </c>
      <c r="G1482" s="2">
        <v>3</v>
      </c>
      <c r="H1482" s="2">
        <v>6</v>
      </c>
      <c r="I1482" s="45">
        <v>10000</v>
      </c>
      <c r="J1482" s="2" t="s">
        <v>110</v>
      </c>
      <c r="K1482" s="109" t="s">
        <v>816</v>
      </c>
      <c r="L1482" s="89">
        <v>60000</v>
      </c>
      <c r="M1482" s="202" t="s">
        <v>111</v>
      </c>
      <c r="N1482" s="39" t="s">
        <v>48</v>
      </c>
      <c r="O1482" s="39" t="s">
        <v>377</v>
      </c>
      <c r="P1482" s="66"/>
      <c r="Q1482" s="38">
        <f>R1482*I1482</f>
        <v>700.00000000000011</v>
      </c>
      <c r="R1482" s="15">
        <v>7.0000000000000007E-2</v>
      </c>
      <c r="S1482" s="149" t="s">
        <v>110</v>
      </c>
      <c r="T1482" s="149"/>
      <c r="U1482" s="109" t="s">
        <v>375</v>
      </c>
      <c r="V1482" s="2" t="s">
        <v>121</v>
      </c>
      <c r="W1482" s="205"/>
      <c r="AE1482" s="2">
        <f>AC1482*AD1482</f>
        <v>0</v>
      </c>
      <c r="AF1482" s="2" t="e">
        <f>Z1482/Y1482</f>
        <v>#DIV/0!</v>
      </c>
      <c r="AG1482" s="2" t="e">
        <f>AA1482/Z1482</f>
        <v>#DIV/0!</v>
      </c>
      <c r="AH1482" s="2" t="e">
        <f>AB1482/AA1482</f>
        <v>#DIV/0!</v>
      </c>
    </row>
    <row r="1483" spans="1:34">
      <c r="A1483" s="165" t="s">
        <v>1383</v>
      </c>
      <c r="B1483" s="39" t="s">
        <v>63</v>
      </c>
      <c r="C1483" s="223">
        <v>46207</v>
      </c>
      <c r="D1483" s="144">
        <v>0.33333333333333331</v>
      </c>
      <c r="E1483" s="8"/>
      <c r="F1483" s="8" t="s">
        <v>910</v>
      </c>
      <c r="G1483" s="2">
        <v>1</v>
      </c>
      <c r="H1483" s="2">
        <v>9</v>
      </c>
      <c r="I1483" s="45">
        <v>150</v>
      </c>
      <c r="J1483" s="2" t="s">
        <v>766</v>
      </c>
      <c r="K1483" s="88" t="s">
        <v>768</v>
      </c>
      <c r="L1483" s="89">
        <v>10000</v>
      </c>
      <c r="M1483" s="205">
        <v>10</v>
      </c>
      <c r="N1483" s="132" t="s">
        <v>821</v>
      </c>
      <c r="O1483" s="39" t="s">
        <v>49</v>
      </c>
      <c r="Q1483" s="19">
        <v>35</v>
      </c>
      <c r="R1483" s="15">
        <f>Q1483/I1483</f>
        <v>0.23333333333333334</v>
      </c>
      <c r="S1483" s="5">
        <f>($AC1483*$AD1483)/(($Z1483/$Y1483)+($AA1483/$Z1483)+($AB1483/$AA1483))</f>
        <v>9.9248120300751879</v>
      </c>
      <c r="U1483" s="109" t="s">
        <v>129</v>
      </c>
      <c r="V1483" s="83" t="s">
        <v>361</v>
      </c>
      <c r="W1483" s="153" t="s">
        <v>385</v>
      </c>
      <c r="Y1483" s="2">
        <v>2</v>
      </c>
      <c r="Z1483" s="2">
        <v>7.5</v>
      </c>
      <c r="AA1483" s="2">
        <v>25</v>
      </c>
      <c r="AB1483" s="2">
        <v>100</v>
      </c>
      <c r="AC1483" s="2">
        <v>11</v>
      </c>
      <c r="AD1483" s="2">
        <v>10</v>
      </c>
      <c r="AE1483" s="2">
        <f>AC1483*AD1483</f>
        <v>110</v>
      </c>
      <c r="AF1483" s="2">
        <f>Z1483/Y1483</f>
        <v>3.75</v>
      </c>
      <c r="AG1483" s="2">
        <f>AA1483/Z1483</f>
        <v>3.3333333333333335</v>
      </c>
      <c r="AH1483" s="2">
        <f>AB1483/AA1483</f>
        <v>4</v>
      </c>
    </row>
    <row r="1484" spans="1:34">
      <c r="A1484" s="165" t="s">
        <v>1383</v>
      </c>
      <c r="B1484" s="39" t="s">
        <v>63</v>
      </c>
      <c r="C1484" s="192">
        <v>46207</v>
      </c>
      <c r="D1484" s="144">
        <v>0.33333333333333331</v>
      </c>
      <c r="E1484" s="193"/>
      <c r="F1484" s="8" t="s">
        <v>907</v>
      </c>
      <c r="G1484" s="2">
        <v>1</v>
      </c>
      <c r="H1484" s="2">
        <v>9</v>
      </c>
      <c r="I1484" s="45">
        <v>1100</v>
      </c>
      <c r="J1484" s="2" t="s">
        <v>766</v>
      </c>
      <c r="K1484" s="88" t="s">
        <v>768</v>
      </c>
      <c r="L1484" s="89">
        <v>15000</v>
      </c>
      <c r="M1484" s="209">
        <v>10</v>
      </c>
      <c r="N1484" s="132" t="s">
        <v>821</v>
      </c>
      <c r="O1484" s="39" t="s">
        <v>49</v>
      </c>
      <c r="P1484" s="130"/>
      <c r="Q1484" s="19">
        <f>88+37</f>
        <v>125</v>
      </c>
      <c r="R1484" s="15">
        <f>Q1484/I1484</f>
        <v>0.11363636363636363</v>
      </c>
      <c r="S1484" s="5">
        <v>11</v>
      </c>
      <c r="U1484" s="109" t="s">
        <v>129</v>
      </c>
      <c r="V1484" s="71" t="s">
        <v>362</v>
      </c>
      <c r="W1484" s="8" t="s">
        <v>370</v>
      </c>
      <c r="Y1484" s="175"/>
      <c r="Z1484" s="175"/>
      <c r="AA1484" s="175"/>
      <c r="AB1484" s="175"/>
      <c r="AC1484" s="175"/>
      <c r="AD1484" s="175"/>
      <c r="AE1484" s="175"/>
      <c r="AF1484" s="175"/>
      <c r="AG1484" s="175"/>
      <c r="AH1484" s="175"/>
    </row>
    <row r="1485" spans="1:34">
      <c r="A1485" s="165" t="s">
        <v>1383</v>
      </c>
      <c r="B1485" s="39" t="s">
        <v>63</v>
      </c>
      <c r="C1485" s="192">
        <v>46207</v>
      </c>
      <c r="D1485" s="144">
        <v>0.41666666666666669</v>
      </c>
      <c r="E1485" s="193"/>
      <c r="F1485" s="8" t="s">
        <v>918</v>
      </c>
      <c r="G1485" s="2">
        <v>1</v>
      </c>
      <c r="H1485" s="2">
        <v>9</v>
      </c>
      <c r="I1485" s="81">
        <v>585</v>
      </c>
      <c r="J1485" s="2" t="s">
        <v>766</v>
      </c>
      <c r="K1485" s="88" t="s">
        <v>790</v>
      </c>
      <c r="L1485" s="89">
        <v>10000</v>
      </c>
      <c r="M1485" s="202">
        <v>20</v>
      </c>
      <c r="N1485" s="132" t="s">
        <v>821</v>
      </c>
      <c r="O1485" s="39" t="s">
        <v>49</v>
      </c>
      <c r="Q1485" s="19">
        <v>85</v>
      </c>
      <c r="R1485" s="59">
        <f>Q1485/I1485</f>
        <v>0.14529914529914531</v>
      </c>
      <c r="S1485" s="5">
        <v>20</v>
      </c>
      <c r="U1485" s="109" t="s">
        <v>767</v>
      </c>
      <c r="V1485" s="83" t="s">
        <v>362</v>
      </c>
      <c r="W1485" s="8" t="s">
        <v>386</v>
      </c>
      <c r="Y1485" s="175"/>
      <c r="Z1485" s="175"/>
      <c r="AA1485" s="175"/>
      <c r="AB1485" s="175"/>
      <c r="AC1485" s="175"/>
      <c r="AD1485" s="175"/>
      <c r="AE1485" s="175"/>
      <c r="AF1485" s="175"/>
      <c r="AG1485" s="175"/>
      <c r="AH1485" s="175"/>
    </row>
    <row r="1486" spans="1:34">
      <c r="A1486" s="96" t="s">
        <v>461</v>
      </c>
      <c r="B1486" s="96" t="s">
        <v>462</v>
      </c>
      <c r="C1486" s="192">
        <v>46207</v>
      </c>
      <c r="D1486" s="42">
        <v>0.4236111111111111</v>
      </c>
      <c r="E1486" s="193"/>
      <c r="F1486" s="8" t="s">
        <v>457</v>
      </c>
      <c r="G1486" s="2">
        <v>1</v>
      </c>
      <c r="I1486" s="126">
        <v>120</v>
      </c>
      <c r="J1486" s="2" t="s">
        <v>766</v>
      </c>
      <c r="K1486" s="109" t="s">
        <v>602</v>
      </c>
      <c r="L1486" s="8">
        <v>20000</v>
      </c>
      <c r="M1486" s="202">
        <v>20</v>
      </c>
      <c r="N1486" s="39" t="s">
        <v>48</v>
      </c>
      <c r="O1486" s="39" t="s">
        <v>49</v>
      </c>
      <c r="P1486" s="211" t="s">
        <v>832</v>
      </c>
      <c r="Q1486" s="19">
        <v>24</v>
      </c>
      <c r="R1486" s="15">
        <f>Q1486/I1486</f>
        <v>0.2</v>
      </c>
      <c r="S1486" s="5">
        <f>($AC1486*$AD1486)/(($Z1486/$Y1486)+($AA1486/$Z1486)+($AB1486/$AA1486))</f>
        <v>25.161290322580644</v>
      </c>
      <c r="U1486" s="109" t="s">
        <v>767</v>
      </c>
      <c r="V1486" s="2" t="s">
        <v>735</v>
      </c>
      <c r="Y1486" s="2">
        <v>2.5</v>
      </c>
      <c r="Z1486" s="2">
        <v>7.5</v>
      </c>
      <c r="AA1486" s="2">
        <v>30</v>
      </c>
      <c r="AB1486" s="2">
        <v>100</v>
      </c>
      <c r="AC1486" s="2">
        <v>13</v>
      </c>
      <c r="AD1486" s="2">
        <v>20</v>
      </c>
      <c r="AE1486" s="2">
        <f>AC1486*AD1486</f>
        <v>260</v>
      </c>
      <c r="AF1486" s="2">
        <f>Z1486/Y1486</f>
        <v>3</v>
      </c>
      <c r="AG1486" s="2">
        <f>AA1486/Z1486</f>
        <v>4</v>
      </c>
      <c r="AH1486" s="2">
        <f>AB1486/AA1486</f>
        <v>3.3333333333333335</v>
      </c>
    </row>
    <row r="1487" spans="1:34">
      <c r="A1487" s="68" t="s">
        <v>357</v>
      </c>
      <c r="B1487" s="68" t="s">
        <v>358</v>
      </c>
      <c r="C1487" s="48">
        <v>46207</v>
      </c>
      <c r="D1487" s="42">
        <v>0.4236111111111111</v>
      </c>
      <c r="E1487" s="8">
        <v>79</v>
      </c>
      <c r="F1487" s="63" t="s">
        <v>309</v>
      </c>
      <c r="G1487" s="2">
        <v>1</v>
      </c>
      <c r="H1487" s="2">
        <v>9</v>
      </c>
      <c r="I1487" s="126">
        <v>1100</v>
      </c>
      <c r="J1487" s="2" t="s">
        <v>766</v>
      </c>
      <c r="K1487" s="137" t="s">
        <v>816</v>
      </c>
      <c r="L1487" s="89">
        <v>40000</v>
      </c>
      <c r="M1487" s="54">
        <v>30</v>
      </c>
      <c r="N1487" s="39" t="s">
        <v>48</v>
      </c>
      <c r="O1487" s="39" t="s">
        <v>49</v>
      </c>
      <c r="P1487" s="135" t="s">
        <v>840</v>
      </c>
      <c r="Q1487" s="19">
        <v>135</v>
      </c>
      <c r="R1487" s="15">
        <f>Q1487/I1487</f>
        <v>0.12272727272727273</v>
      </c>
      <c r="S1487" s="5">
        <f>($AC1487*$AD1487)/(($Z1487/$Y1487)+($AA1487/$Z1487)+($AB1487/$AA1487))</f>
        <v>71.293161814488826</v>
      </c>
      <c r="U1487" s="109" t="s">
        <v>767</v>
      </c>
      <c r="V1487" s="2" t="s">
        <v>696</v>
      </c>
      <c r="Y1487" s="2">
        <v>2.5</v>
      </c>
      <c r="Z1487" s="2">
        <v>6.5</v>
      </c>
      <c r="AA1487" s="2">
        <v>15</v>
      </c>
      <c r="AB1487" s="2">
        <v>40</v>
      </c>
      <c r="AC1487" s="2">
        <v>30</v>
      </c>
      <c r="AD1487" s="2">
        <v>18</v>
      </c>
      <c r="AE1487" s="2">
        <f>AC1487*AD1487</f>
        <v>540</v>
      </c>
      <c r="AF1487" s="2">
        <f>Z1487/Y1487</f>
        <v>2.6</v>
      </c>
      <c r="AG1487" s="2">
        <f>AA1487/Z1487</f>
        <v>2.3076923076923075</v>
      </c>
      <c r="AH1487" s="2">
        <f>AB1487/AA1487</f>
        <v>2.6666666666666665</v>
      </c>
    </row>
    <row r="1488" spans="1:34">
      <c r="A1488" s="95" t="s">
        <v>447</v>
      </c>
      <c r="B1488" s="95" t="s">
        <v>448</v>
      </c>
      <c r="C1488" s="40">
        <v>46207</v>
      </c>
      <c r="D1488" s="42">
        <v>0.45833333333333331</v>
      </c>
      <c r="E1488" s="193"/>
      <c r="F1488" s="8" t="s">
        <v>440</v>
      </c>
      <c r="G1488" s="2">
        <v>1</v>
      </c>
      <c r="H1488" s="2">
        <v>9</v>
      </c>
      <c r="I1488" s="126">
        <v>1100</v>
      </c>
      <c r="J1488" s="2" t="s">
        <v>766</v>
      </c>
      <c r="K1488" s="109" t="s">
        <v>602</v>
      </c>
      <c r="L1488" s="8">
        <v>30000</v>
      </c>
      <c r="M1488" s="8">
        <v>30</v>
      </c>
      <c r="N1488" s="39" t="s">
        <v>48</v>
      </c>
      <c r="O1488" s="39" t="s">
        <v>49</v>
      </c>
      <c r="P1488" s="135" t="s">
        <v>841</v>
      </c>
      <c r="Q1488" s="19">
        <v>135</v>
      </c>
      <c r="R1488" s="15">
        <f>Q1488/I1488</f>
        <v>0.12272727272727273</v>
      </c>
      <c r="S1488" s="5">
        <f>($AC1488*$AD1488)/(($Z1488/$Y1488)+($AA1488/$Z1488)+($AB1488/$AA1488))</f>
        <v>72.897196261682254</v>
      </c>
      <c r="U1488" s="109" t="s">
        <v>767</v>
      </c>
      <c r="V1488" s="2" t="s">
        <v>741</v>
      </c>
      <c r="Y1488" s="2">
        <v>2</v>
      </c>
      <c r="Z1488" s="2">
        <v>5</v>
      </c>
      <c r="AA1488" s="2">
        <v>13</v>
      </c>
      <c r="AB1488" s="2">
        <v>30</v>
      </c>
      <c r="AC1488" s="2">
        <v>18</v>
      </c>
      <c r="AD1488" s="2">
        <v>30</v>
      </c>
      <c r="AE1488" s="2">
        <f>AC1488*AD1488</f>
        <v>540</v>
      </c>
      <c r="AF1488" s="2">
        <f>Z1488/Y1488</f>
        <v>2.5</v>
      </c>
      <c r="AG1488" s="2">
        <f>AA1488/Z1488</f>
        <v>2.6</v>
      </c>
      <c r="AH1488" s="2">
        <f>AB1488/AA1488</f>
        <v>2.3076923076923075</v>
      </c>
    </row>
    <row r="1489" spans="1:34">
      <c r="A1489" s="165" t="s">
        <v>1383</v>
      </c>
      <c r="B1489" s="36" t="s">
        <v>63</v>
      </c>
      <c r="C1489" s="192">
        <v>46207</v>
      </c>
      <c r="D1489" s="144">
        <v>0.45833333333333331</v>
      </c>
      <c r="E1489" s="14">
        <v>81</v>
      </c>
      <c r="F1489" s="8" t="s">
        <v>1206</v>
      </c>
      <c r="G1489" s="2">
        <v>2</v>
      </c>
      <c r="H1489" s="2">
        <v>9</v>
      </c>
      <c r="I1489" s="45">
        <v>800</v>
      </c>
      <c r="J1489" s="2" t="s">
        <v>761</v>
      </c>
      <c r="K1489" s="109" t="s">
        <v>601</v>
      </c>
      <c r="L1489" s="89">
        <v>40000</v>
      </c>
      <c r="M1489" s="202">
        <v>30</v>
      </c>
      <c r="N1489" s="39" t="s">
        <v>48</v>
      </c>
      <c r="O1489" s="39" t="s">
        <v>49</v>
      </c>
      <c r="P1489" s="130"/>
      <c r="Q1489" s="19">
        <f>R1489*I1489</f>
        <v>100</v>
      </c>
      <c r="R1489" s="15">
        <v>0.125</v>
      </c>
      <c r="S1489" s="5">
        <f>($AC1489*$AD1489)/(($Z1489/$Y1489)+($AA1489/$Z1489)+($AB1489/$AA1489))</f>
        <v>77.027027027027017</v>
      </c>
      <c r="U1489" s="109" t="s">
        <v>767</v>
      </c>
      <c r="V1489" s="205" t="s">
        <v>121</v>
      </c>
      <c r="W1489" s="205"/>
      <c r="Y1489" s="2">
        <v>2</v>
      </c>
      <c r="Z1489" s="2">
        <v>5</v>
      </c>
      <c r="AA1489" s="2">
        <v>12.5</v>
      </c>
      <c r="AB1489" s="2">
        <v>30</v>
      </c>
      <c r="AC1489" s="2">
        <v>30</v>
      </c>
      <c r="AD1489" s="2">
        <v>19</v>
      </c>
      <c r="AE1489" s="2">
        <f>AC1489*AD1489</f>
        <v>570</v>
      </c>
      <c r="AF1489" s="2">
        <f>Z1489/Y1489</f>
        <v>2.5</v>
      </c>
      <c r="AG1489" s="2">
        <f>AA1489/Z1489</f>
        <v>2.5</v>
      </c>
      <c r="AH1489" s="2">
        <f>AB1489/AA1489</f>
        <v>2.4</v>
      </c>
    </row>
    <row r="1490" spans="1:34">
      <c r="A1490" s="102" t="s">
        <v>475</v>
      </c>
      <c r="B1490" s="102" t="s">
        <v>476</v>
      </c>
      <c r="C1490" s="40">
        <v>46207</v>
      </c>
      <c r="D1490" s="42">
        <v>0.45833333333333331</v>
      </c>
      <c r="E1490" s="8">
        <v>44</v>
      </c>
      <c r="F1490" s="8" t="s">
        <v>528</v>
      </c>
      <c r="G1490" s="2">
        <v>1</v>
      </c>
      <c r="H1490" s="2">
        <v>8</v>
      </c>
      <c r="I1490" s="126">
        <v>600</v>
      </c>
      <c r="J1490" s="2" t="s">
        <v>766</v>
      </c>
      <c r="K1490" s="109" t="s">
        <v>602</v>
      </c>
      <c r="L1490" s="201">
        <v>30000</v>
      </c>
      <c r="M1490" s="64">
        <v>30</v>
      </c>
      <c r="N1490" s="39" t="s">
        <v>48</v>
      </c>
      <c r="O1490" s="39" t="s">
        <v>123</v>
      </c>
      <c r="P1490" s="197">
        <v>30000</v>
      </c>
      <c r="Q1490" s="2">
        <v>85</v>
      </c>
      <c r="R1490" s="15">
        <f>Q1490/I1490</f>
        <v>0.14166666666666666</v>
      </c>
      <c r="S1490" s="149" t="s">
        <v>110</v>
      </c>
      <c r="T1490" s="149"/>
      <c r="U1490" s="109" t="s">
        <v>767</v>
      </c>
      <c r="V1490" s="205" t="s">
        <v>612</v>
      </c>
      <c r="W1490" s="205"/>
      <c r="AE1490" s="2">
        <f>AC1490*AD1490</f>
        <v>0</v>
      </c>
      <c r="AF1490" s="2" t="e">
        <f>Z1490/Y1490</f>
        <v>#DIV/0!</v>
      </c>
      <c r="AG1490" s="2" t="e">
        <f>AA1490/Z1490</f>
        <v>#DIV/0!</v>
      </c>
      <c r="AH1490" s="2" t="e">
        <f>AB1490/AA1490</f>
        <v>#DIV/0!</v>
      </c>
    </row>
    <row r="1491" spans="1:34">
      <c r="A1491" s="52" t="s">
        <v>229</v>
      </c>
      <c r="B1491" s="52" t="s">
        <v>230</v>
      </c>
      <c r="C1491" s="192">
        <v>46207</v>
      </c>
      <c r="D1491" s="42">
        <v>0.45833333333333331</v>
      </c>
      <c r="E1491" s="193"/>
      <c r="F1491" s="8" t="s">
        <v>234</v>
      </c>
      <c r="G1491" s="2">
        <v>2</v>
      </c>
      <c r="I1491" s="45">
        <v>600</v>
      </c>
      <c r="J1491" s="2" t="s">
        <v>766</v>
      </c>
      <c r="K1491" s="88" t="s">
        <v>784</v>
      </c>
      <c r="L1491" s="89">
        <v>40000</v>
      </c>
      <c r="M1491" s="184" t="s">
        <v>22</v>
      </c>
      <c r="N1491" s="39" t="s">
        <v>48</v>
      </c>
      <c r="O1491" s="39" t="s">
        <v>49</v>
      </c>
      <c r="P1491" s="211" t="s">
        <v>843</v>
      </c>
      <c r="Q1491" s="19">
        <v>80</v>
      </c>
      <c r="R1491" s="15">
        <f>IF(Q1491&gt;0,Q1491/I1491,"")</f>
        <v>0.13333333333333333</v>
      </c>
      <c r="S1491" s="5">
        <f>($AC1491*$AD1491)/(($Z1491/$Y1491)+($AA1491/$Z1491)+($AB1491/$AA1491))</f>
        <v>76.947040498442377</v>
      </c>
      <c r="U1491" s="109" t="s">
        <v>767</v>
      </c>
      <c r="V1491" s="205" t="s">
        <v>719</v>
      </c>
      <c r="W1491" s="205"/>
      <c r="Y1491" s="2">
        <v>2</v>
      </c>
      <c r="Z1491" s="2">
        <v>5</v>
      </c>
      <c r="AA1491" s="2">
        <v>13</v>
      </c>
      <c r="AB1491" s="2">
        <v>30</v>
      </c>
      <c r="AC1491" s="2">
        <v>30</v>
      </c>
      <c r="AD1491" s="2">
        <v>19</v>
      </c>
      <c r="AE1491" s="2">
        <f>AC1491*AD1491</f>
        <v>570</v>
      </c>
      <c r="AF1491" s="2">
        <f>Z1491/Y1491</f>
        <v>2.5</v>
      </c>
      <c r="AG1491" s="2">
        <f>AA1491/Z1491</f>
        <v>2.6</v>
      </c>
      <c r="AH1491" s="2">
        <f>AB1491/AA1491</f>
        <v>2.3076923076923075</v>
      </c>
    </row>
    <row r="1492" spans="1:34">
      <c r="A1492" s="52" t="s">
        <v>220</v>
      </c>
      <c r="B1492" s="52" t="s">
        <v>221</v>
      </c>
      <c r="C1492" s="48">
        <v>46207</v>
      </c>
      <c r="D1492" s="42">
        <v>0.45833333333333331</v>
      </c>
      <c r="E1492" s="193"/>
      <c r="F1492" s="8" t="s">
        <v>1075</v>
      </c>
      <c r="G1492" s="2">
        <v>2</v>
      </c>
      <c r="H1492" s="2">
        <v>9</v>
      </c>
      <c r="I1492" s="126">
        <v>1600</v>
      </c>
      <c r="J1492" s="2" t="s">
        <v>766</v>
      </c>
      <c r="K1492" s="88" t="s">
        <v>791</v>
      </c>
      <c r="L1492" s="90">
        <v>40000</v>
      </c>
      <c r="M1492" s="64">
        <v>40</v>
      </c>
      <c r="N1492" s="39" t="s">
        <v>48</v>
      </c>
      <c r="O1492" s="39" t="s">
        <v>49</v>
      </c>
      <c r="P1492" s="211" t="s">
        <v>846</v>
      </c>
      <c r="Q1492" s="19">
        <v>170</v>
      </c>
      <c r="R1492" s="15">
        <f>Q1492/I1492</f>
        <v>0.10625</v>
      </c>
      <c r="S1492" s="5">
        <f>($AC1492*$AD1492)/(($Z1492/$Y1492)+($AA1492/$Z1492)+($AB1492/$AA1492))</f>
        <v>102.59605399792316</v>
      </c>
      <c r="U1492" s="109" t="s">
        <v>219</v>
      </c>
      <c r="V1492" s="2" t="s">
        <v>738</v>
      </c>
      <c r="W1492" s="205"/>
      <c r="Y1492" s="2">
        <v>2</v>
      </c>
      <c r="Z1492" s="2">
        <v>5</v>
      </c>
      <c r="AA1492" s="2">
        <v>13</v>
      </c>
      <c r="AB1492" s="2">
        <v>30</v>
      </c>
      <c r="AC1492" s="2">
        <v>19</v>
      </c>
      <c r="AD1492" s="2">
        <v>40</v>
      </c>
      <c r="AE1492" s="2">
        <f>AC1492*AD1492</f>
        <v>760</v>
      </c>
      <c r="AF1492" s="2">
        <f>Z1492/Y1492</f>
        <v>2.5</v>
      </c>
      <c r="AG1492" s="2">
        <f>AA1492/Z1492</f>
        <v>2.6</v>
      </c>
      <c r="AH1492" s="2">
        <f>AB1492/AA1492</f>
        <v>2.3076923076923075</v>
      </c>
    </row>
    <row r="1493" spans="1:34">
      <c r="A1493" s="95" t="s">
        <v>447</v>
      </c>
      <c r="B1493" s="95" t="s">
        <v>448</v>
      </c>
      <c r="C1493" s="40">
        <v>46207</v>
      </c>
      <c r="D1493" s="42">
        <v>0.5</v>
      </c>
      <c r="E1493" s="193"/>
      <c r="F1493" s="8" t="s">
        <v>1327</v>
      </c>
      <c r="G1493" s="2">
        <v>3</v>
      </c>
      <c r="H1493" s="2">
        <v>8</v>
      </c>
      <c r="I1493" s="126">
        <v>3500</v>
      </c>
      <c r="J1493" s="2" t="s">
        <v>766</v>
      </c>
      <c r="K1493" s="109" t="s">
        <v>815</v>
      </c>
      <c r="L1493" s="8">
        <v>50000</v>
      </c>
      <c r="M1493" s="8">
        <v>60</v>
      </c>
      <c r="N1493" s="39" t="s">
        <v>48</v>
      </c>
      <c r="O1493" s="39" t="s">
        <v>49</v>
      </c>
      <c r="P1493" s="211" t="s">
        <v>844</v>
      </c>
      <c r="Q1493" s="19">
        <v>300</v>
      </c>
      <c r="R1493" s="15">
        <f>Q1493/I1493</f>
        <v>8.5714285714285715E-2</v>
      </c>
      <c r="S1493" s="5">
        <f>($AC1493*$AD1493)/(($Z1493/$Y1493)+($AA1493/$Z1493)+($AB1493/$AA1493))</f>
        <v>134.99480789200416</v>
      </c>
      <c r="U1493" s="109" t="s">
        <v>767</v>
      </c>
      <c r="V1493" s="2" t="s">
        <v>741</v>
      </c>
      <c r="W1493" s="205"/>
      <c r="Y1493" s="2">
        <v>2</v>
      </c>
      <c r="Z1493" s="2">
        <v>5</v>
      </c>
      <c r="AA1493" s="2">
        <v>13</v>
      </c>
      <c r="AB1493" s="2">
        <v>30</v>
      </c>
      <c r="AC1493" s="2">
        <v>20</v>
      </c>
      <c r="AD1493" s="2">
        <v>50</v>
      </c>
      <c r="AE1493" s="2">
        <f>AC1493*AD1493</f>
        <v>1000</v>
      </c>
      <c r="AF1493" s="2">
        <f>Z1493/Y1493</f>
        <v>2.5</v>
      </c>
      <c r="AG1493" s="2">
        <f>AA1493/Z1493</f>
        <v>2.6</v>
      </c>
      <c r="AH1493" s="2">
        <f>AB1493/AA1493</f>
        <v>2.3076923076923075</v>
      </c>
    </row>
    <row r="1494" spans="1:34">
      <c r="A1494" s="165" t="s">
        <v>1383</v>
      </c>
      <c r="B1494" s="39" t="s">
        <v>63</v>
      </c>
      <c r="C1494" s="192">
        <v>46207</v>
      </c>
      <c r="D1494" s="144">
        <v>0.54166666666666663</v>
      </c>
      <c r="E1494" s="8"/>
      <c r="F1494" s="8" t="s">
        <v>881</v>
      </c>
      <c r="G1494" s="2">
        <v>1</v>
      </c>
      <c r="H1494" s="2">
        <v>9</v>
      </c>
      <c r="I1494" s="37">
        <v>250</v>
      </c>
      <c r="J1494" s="2" t="s">
        <v>766</v>
      </c>
      <c r="K1494" s="88" t="s">
        <v>787</v>
      </c>
      <c r="L1494" s="89">
        <v>25000</v>
      </c>
      <c r="M1494" s="205">
        <v>30</v>
      </c>
      <c r="N1494" s="39" t="s">
        <v>817</v>
      </c>
      <c r="O1494" s="39" t="s">
        <v>49</v>
      </c>
      <c r="P1494" s="130"/>
      <c r="Q1494" s="19">
        <v>50</v>
      </c>
      <c r="R1494" s="15">
        <f>Q1494/I1494</f>
        <v>0.2</v>
      </c>
      <c r="S1494" s="5">
        <v>44</v>
      </c>
      <c r="U1494" s="109" t="s">
        <v>767</v>
      </c>
      <c r="V1494" s="71" t="s">
        <v>360</v>
      </c>
      <c r="W1494" s="205"/>
      <c r="Y1494" s="175"/>
      <c r="Z1494" s="175"/>
      <c r="AA1494" s="175"/>
      <c r="AB1494" s="175"/>
      <c r="AC1494" s="175"/>
      <c r="AD1494" s="175"/>
      <c r="AE1494" s="175"/>
      <c r="AF1494" s="175"/>
      <c r="AG1494" s="175"/>
      <c r="AH1494" s="175"/>
    </row>
    <row r="1495" spans="1:34">
      <c r="A1495" s="165" t="s">
        <v>1383</v>
      </c>
      <c r="B1495" s="39" t="s">
        <v>63</v>
      </c>
      <c r="C1495" s="192">
        <v>46207</v>
      </c>
      <c r="D1495" s="144">
        <v>0.54166666666666663</v>
      </c>
      <c r="F1495" s="8" t="s">
        <v>906</v>
      </c>
      <c r="G1495" s="2">
        <v>1</v>
      </c>
      <c r="H1495" s="2">
        <v>9</v>
      </c>
      <c r="I1495" s="45">
        <v>1100</v>
      </c>
      <c r="J1495" s="2" t="s">
        <v>766</v>
      </c>
      <c r="K1495" s="88" t="s">
        <v>776</v>
      </c>
      <c r="L1495" s="89">
        <v>15000</v>
      </c>
      <c r="M1495" s="209" t="s">
        <v>128</v>
      </c>
      <c r="N1495" s="132" t="s">
        <v>821</v>
      </c>
      <c r="O1495" s="39" t="s">
        <v>49</v>
      </c>
      <c r="P1495" s="130"/>
      <c r="Q1495" s="19">
        <f>88+37</f>
        <v>125</v>
      </c>
      <c r="R1495" s="15">
        <f>Q1495/I1495</f>
        <v>0.11363636363636363</v>
      </c>
      <c r="S1495" s="5">
        <v>24</v>
      </c>
      <c r="U1495" s="109" t="s">
        <v>767</v>
      </c>
      <c r="V1495" s="71" t="s">
        <v>362</v>
      </c>
      <c r="W1495" s="8" t="s">
        <v>370</v>
      </c>
      <c r="Y1495" s="175"/>
      <c r="Z1495" s="175"/>
      <c r="AA1495" s="175"/>
      <c r="AB1495" s="175"/>
      <c r="AC1495" s="175"/>
      <c r="AD1495" s="175"/>
      <c r="AE1495" s="175"/>
      <c r="AF1495" s="175"/>
      <c r="AG1495" s="175"/>
      <c r="AH1495" s="175"/>
    </row>
    <row r="1496" spans="1:34">
      <c r="A1496" s="52" t="s">
        <v>220</v>
      </c>
      <c r="B1496" s="52" t="s">
        <v>221</v>
      </c>
      <c r="C1496" s="48">
        <v>46207</v>
      </c>
      <c r="D1496" s="42">
        <v>0.54166666666666663</v>
      </c>
      <c r="E1496" s="193"/>
      <c r="F1496" s="8" t="s">
        <v>1305</v>
      </c>
      <c r="G1496" s="2">
        <v>2</v>
      </c>
      <c r="H1496" s="2">
        <v>8</v>
      </c>
      <c r="I1496" s="126">
        <v>3000</v>
      </c>
      <c r="J1496" s="2" t="s">
        <v>766</v>
      </c>
      <c r="K1496" s="109" t="s">
        <v>767</v>
      </c>
      <c r="L1496" s="90">
        <v>40000</v>
      </c>
      <c r="M1496" s="64">
        <v>40</v>
      </c>
      <c r="N1496" s="39" t="s">
        <v>48</v>
      </c>
      <c r="O1496" s="39" t="s">
        <v>57</v>
      </c>
      <c r="P1496" s="197">
        <v>2000000</v>
      </c>
      <c r="Q1496" s="2">
        <v>280</v>
      </c>
      <c r="R1496" s="15">
        <f>Q1496/I1496</f>
        <v>9.3333333333333338E-2</v>
      </c>
      <c r="S1496" s="149" t="s">
        <v>110</v>
      </c>
      <c r="T1496" s="149"/>
      <c r="U1496" s="109" t="s">
        <v>219</v>
      </c>
      <c r="V1496" s="2" t="s">
        <v>738</v>
      </c>
      <c r="AE1496" s="2">
        <f>AC1496*AD1496</f>
        <v>0</v>
      </c>
      <c r="AF1496" s="2" t="e">
        <f>Z1496/Y1496</f>
        <v>#DIV/0!</v>
      </c>
      <c r="AG1496" s="2" t="e">
        <f>AA1496/Z1496</f>
        <v>#DIV/0!</v>
      </c>
      <c r="AH1496" s="2" t="e">
        <f>AB1496/AA1496</f>
        <v>#DIV/0!</v>
      </c>
    </row>
    <row r="1497" spans="1:34">
      <c r="A1497" s="52" t="s">
        <v>220</v>
      </c>
      <c r="B1497" s="52" t="s">
        <v>221</v>
      </c>
      <c r="C1497" s="48">
        <v>46207</v>
      </c>
      <c r="D1497" s="42">
        <v>0.54166666666666663</v>
      </c>
      <c r="E1497" s="193"/>
      <c r="F1497" s="8" t="s">
        <v>1061</v>
      </c>
      <c r="G1497" s="2">
        <v>1</v>
      </c>
      <c r="H1497" s="2">
        <v>8</v>
      </c>
      <c r="I1497" s="126">
        <v>1100</v>
      </c>
      <c r="J1497" s="2" t="s">
        <v>766</v>
      </c>
      <c r="K1497" s="88" t="s">
        <v>786</v>
      </c>
      <c r="L1497" s="90">
        <v>30000</v>
      </c>
      <c r="M1497" s="64">
        <v>30</v>
      </c>
      <c r="N1497" s="39" t="s">
        <v>48</v>
      </c>
      <c r="O1497" s="39" t="s">
        <v>223</v>
      </c>
      <c r="P1497" s="197">
        <v>100000</v>
      </c>
      <c r="Q1497" s="2">
        <v>125</v>
      </c>
      <c r="R1497" s="15">
        <f>Q1497/I1497</f>
        <v>0.11363636363636363</v>
      </c>
      <c r="S1497" s="149" t="s">
        <v>110</v>
      </c>
      <c r="T1497" s="149"/>
      <c r="U1497" s="109" t="s">
        <v>767</v>
      </c>
      <c r="V1497" s="2" t="s">
        <v>738</v>
      </c>
      <c r="AE1497" s="2">
        <f>AC1497*AD1497</f>
        <v>0</v>
      </c>
      <c r="AF1497" s="2" t="e">
        <f>Z1497/Y1497</f>
        <v>#DIV/0!</v>
      </c>
      <c r="AG1497" s="2" t="e">
        <f>AA1497/Z1497</f>
        <v>#DIV/0!</v>
      </c>
      <c r="AH1497" s="2" t="e">
        <f>AB1497/AA1497</f>
        <v>#DIV/0!</v>
      </c>
    </row>
    <row r="1498" spans="1:34">
      <c r="A1498" s="165" t="s">
        <v>1383</v>
      </c>
      <c r="B1498" s="39" t="s">
        <v>63</v>
      </c>
      <c r="C1498" s="192">
        <v>46207</v>
      </c>
      <c r="D1498" s="144">
        <v>0.58333333333333337</v>
      </c>
      <c r="E1498" s="193"/>
      <c r="F1498" s="8" t="s">
        <v>913</v>
      </c>
      <c r="G1498" s="2">
        <v>1</v>
      </c>
      <c r="H1498" s="2">
        <v>9</v>
      </c>
      <c r="I1498" s="45">
        <v>260</v>
      </c>
      <c r="J1498" s="2" t="s">
        <v>766</v>
      </c>
      <c r="K1498" s="88" t="s">
        <v>776</v>
      </c>
      <c r="L1498" s="89">
        <v>10000</v>
      </c>
      <c r="M1498" s="202">
        <v>10</v>
      </c>
      <c r="N1498" s="132" t="s">
        <v>821</v>
      </c>
      <c r="O1498" s="39" t="s">
        <v>49</v>
      </c>
      <c r="P1498" s="130"/>
      <c r="Q1498" s="19">
        <v>40</v>
      </c>
      <c r="R1498" s="15">
        <f>Q1498/I1498</f>
        <v>0.15384615384615385</v>
      </c>
      <c r="S1498" s="5">
        <f>($AC1498*$AD1498)/(($Z1498/$Y1498)+($AA1498/$Z1498)+($AB1498/$AA1498))</f>
        <v>9.9248120300751879</v>
      </c>
      <c r="U1498" s="137" t="s">
        <v>129</v>
      </c>
      <c r="V1498" s="83" t="s">
        <v>362</v>
      </c>
      <c r="W1498" s="8" t="s">
        <v>387</v>
      </c>
      <c r="Y1498" s="2">
        <v>2</v>
      </c>
      <c r="Z1498" s="2">
        <v>7.5</v>
      </c>
      <c r="AA1498" s="2">
        <v>25</v>
      </c>
      <c r="AB1498" s="2">
        <v>100</v>
      </c>
      <c r="AC1498" s="2">
        <v>11</v>
      </c>
      <c r="AD1498" s="2">
        <v>10</v>
      </c>
      <c r="AE1498" s="2">
        <f>AC1498*AD1498</f>
        <v>110</v>
      </c>
      <c r="AF1498" s="2">
        <f>Z1498/Y1498</f>
        <v>3.75</v>
      </c>
      <c r="AG1498" s="2">
        <f>AA1498/Z1498</f>
        <v>3.3333333333333335</v>
      </c>
      <c r="AH1498" s="2">
        <f>AB1498/AA1498</f>
        <v>4</v>
      </c>
    </row>
    <row r="1499" spans="1:34">
      <c r="A1499" s="96" t="s">
        <v>461</v>
      </c>
      <c r="B1499" s="96" t="s">
        <v>462</v>
      </c>
      <c r="C1499" s="192">
        <v>46207</v>
      </c>
      <c r="D1499" s="42">
        <v>0.59027777777777779</v>
      </c>
      <c r="E1499" s="193"/>
      <c r="F1499" s="8" t="s">
        <v>276</v>
      </c>
      <c r="G1499" s="2">
        <v>1</v>
      </c>
      <c r="I1499" s="126">
        <v>200</v>
      </c>
      <c r="J1499" s="2" t="s">
        <v>766</v>
      </c>
      <c r="K1499" s="109" t="s">
        <v>602</v>
      </c>
      <c r="L1499" s="8">
        <v>20000</v>
      </c>
      <c r="M1499" s="54">
        <v>20</v>
      </c>
      <c r="N1499" s="39" t="s">
        <v>48</v>
      </c>
      <c r="O1499" s="39" t="s">
        <v>451</v>
      </c>
      <c r="P1499" s="197">
        <v>15000</v>
      </c>
      <c r="Q1499" s="2">
        <v>40</v>
      </c>
      <c r="R1499" s="15">
        <f>Q1499/I1499</f>
        <v>0.2</v>
      </c>
      <c r="S1499" s="149" t="s">
        <v>110</v>
      </c>
      <c r="T1499" s="149"/>
      <c r="U1499" s="109" t="s">
        <v>767</v>
      </c>
      <c r="V1499" s="2" t="s">
        <v>735</v>
      </c>
      <c r="AE1499" s="2">
        <f>AC1499*AD1499</f>
        <v>0</v>
      </c>
      <c r="AF1499" s="2" t="e">
        <f>Z1499/Y1499</f>
        <v>#DIV/0!</v>
      </c>
      <c r="AG1499" s="2" t="e">
        <f>AA1499/Z1499</f>
        <v>#DIV/0!</v>
      </c>
      <c r="AH1499" s="2" t="e">
        <f>AB1499/AA1499</f>
        <v>#DIV/0!</v>
      </c>
    </row>
    <row r="1500" spans="1:34">
      <c r="A1500" s="165" t="s">
        <v>1383</v>
      </c>
      <c r="B1500" s="39" t="s">
        <v>63</v>
      </c>
      <c r="C1500" s="192">
        <v>46207</v>
      </c>
      <c r="D1500" s="144">
        <v>0.625</v>
      </c>
      <c r="F1500" s="8" t="s">
        <v>912</v>
      </c>
      <c r="G1500" s="2">
        <v>1</v>
      </c>
      <c r="H1500" s="2">
        <v>9</v>
      </c>
      <c r="I1500" s="37">
        <v>240</v>
      </c>
      <c r="J1500" s="2" t="s">
        <v>766</v>
      </c>
      <c r="K1500" s="88" t="s">
        <v>784</v>
      </c>
      <c r="L1500" s="89">
        <v>10000</v>
      </c>
      <c r="M1500" s="202">
        <v>20</v>
      </c>
      <c r="N1500" s="132" t="s">
        <v>821</v>
      </c>
      <c r="O1500" s="39" t="s">
        <v>49</v>
      </c>
      <c r="P1500" s="130"/>
      <c r="Q1500" s="19">
        <v>40</v>
      </c>
      <c r="R1500" s="15">
        <v>0.16666666666666666</v>
      </c>
      <c r="S1500" s="5">
        <v>29</v>
      </c>
      <c r="U1500" s="109" t="s">
        <v>767</v>
      </c>
      <c r="V1500" s="71" t="s">
        <v>362</v>
      </c>
      <c r="W1500" s="8" t="s">
        <v>367</v>
      </c>
      <c r="Y1500" s="175"/>
      <c r="Z1500" s="175"/>
      <c r="AA1500" s="175"/>
      <c r="AB1500" s="175"/>
      <c r="AC1500" s="175"/>
      <c r="AD1500" s="175"/>
      <c r="AE1500" s="175"/>
      <c r="AF1500" s="175"/>
      <c r="AG1500" s="175"/>
      <c r="AH1500" s="175"/>
    </row>
    <row r="1501" spans="1:34">
      <c r="A1501" s="186" t="s">
        <v>1397</v>
      </c>
      <c r="B1501" s="186" t="s">
        <v>1398</v>
      </c>
      <c r="C1501" s="192">
        <v>46207</v>
      </c>
      <c r="D1501" s="42">
        <v>0.625</v>
      </c>
      <c r="F1501" s="230" t="s">
        <v>1402</v>
      </c>
      <c r="G1501" s="2">
        <v>1</v>
      </c>
      <c r="H1501" s="2">
        <v>8</v>
      </c>
      <c r="I1501" s="45">
        <v>15000</v>
      </c>
      <c r="J1501" s="2" t="s">
        <v>766</v>
      </c>
      <c r="K1501" s="56">
        <v>0.8125</v>
      </c>
      <c r="L1501" s="89">
        <v>125000</v>
      </c>
      <c r="M1501" s="202">
        <v>30</v>
      </c>
      <c r="N1501" s="39" t="s">
        <v>48</v>
      </c>
      <c r="O1501" s="187" t="s">
        <v>49</v>
      </c>
      <c r="P1501" s="130"/>
      <c r="Q1501" s="19">
        <v>100</v>
      </c>
      <c r="R1501" s="15">
        <f>Q1501/I1501</f>
        <v>6.6666666666666671E-3</v>
      </c>
      <c r="S1501" s="5">
        <f>($AC1501*$AD1501)/(($Z1501/$Y1501)+($AA1501/$Z1501)+($AB1501/$AA1501))</f>
        <v>77.142857142857139</v>
      </c>
      <c r="V1501" s="205" t="s">
        <v>1409</v>
      </c>
      <c r="W1501" s="230" t="s">
        <v>1410</v>
      </c>
      <c r="Y1501" s="2">
        <v>10</v>
      </c>
      <c r="Z1501" s="2">
        <v>20</v>
      </c>
      <c r="AA1501" s="2">
        <v>50</v>
      </c>
      <c r="AB1501" s="2">
        <v>125</v>
      </c>
      <c r="AC1501" s="2">
        <v>18</v>
      </c>
      <c r="AD1501" s="2">
        <v>30</v>
      </c>
      <c r="AE1501" s="2">
        <f>AC1501*AD1501</f>
        <v>540</v>
      </c>
      <c r="AF1501" s="2">
        <f>Z1501/Y1501</f>
        <v>2</v>
      </c>
      <c r="AG1501" s="2">
        <f>AA1501/Z1501</f>
        <v>2.5</v>
      </c>
      <c r="AH1501" s="2">
        <f>AB1501/AA1501</f>
        <v>2.5</v>
      </c>
    </row>
    <row r="1502" spans="1:34">
      <c r="A1502" s="165" t="s">
        <v>1383</v>
      </c>
      <c r="B1502" s="39" t="s">
        <v>63</v>
      </c>
      <c r="C1502" s="192">
        <v>46207</v>
      </c>
      <c r="D1502" s="144">
        <v>0.66666666666666663</v>
      </c>
      <c r="E1502" s="8"/>
      <c r="F1502" s="8" t="s">
        <v>1024</v>
      </c>
      <c r="G1502" s="2">
        <v>1</v>
      </c>
      <c r="H1502" s="2">
        <v>9</v>
      </c>
      <c r="I1502" s="45">
        <v>400</v>
      </c>
      <c r="J1502" s="2" t="s">
        <v>766</v>
      </c>
      <c r="K1502" s="88" t="s">
        <v>794</v>
      </c>
      <c r="L1502" s="89">
        <v>30000</v>
      </c>
      <c r="M1502" s="205">
        <v>20</v>
      </c>
      <c r="N1502" s="39" t="s">
        <v>817</v>
      </c>
      <c r="O1502" s="39" t="s">
        <v>49</v>
      </c>
      <c r="Q1502" s="19">
        <v>70</v>
      </c>
      <c r="R1502" s="15">
        <f>Q1502/I1502</f>
        <v>0.17499999999999999</v>
      </c>
      <c r="S1502" s="5">
        <v>37</v>
      </c>
      <c r="U1502" s="109" t="s">
        <v>129</v>
      </c>
      <c r="V1502" s="71" t="s">
        <v>360</v>
      </c>
      <c r="Y1502" s="175"/>
      <c r="Z1502" s="175"/>
      <c r="AA1502" s="175"/>
      <c r="AB1502" s="175"/>
      <c r="AC1502" s="175"/>
      <c r="AD1502" s="175"/>
      <c r="AE1502" s="175"/>
      <c r="AF1502" s="175"/>
      <c r="AG1502" s="175"/>
      <c r="AH1502" s="175"/>
    </row>
    <row r="1503" spans="1:34">
      <c r="A1503" s="52" t="s">
        <v>229</v>
      </c>
      <c r="B1503" s="52" t="s">
        <v>230</v>
      </c>
      <c r="C1503" s="192">
        <v>46207</v>
      </c>
      <c r="D1503" s="42">
        <v>0.70833333333333337</v>
      </c>
      <c r="E1503" s="193"/>
      <c r="F1503" s="8" t="s">
        <v>238</v>
      </c>
      <c r="G1503" s="2">
        <v>2</v>
      </c>
      <c r="I1503" s="37">
        <v>600</v>
      </c>
      <c r="J1503" s="2" t="s">
        <v>766</v>
      </c>
      <c r="K1503" s="88" t="s">
        <v>812</v>
      </c>
      <c r="L1503" s="89">
        <v>40000</v>
      </c>
      <c r="M1503" s="204" t="s">
        <v>22</v>
      </c>
      <c r="N1503" s="39" t="s">
        <v>48</v>
      </c>
      <c r="O1503" s="39" t="s">
        <v>49</v>
      </c>
      <c r="P1503" s="211" t="s">
        <v>843</v>
      </c>
      <c r="Q1503" s="19">
        <v>80</v>
      </c>
      <c r="R1503" s="15">
        <f>IF(Q1503&gt;0,Q1503/I1503,"")</f>
        <v>0.13333333333333333</v>
      </c>
      <c r="S1503" s="5">
        <f>($AC1503*$AD1503)/(($Z1503/$Y1503)+($AA1503/$Z1503)+($AB1503/$AA1503))</f>
        <v>76.947040498442377</v>
      </c>
      <c r="U1503" s="109" t="s">
        <v>767</v>
      </c>
      <c r="V1503" s="205" t="s">
        <v>719</v>
      </c>
      <c r="W1503" s="205"/>
      <c r="Y1503" s="2">
        <v>2</v>
      </c>
      <c r="Z1503" s="2">
        <v>5</v>
      </c>
      <c r="AA1503" s="2">
        <v>13</v>
      </c>
      <c r="AB1503" s="2">
        <v>30</v>
      </c>
      <c r="AC1503" s="2">
        <v>30</v>
      </c>
      <c r="AD1503" s="2">
        <v>19</v>
      </c>
      <c r="AE1503" s="2">
        <f>AC1503*AD1503</f>
        <v>570</v>
      </c>
      <c r="AF1503" s="2">
        <f>Z1503/Y1503</f>
        <v>2.5</v>
      </c>
      <c r="AG1503" s="2">
        <f>AA1503/Z1503</f>
        <v>2.6</v>
      </c>
      <c r="AH1503" s="2">
        <f>AB1503/AA1503</f>
        <v>2.3076923076923075</v>
      </c>
    </row>
    <row r="1504" spans="1:34">
      <c r="A1504" s="102" t="s">
        <v>475</v>
      </c>
      <c r="B1504" s="102" t="s">
        <v>476</v>
      </c>
      <c r="C1504" s="40">
        <v>46207</v>
      </c>
      <c r="D1504" s="42">
        <v>0.75</v>
      </c>
      <c r="E1504" s="8">
        <v>45</v>
      </c>
      <c r="F1504" s="8" t="s">
        <v>522</v>
      </c>
      <c r="G1504" s="2">
        <v>1</v>
      </c>
      <c r="H1504" s="2">
        <v>9</v>
      </c>
      <c r="I1504" s="126">
        <v>250</v>
      </c>
      <c r="J1504" s="2" t="s">
        <v>766</v>
      </c>
      <c r="K1504" s="109" t="s">
        <v>602</v>
      </c>
      <c r="L1504" s="105">
        <v>25000</v>
      </c>
      <c r="M1504" s="64">
        <v>30</v>
      </c>
      <c r="N1504" s="39" t="s">
        <v>48</v>
      </c>
      <c r="O1504" s="39" t="s">
        <v>49</v>
      </c>
      <c r="P1504" s="140" t="s">
        <v>831</v>
      </c>
      <c r="Q1504" s="19">
        <v>50</v>
      </c>
      <c r="R1504" s="15">
        <f>Q1504/I1504</f>
        <v>0.2</v>
      </c>
      <c r="S1504" s="5">
        <f>($AC1504*$AD1504)/(($Z1504/$Y1504)+($AA1504/$Z1504)+($AB1504/$AA1504))</f>
        <v>55.03292568203198</v>
      </c>
      <c r="U1504" s="109" t="s">
        <v>219</v>
      </c>
      <c r="V1504" s="205" t="s">
        <v>613</v>
      </c>
      <c r="W1504" s="102" t="s">
        <v>538</v>
      </c>
      <c r="Y1504" s="2">
        <v>2.5</v>
      </c>
      <c r="Z1504" s="2">
        <v>6.5</v>
      </c>
      <c r="AA1504" s="2">
        <v>20</v>
      </c>
      <c r="AB1504" s="2">
        <v>50</v>
      </c>
      <c r="AC1504" s="2">
        <v>30</v>
      </c>
      <c r="AD1504" s="2">
        <v>15</v>
      </c>
      <c r="AE1504" s="2">
        <f>AC1504*AD1504</f>
        <v>450</v>
      </c>
      <c r="AF1504" s="2">
        <f>Z1504/Y1504</f>
        <v>2.6</v>
      </c>
      <c r="AG1504" s="2">
        <f>AA1504/Z1504</f>
        <v>3.0769230769230771</v>
      </c>
      <c r="AH1504" s="2">
        <f>AB1504/AA1504</f>
        <v>2.5</v>
      </c>
    </row>
    <row r="1505" spans="1:34">
      <c r="A1505" s="52" t="s">
        <v>220</v>
      </c>
      <c r="B1505" s="52" t="s">
        <v>221</v>
      </c>
      <c r="C1505" s="48">
        <v>46207</v>
      </c>
      <c r="D1505" s="42">
        <v>0.75</v>
      </c>
      <c r="E1505" s="193"/>
      <c r="F1505" s="8" t="s">
        <v>1073</v>
      </c>
      <c r="G1505" s="2">
        <v>1</v>
      </c>
      <c r="H1505" s="2">
        <v>9</v>
      </c>
      <c r="I1505" s="126">
        <v>1100</v>
      </c>
      <c r="J1505" s="2" t="s">
        <v>766</v>
      </c>
      <c r="K1505" s="88" t="s">
        <v>799</v>
      </c>
      <c r="L1505" s="91">
        <v>30000</v>
      </c>
      <c r="M1505" s="64">
        <v>20</v>
      </c>
      <c r="N1505" s="39" t="s">
        <v>48</v>
      </c>
      <c r="O1505" s="39" t="s">
        <v>49</v>
      </c>
      <c r="P1505" s="140" t="s">
        <v>838</v>
      </c>
      <c r="Q1505" s="19">
        <v>125</v>
      </c>
      <c r="R1505" s="15">
        <f>Q1505/I1505</f>
        <v>0.11363636363636363</v>
      </c>
      <c r="S1505" s="5">
        <f>($AC1505*$AD1505)/(($Z1505/$Y1505)+($AA1505/$Z1505)+($AB1505/$AA1505))</f>
        <v>41.632653061224495</v>
      </c>
      <c r="U1505" s="109" t="s">
        <v>129</v>
      </c>
      <c r="V1505" s="205" t="s">
        <v>738</v>
      </c>
      <c r="W1505" s="205"/>
      <c r="Y1505" s="2">
        <v>2</v>
      </c>
      <c r="Z1505" s="2">
        <v>5</v>
      </c>
      <c r="AA1505" s="2">
        <v>15</v>
      </c>
      <c r="AB1505" s="2">
        <v>40</v>
      </c>
      <c r="AC1505" s="2">
        <v>17</v>
      </c>
      <c r="AD1505" s="115">
        <v>20</v>
      </c>
      <c r="AE1505" s="2">
        <f>AC1505*AD1505</f>
        <v>340</v>
      </c>
      <c r="AF1505" s="2">
        <f>Z1505/Y1505</f>
        <v>2.5</v>
      </c>
      <c r="AG1505" s="2">
        <f>AA1505/Z1505</f>
        <v>3</v>
      </c>
      <c r="AH1505" s="2">
        <f>AB1505/AA1505</f>
        <v>2.6666666666666665</v>
      </c>
    </row>
    <row r="1506" spans="1:34">
      <c r="A1506" s="96" t="s">
        <v>461</v>
      </c>
      <c r="B1506" s="96" t="s">
        <v>462</v>
      </c>
      <c r="C1506" s="192">
        <v>46207</v>
      </c>
      <c r="D1506" s="42">
        <v>0.75694444444444442</v>
      </c>
      <c r="F1506" s="8" t="s">
        <v>460</v>
      </c>
      <c r="G1506" s="2">
        <v>1</v>
      </c>
      <c r="I1506" s="126">
        <v>200</v>
      </c>
      <c r="J1506" s="2" t="s">
        <v>766</v>
      </c>
      <c r="K1506" s="109" t="s">
        <v>602</v>
      </c>
      <c r="L1506" s="8">
        <v>30000</v>
      </c>
      <c r="M1506" s="202">
        <v>20</v>
      </c>
      <c r="N1506" s="39" t="s">
        <v>48</v>
      </c>
      <c r="O1506" s="39" t="s">
        <v>49</v>
      </c>
      <c r="P1506" s="140" t="s">
        <v>833</v>
      </c>
      <c r="Q1506" s="19">
        <v>40</v>
      </c>
      <c r="R1506" s="15">
        <f>Q1506/I1506</f>
        <v>0.2</v>
      </c>
      <c r="S1506" s="5">
        <f>($AC1506*$AD1506)/(($Z1506/$Y1506)+($AA1506/$Z1506)+($AB1506/$AA1506))</f>
        <v>41.632653061224495</v>
      </c>
      <c r="U1506" s="109" t="s">
        <v>219</v>
      </c>
      <c r="V1506" s="205" t="s">
        <v>735</v>
      </c>
      <c r="W1506" s="251" t="s">
        <v>466</v>
      </c>
      <c r="Y1506" s="2">
        <v>2</v>
      </c>
      <c r="Z1506" s="2">
        <v>5</v>
      </c>
      <c r="AA1506" s="2">
        <v>15</v>
      </c>
      <c r="AB1506" s="2">
        <v>40</v>
      </c>
      <c r="AC1506" s="2">
        <v>17</v>
      </c>
      <c r="AD1506" s="2">
        <v>20</v>
      </c>
      <c r="AE1506" s="2">
        <f>AC1506*AD1506</f>
        <v>340</v>
      </c>
      <c r="AF1506" s="2">
        <f>Z1506/Y1506</f>
        <v>2.5</v>
      </c>
      <c r="AG1506" s="2">
        <f>AA1506/Z1506</f>
        <v>3</v>
      </c>
      <c r="AH1506" s="2">
        <f>AB1506/AA1506</f>
        <v>2.6666666666666665</v>
      </c>
    </row>
    <row r="1507" spans="1:34">
      <c r="A1507" s="95" t="s">
        <v>447</v>
      </c>
      <c r="B1507" s="95" t="s">
        <v>448</v>
      </c>
      <c r="C1507" s="40">
        <v>46207</v>
      </c>
      <c r="D1507" s="42">
        <v>0.79166666666666663</v>
      </c>
      <c r="E1507" s="193"/>
      <c r="F1507" s="8" t="s">
        <v>432</v>
      </c>
      <c r="G1507" s="2">
        <v>1</v>
      </c>
      <c r="H1507" s="2">
        <v>8</v>
      </c>
      <c r="I1507" s="126">
        <v>300</v>
      </c>
      <c r="J1507" s="2" t="s">
        <v>766</v>
      </c>
      <c r="K1507" s="109" t="s">
        <v>602</v>
      </c>
      <c r="L1507" s="8">
        <v>20000</v>
      </c>
      <c r="M1507" s="8">
        <v>20</v>
      </c>
      <c r="N1507" s="39" t="s">
        <v>61</v>
      </c>
      <c r="O1507" s="39" t="s">
        <v>57</v>
      </c>
      <c r="P1507" s="8" t="s">
        <v>417</v>
      </c>
      <c r="Q1507" s="2">
        <v>40</v>
      </c>
      <c r="R1507" s="15">
        <f>Q1507/I1507</f>
        <v>0.13333333333333333</v>
      </c>
      <c r="S1507" s="249" t="s">
        <v>110</v>
      </c>
      <c r="T1507" s="176"/>
      <c r="U1507" s="109" t="s">
        <v>767</v>
      </c>
      <c r="V1507" s="205" t="s">
        <v>741</v>
      </c>
      <c r="W1507" s="250" t="s">
        <v>746</v>
      </c>
      <c r="AE1507" s="2">
        <f>AC1507*AD1507</f>
        <v>0</v>
      </c>
      <c r="AF1507" s="2" t="e">
        <f>Z1507/Y1507</f>
        <v>#DIV/0!</v>
      </c>
      <c r="AG1507" s="2" t="e">
        <f>AA1507/Z1507</f>
        <v>#DIV/0!</v>
      </c>
      <c r="AH1507" s="2" t="e">
        <f>AB1507/AA1507</f>
        <v>#DIV/0!</v>
      </c>
    </row>
    <row r="1508" spans="1:34">
      <c r="A1508" s="165" t="s">
        <v>1383</v>
      </c>
      <c r="B1508" s="39" t="s">
        <v>63</v>
      </c>
      <c r="C1508" s="192">
        <v>46207</v>
      </c>
      <c r="D1508" s="144">
        <v>0.79166666666666663</v>
      </c>
      <c r="F1508" s="8" t="s">
        <v>911</v>
      </c>
      <c r="G1508" s="2">
        <v>1</v>
      </c>
      <c r="H1508" s="2">
        <v>9</v>
      </c>
      <c r="I1508" s="81">
        <v>2200</v>
      </c>
      <c r="J1508" s="2" t="s">
        <v>766</v>
      </c>
      <c r="K1508" s="88" t="s">
        <v>800</v>
      </c>
      <c r="L1508" s="89">
        <v>20000</v>
      </c>
      <c r="M1508" s="209" t="s">
        <v>128</v>
      </c>
      <c r="N1508" s="132" t="s">
        <v>821</v>
      </c>
      <c r="O1508" s="39" t="s">
        <v>49</v>
      </c>
      <c r="P1508" s="130"/>
      <c r="Q1508" s="19">
        <v>200</v>
      </c>
      <c r="R1508" s="59">
        <f>Q1508/I1508</f>
        <v>9.0909090909090912E-2</v>
      </c>
      <c r="S1508" s="5">
        <v>32</v>
      </c>
      <c r="U1508" s="109" t="s">
        <v>767</v>
      </c>
      <c r="V1508" s="83" t="s">
        <v>362</v>
      </c>
      <c r="W1508" s="8" t="s">
        <v>388</v>
      </c>
      <c r="Y1508" s="175"/>
      <c r="Z1508" s="175"/>
      <c r="AA1508" s="175"/>
      <c r="AB1508" s="175"/>
      <c r="AC1508" s="175"/>
      <c r="AD1508" s="175"/>
      <c r="AE1508" s="175"/>
      <c r="AF1508" s="175"/>
      <c r="AG1508" s="175"/>
      <c r="AH1508" s="175"/>
    </row>
    <row r="1509" spans="1:34">
      <c r="A1509" s="165" t="s">
        <v>1383</v>
      </c>
      <c r="B1509" s="39" t="s">
        <v>63</v>
      </c>
      <c r="C1509" s="192">
        <v>46207</v>
      </c>
      <c r="D1509" s="144">
        <v>0.79166666666666663</v>
      </c>
      <c r="F1509" s="8" t="s">
        <v>917</v>
      </c>
      <c r="G1509" s="2">
        <v>1</v>
      </c>
      <c r="H1509" s="2">
        <v>9</v>
      </c>
      <c r="I1509" s="81">
        <v>585</v>
      </c>
      <c r="J1509" s="2" t="s">
        <v>766</v>
      </c>
      <c r="K1509" s="88" t="s">
        <v>800</v>
      </c>
      <c r="L1509" s="89">
        <v>10000</v>
      </c>
      <c r="M1509" s="202">
        <v>20</v>
      </c>
      <c r="N1509" s="132" t="s">
        <v>821</v>
      </c>
      <c r="O1509" s="39" t="s">
        <v>49</v>
      </c>
      <c r="P1509" s="210"/>
      <c r="Q1509" s="19">
        <v>89</v>
      </c>
      <c r="R1509" s="59">
        <f>Q1509/I1509</f>
        <v>0.15213675213675212</v>
      </c>
      <c r="S1509" s="5">
        <v>29</v>
      </c>
      <c r="U1509" s="109" t="s">
        <v>767</v>
      </c>
      <c r="V1509" s="83" t="s">
        <v>362</v>
      </c>
      <c r="W1509" s="8" t="s">
        <v>368</v>
      </c>
      <c r="Y1509" s="175"/>
      <c r="Z1509" s="175"/>
      <c r="AA1509" s="175"/>
      <c r="AB1509" s="175"/>
      <c r="AC1509" s="175"/>
      <c r="AD1509" s="175"/>
      <c r="AE1509" s="175"/>
      <c r="AF1509" s="175"/>
      <c r="AG1509" s="175"/>
      <c r="AH1509" s="175"/>
    </row>
    <row r="1510" spans="1:34">
      <c r="A1510" s="165" t="s">
        <v>1383</v>
      </c>
      <c r="B1510" s="39" t="s">
        <v>63</v>
      </c>
      <c r="C1510" s="192">
        <v>46207</v>
      </c>
      <c r="D1510" s="144">
        <v>0.83333333333333337</v>
      </c>
      <c r="E1510" s="8"/>
      <c r="F1510" s="8" t="s">
        <v>1023</v>
      </c>
      <c r="G1510" s="2">
        <v>1</v>
      </c>
      <c r="H1510" s="2">
        <v>9</v>
      </c>
      <c r="I1510" s="45">
        <v>200</v>
      </c>
      <c r="J1510" s="2" t="s">
        <v>766</v>
      </c>
      <c r="K1510" s="88" t="s">
        <v>806</v>
      </c>
      <c r="L1510" s="89">
        <v>20000</v>
      </c>
      <c r="M1510" s="205">
        <v>20</v>
      </c>
      <c r="N1510" s="39" t="s">
        <v>817</v>
      </c>
      <c r="O1510" s="39" t="s">
        <v>49</v>
      </c>
      <c r="P1510" s="130"/>
      <c r="Q1510" s="19">
        <v>45</v>
      </c>
      <c r="R1510" s="15">
        <f>Q1510/I1510</f>
        <v>0.22500000000000001</v>
      </c>
      <c r="S1510" s="5">
        <v>23</v>
      </c>
      <c r="U1510" s="109" t="s">
        <v>129</v>
      </c>
      <c r="V1510" s="71" t="s">
        <v>360</v>
      </c>
      <c r="Y1510" s="175"/>
      <c r="Z1510" s="175"/>
      <c r="AA1510" s="175"/>
      <c r="AB1510" s="175"/>
      <c r="AC1510" s="175"/>
      <c r="AD1510" s="175"/>
      <c r="AE1510" s="175"/>
      <c r="AF1510" s="175"/>
      <c r="AG1510" s="175"/>
      <c r="AH1510" s="175"/>
    </row>
    <row r="1511" spans="1:34">
      <c r="A1511" s="165" t="s">
        <v>1383</v>
      </c>
      <c r="B1511" s="39" t="s">
        <v>63</v>
      </c>
      <c r="C1511" s="192">
        <v>46207</v>
      </c>
      <c r="D1511" s="144">
        <v>0.91666666666666663</v>
      </c>
      <c r="F1511" s="8" t="s">
        <v>909</v>
      </c>
      <c r="G1511" s="2">
        <v>1</v>
      </c>
      <c r="H1511" s="2">
        <v>9</v>
      </c>
      <c r="I1511" s="45">
        <v>135</v>
      </c>
      <c r="J1511" s="2" t="s">
        <v>766</v>
      </c>
      <c r="K1511" s="88" t="s">
        <v>813</v>
      </c>
      <c r="L1511" s="89">
        <v>10000</v>
      </c>
      <c r="M1511" s="54">
        <v>15</v>
      </c>
      <c r="N1511" s="132" t="s">
        <v>821</v>
      </c>
      <c r="O1511" s="39" t="s">
        <v>49</v>
      </c>
      <c r="Q1511" s="19">
        <v>35</v>
      </c>
      <c r="R1511" s="15">
        <f>Q1511/I1511</f>
        <v>0.25925925925925924</v>
      </c>
      <c r="S1511" s="5">
        <v>22</v>
      </c>
      <c r="U1511" s="109" t="s">
        <v>767</v>
      </c>
      <c r="V1511" s="71" t="s">
        <v>362</v>
      </c>
      <c r="W1511" s="8" t="s">
        <v>369</v>
      </c>
      <c r="Y1511" s="175"/>
      <c r="Z1511" s="175"/>
      <c r="AA1511" s="175"/>
      <c r="AB1511" s="175"/>
      <c r="AC1511" s="175"/>
      <c r="AD1511" s="175"/>
      <c r="AE1511" s="175"/>
      <c r="AF1511" s="175"/>
      <c r="AG1511" s="175"/>
      <c r="AH1511" s="175"/>
    </row>
    <row r="1512" spans="1:34">
      <c r="A1512" s="96" t="s">
        <v>461</v>
      </c>
      <c r="B1512" s="96" t="s">
        <v>462</v>
      </c>
      <c r="C1512" s="192">
        <v>46207</v>
      </c>
      <c r="D1512" s="42">
        <v>0.92361111111111116</v>
      </c>
      <c r="E1512" s="193"/>
      <c r="F1512" s="8" t="s">
        <v>459</v>
      </c>
      <c r="G1512" s="2">
        <v>1</v>
      </c>
      <c r="I1512" s="126">
        <v>120</v>
      </c>
      <c r="J1512" s="2" t="s">
        <v>766</v>
      </c>
      <c r="K1512" s="109" t="s">
        <v>602</v>
      </c>
      <c r="L1512" s="8">
        <v>20000</v>
      </c>
      <c r="M1512" s="202">
        <v>20</v>
      </c>
      <c r="N1512" s="39" t="s">
        <v>48</v>
      </c>
      <c r="O1512" s="39" t="s">
        <v>465</v>
      </c>
      <c r="P1512" s="197">
        <v>4000</v>
      </c>
      <c r="Q1512" s="2">
        <v>24</v>
      </c>
      <c r="R1512" s="15">
        <f>Q1512/I1512</f>
        <v>0.2</v>
      </c>
      <c r="S1512" s="149" t="s">
        <v>110</v>
      </c>
      <c r="T1512" s="149"/>
      <c r="U1512" s="109" t="s">
        <v>767</v>
      </c>
      <c r="V1512" s="2" t="s">
        <v>735</v>
      </c>
      <c r="AE1512" s="2">
        <f>AC1512*AD1512</f>
        <v>0</v>
      </c>
      <c r="AF1512" s="2" t="e">
        <f>Z1512/Y1512</f>
        <v>#DIV/0!</v>
      </c>
      <c r="AG1512" s="2" t="e">
        <f>AA1512/Z1512</f>
        <v>#DIV/0!</v>
      </c>
      <c r="AH1512" s="2" t="e">
        <f>AB1512/AA1512</f>
        <v>#DIV/0!</v>
      </c>
    </row>
    <row r="1513" spans="1:34">
      <c r="A1513" s="165" t="s">
        <v>1383</v>
      </c>
      <c r="B1513" s="36" t="s">
        <v>63</v>
      </c>
      <c r="C1513" s="192">
        <v>46207</v>
      </c>
      <c r="D1513" s="144" t="s">
        <v>117</v>
      </c>
      <c r="E1513" s="8">
        <v>85</v>
      </c>
      <c r="F1513" s="8" t="s">
        <v>1002</v>
      </c>
      <c r="G1513" s="2">
        <v>2</v>
      </c>
      <c r="H1513" s="2">
        <v>9</v>
      </c>
      <c r="I1513" s="45">
        <v>1000</v>
      </c>
      <c r="J1513" s="2" t="s">
        <v>760</v>
      </c>
      <c r="K1513" s="109" t="s">
        <v>815</v>
      </c>
      <c r="L1513" s="89">
        <v>20000</v>
      </c>
      <c r="M1513" s="202">
        <v>30</v>
      </c>
      <c r="N1513" s="39" t="s">
        <v>48</v>
      </c>
      <c r="O1513" s="39" t="s">
        <v>49</v>
      </c>
      <c r="P1513" s="210"/>
      <c r="Q1513" s="19">
        <f>R1513*I1513</f>
        <v>120</v>
      </c>
      <c r="R1513" s="15">
        <v>0.12</v>
      </c>
      <c r="S1513" s="5">
        <f>($AC1513*$AD1513)/(($Z1513/$Y1513)+($AA1513/$Z1513)+($AB1513/$AA1513))</f>
        <v>66.521739130434781</v>
      </c>
      <c r="U1513" s="109" t="s">
        <v>767</v>
      </c>
      <c r="V1513" s="2" t="s">
        <v>121</v>
      </c>
      <c r="W1513" s="205"/>
      <c r="Y1513" s="2">
        <v>1.5</v>
      </c>
      <c r="Z1513" s="2">
        <v>4</v>
      </c>
      <c r="AA1513" s="2">
        <v>10</v>
      </c>
      <c r="AB1513" s="2">
        <v>25</v>
      </c>
      <c r="AC1513" s="2">
        <v>30</v>
      </c>
      <c r="AD1513" s="2">
        <v>17</v>
      </c>
      <c r="AE1513" s="2">
        <f>AC1513*AD1513</f>
        <v>510</v>
      </c>
      <c r="AF1513" s="2">
        <f>Z1513/Y1513</f>
        <v>2.6666666666666665</v>
      </c>
      <c r="AG1513" s="2">
        <f>AA1513/Z1513</f>
        <v>2.5</v>
      </c>
      <c r="AH1513" s="2">
        <f>AB1513/AA1513</f>
        <v>2.5</v>
      </c>
    </row>
    <row r="1514" spans="1:34">
      <c r="A1514" s="165" t="s">
        <v>1383</v>
      </c>
      <c r="B1514" s="36" t="s">
        <v>63</v>
      </c>
      <c r="C1514" s="192">
        <v>46207</v>
      </c>
      <c r="D1514" s="144" t="s">
        <v>120</v>
      </c>
      <c r="E1514" s="14">
        <v>82</v>
      </c>
      <c r="F1514" s="8" t="s">
        <v>1034</v>
      </c>
      <c r="G1514" s="2">
        <v>8</v>
      </c>
      <c r="H1514" s="2">
        <v>9</v>
      </c>
      <c r="I1514" s="45">
        <v>10000</v>
      </c>
      <c r="J1514" s="2" t="s">
        <v>110</v>
      </c>
      <c r="K1514" s="109" t="s">
        <v>737</v>
      </c>
      <c r="L1514" s="89">
        <v>60000</v>
      </c>
      <c r="M1514" s="202">
        <v>120</v>
      </c>
      <c r="N1514" s="39" t="s">
        <v>48</v>
      </c>
      <c r="O1514" s="39" t="s">
        <v>49</v>
      </c>
      <c r="P1514" s="210"/>
      <c r="Q1514" s="19">
        <f>R1514*I1514</f>
        <v>700.00000000000011</v>
      </c>
      <c r="R1514" s="15">
        <v>7.0000000000000007E-2</v>
      </c>
      <c r="S1514" s="5">
        <f>($AC1514*$AD1514)/(($Z1514/$Y1514)+($AA1514/$Z1514)+($AB1514/$AA1514))</f>
        <v>340.18691588785049</v>
      </c>
      <c r="U1514" s="109" t="s">
        <v>853</v>
      </c>
      <c r="V1514" s="2" t="s">
        <v>121</v>
      </c>
      <c r="W1514" s="205"/>
      <c r="Y1514" s="2">
        <v>2</v>
      </c>
      <c r="Z1514" s="2">
        <v>5</v>
      </c>
      <c r="AA1514" s="2">
        <v>13</v>
      </c>
      <c r="AB1514" s="2">
        <v>30</v>
      </c>
      <c r="AC1514" s="2">
        <v>120</v>
      </c>
      <c r="AD1514" s="2">
        <v>21</v>
      </c>
      <c r="AE1514" s="2">
        <f>AC1514*AD1514</f>
        <v>2520</v>
      </c>
      <c r="AF1514" s="2">
        <f>Z1514/Y1514</f>
        <v>2.5</v>
      </c>
      <c r="AG1514" s="2">
        <f>AA1514/Z1514</f>
        <v>2.6</v>
      </c>
      <c r="AH1514" s="2">
        <f>AB1514/AA1514</f>
        <v>2.3076923076923075</v>
      </c>
    </row>
    <row r="1515" spans="1:34">
      <c r="A1515" s="165" t="s">
        <v>1383</v>
      </c>
      <c r="B1515" s="36" t="s">
        <v>63</v>
      </c>
      <c r="C1515" s="192">
        <v>46207</v>
      </c>
      <c r="D1515" s="144" t="s">
        <v>876</v>
      </c>
      <c r="E1515" s="8">
        <v>78</v>
      </c>
      <c r="F1515" s="8" t="s">
        <v>1201</v>
      </c>
      <c r="G1515" s="2">
        <v>4</v>
      </c>
      <c r="H1515" s="2">
        <v>9</v>
      </c>
      <c r="I1515" s="45">
        <v>600</v>
      </c>
      <c r="J1515" s="2" t="s">
        <v>760</v>
      </c>
      <c r="K1515" s="109" t="s">
        <v>598</v>
      </c>
      <c r="L1515" s="89">
        <v>30000</v>
      </c>
      <c r="M1515" s="54" t="s">
        <v>97</v>
      </c>
      <c r="N1515" s="39" t="s">
        <v>48</v>
      </c>
      <c r="O1515" s="39" t="s">
        <v>49</v>
      </c>
      <c r="P1515" s="130"/>
      <c r="Q1515" s="19">
        <f>R1515*I1515</f>
        <v>96</v>
      </c>
      <c r="R1515" s="15">
        <v>0.16</v>
      </c>
      <c r="S1515" s="5">
        <f>($AC1515*$AD1515)/(($Z1515/$Y1515)+($AA1515/$Z1515)+($AB1515/$AA1515))</f>
        <v>99.130434782608702</v>
      </c>
      <c r="U1515" s="109" t="s">
        <v>767</v>
      </c>
      <c r="V1515" s="2" t="s">
        <v>121</v>
      </c>
      <c r="Y1515" s="2">
        <v>1.5</v>
      </c>
      <c r="Z1515" s="2">
        <v>4</v>
      </c>
      <c r="AA1515" s="2">
        <v>10</v>
      </c>
      <c r="AB1515" s="2">
        <v>25</v>
      </c>
      <c r="AC1515" s="2">
        <v>40</v>
      </c>
      <c r="AD1515" s="2">
        <v>19</v>
      </c>
      <c r="AE1515" s="2">
        <f>AC1515*AD1515</f>
        <v>760</v>
      </c>
      <c r="AF1515" s="2">
        <f>Z1515/Y1515</f>
        <v>2.6666666666666665</v>
      </c>
      <c r="AG1515" s="2">
        <f>AA1515/Z1515</f>
        <v>2.5</v>
      </c>
      <c r="AH1515" s="2">
        <f>AB1515/AA1515</f>
        <v>2.5</v>
      </c>
    </row>
    <row r="1516" spans="1:34">
      <c r="A1516" s="165" t="s">
        <v>1383</v>
      </c>
      <c r="B1516" s="36" t="s">
        <v>63</v>
      </c>
      <c r="C1516" s="192">
        <v>46207</v>
      </c>
      <c r="D1516" s="144" t="s">
        <v>876</v>
      </c>
      <c r="E1516" s="8">
        <v>83</v>
      </c>
      <c r="F1516" s="8" t="s">
        <v>1232</v>
      </c>
      <c r="G1516" s="2">
        <v>3</v>
      </c>
      <c r="H1516" s="2">
        <v>8</v>
      </c>
      <c r="I1516" s="45">
        <v>1500</v>
      </c>
      <c r="J1516" s="2" t="s">
        <v>762</v>
      </c>
      <c r="K1516" s="109" t="s">
        <v>598</v>
      </c>
      <c r="L1516" s="92">
        <v>25000</v>
      </c>
      <c r="M1516" s="202" t="s">
        <v>97</v>
      </c>
      <c r="N1516" s="39" t="s">
        <v>48</v>
      </c>
      <c r="O1516" s="39" t="s">
        <v>57</v>
      </c>
      <c r="P1516" s="66"/>
      <c r="Q1516" s="38">
        <f>R1516*I1516</f>
        <v>172.5</v>
      </c>
      <c r="R1516" s="15">
        <v>0.115</v>
      </c>
      <c r="S1516" s="149" t="s">
        <v>110</v>
      </c>
      <c r="T1516" s="149"/>
      <c r="U1516" s="109" t="s">
        <v>852</v>
      </c>
      <c r="V1516" s="2" t="s">
        <v>121</v>
      </c>
      <c r="W1516" s="205"/>
      <c r="AE1516" s="2">
        <f>AC1516*AD1516</f>
        <v>0</v>
      </c>
      <c r="AF1516" s="2" t="e">
        <f>Z1516/Y1516</f>
        <v>#DIV/0!</v>
      </c>
      <c r="AG1516" s="2" t="e">
        <f>AA1516/Z1516</f>
        <v>#DIV/0!</v>
      </c>
      <c r="AH1516" s="2" t="e">
        <f>AB1516/AA1516</f>
        <v>#DIV/0!</v>
      </c>
    </row>
    <row r="1517" spans="1:34">
      <c r="A1517" s="165" t="s">
        <v>1383</v>
      </c>
      <c r="B1517" s="39" t="s">
        <v>63</v>
      </c>
      <c r="C1517" s="223">
        <v>46208</v>
      </c>
      <c r="D1517" s="144">
        <v>0.33333333333333331</v>
      </c>
      <c r="E1517" s="8"/>
      <c r="F1517" s="8" t="s">
        <v>910</v>
      </c>
      <c r="G1517" s="2">
        <v>1</v>
      </c>
      <c r="H1517" s="2">
        <v>9</v>
      </c>
      <c r="I1517" s="45">
        <v>150</v>
      </c>
      <c r="J1517" s="2" t="s">
        <v>766</v>
      </c>
      <c r="K1517" s="88" t="s">
        <v>768</v>
      </c>
      <c r="L1517" s="89">
        <v>10000</v>
      </c>
      <c r="M1517" s="2">
        <v>10</v>
      </c>
      <c r="N1517" s="132" t="s">
        <v>821</v>
      </c>
      <c r="O1517" s="39" t="s">
        <v>49</v>
      </c>
      <c r="P1517" s="130"/>
      <c r="Q1517" s="19">
        <v>35</v>
      </c>
      <c r="R1517" s="15">
        <f>Q1517/I1517</f>
        <v>0.23333333333333334</v>
      </c>
      <c r="S1517" s="5">
        <f>($AC1517*$AD1517)/(($Z1517/$Y1517)+($AA1517/$Z1517)+($AB1517/$AA1517))</f>
        <v>9.9248120300751879</v>
      </c>
      <c r="U1517" s="109" t="s">
        <v>129</v>
      </c>
      <c r="V1517" s="83" t="s">
        <v>361</v>
      </c>
      <c r="W1517" s="153" t="s">
        <v>385</v>
      </c>
      <c r="Y1517" s="2">
        <v>2</v>
      </c>
      <c r="Z1517" s="2">
        <v>7.5</v>
      </c>
      <c r="AA1517" s="2">
        <v>25</v>
      </c>
      <c r="AB1517" s="2">
        <v>100</v>
      </c>
      <c r="AC1517" s="2">
        <v>11</v>
      </c>
      <c r="AD1517" s="2">
        <v>10</v>
      </c>
      <c r="AE1517" s="2">
        <f>AC1517*AD1517</f>
        <v>110</v>
      </c>
      <c r="AF1517" s="2">
        <f>Z1517/Y1517</f>
        <v>3.75</v>
      </c>
      <c r="AG1517" s="2">
        <f>AA1517/Z1517</f>
        <v>3.3333333333333335</v>
      </c>
      <c r="AH1517" s="2">
        <f>AB1517/AA1517</f>
        <v>4</v>
      </c>
    </row>
    <row r="1518" spans="1:34">
      <c r="A1518" s="165" t="s">
        <v>1383</v>
      </c>
      <c r="B1518" s="39" t="s">
        <v>63</v>
      </c>
      <c r="C1518" s="192">
        <v>46208</v>
      </c>
      <c r="D1518" s="144">
        <v>0.33333333333333331</v>
      </c>
      <c r="E1518" s="193"/>
      <c r="F1518" s="8" t="s">
        <v>907</v>
      </c>
      <c r="G1518" s="2">
        <v>1</v>
      </c>
      <c r="H1518" s="2">
        <v>9</v>
      </c>
      <c r="I1518" s="45">
        <v>1100</v>
      </c>
      <c r="J1518" s="2" t="s">
        <v>766</v>
      </c>
      <c r="K1518" s="88" t="s">
        <v>768</v>
      </c>
      <c r="L1518" s="89">
        <v>15000</v>
      </c>
      <c r="M1518" s="209">
        <v>10</v>
      </c>
      <c r="N1518" s="132" t="s">
        <v>821</v>
      </c>
      <c r="O1518" s="39" t="s">
        <v>49</v>
      </c>
      <c r="P1518" s="130"/>
      <c r="Q1518" s="19">
        <f>88+37</f>
        <v>125</v>
      </c>
      <c r="R1518" s="15">
        <f>Q1518/I1518</f>
        <v>0.11363636363636363</v>
      </c>
      <c r="S1518" s="5">
        <v>11</v>
      </c>
      <c r="U1518" s="109" t="s">
        <v>129</v>
      </c>
      <c r="V1518" s="71" t="s">
        <v>362</v>
      </c>
      <c r="W1518" s="8" t="s">
        <v>370</v>
      </c>
      <c r="Y1518" s="175"/>
      <c r="Z1518" s="175"/>
      <c r="AA1518" s="175"/>
      <c r="AB1518" s="175"/>
      <c r="AC1518" s="175"/>
      <c r="AD1518" s="175"/>
      <c r="AE1518" s="175"/>
      <c r="AF1518" s="175"/>
      <c r="AG1518" s="175"/>
      <c r="AH1518" s="175"/>
    </row>
    <row r="1519" spans="1:34">
      <c r="A1519" s="165" t="s">
        <v>1383</v>
      </c>
      <c r="B1519" s="39" t="s">
        <v>63</v>
      </c>
      <c r="C1519" s="192">
        <v>46208</v>
      </c>
      <c r="D1519" s="144">
        <v>0.41666666666666669</v>
      </c>
      <c r="E1519" s="193"/>
      <c r="F1519" s="8" t="s">
        <v>918</v>
      </c>
      <c r="G1519" s="2">
        <v>1</v>
      </c>
      <c r="H1519" s="2">
        <v>9</v>
      </c>
      <c r="I1519" s="81">
        <v>585</v>
      </c>
      <c r="J1519" s="2" t="s">
        <v>766</v>
      </c>
      <c r="K1519" s="88" t="s">
        <v>790</v>
      </c>
      <c r="L1519" s="89">
        <v>10000</v>
      </c>
      <c r="M1519" s="54">
        <v>20</v>
      </c>
      <c r="N1519" s="132" t="s">
        <v>821</v>
      </c>
      <c r="O1519" s="39" t="s">
        <v>49</v>
      </c>
      <c r="P1519" s="130"/>
      <c r="Q1519" s="19">
        <v>85</v>
      </c>
      <c r="R1519" s="59">
        <f>Q1519/I1519</f>
        <v>0.14529914529914531</v>
      </c>
      <c r="S1519" s="5">
        <v>20</v>
      </c>
      <c r="U1519" s="109" t="s">
        <v>767</v>
      </c>
      <c r="V1519" s="83" t="s">
        <v>362</v>
      </c>
      <c r="W1519" s="8" t="s">
        <v>386</v>
      </c>
      <c r="Y1519" s="175"/>
      <c r="Z1519" s="175"/>
      <c r="AA1519" s="175"/>
      <c r="AB1519" s="175"/>
      <c r="AC1519" s="175"/>
      <c r="AD1519" s="175"/>
      <c r="AE1519" s="175"/>
      <c r="AF1519" s="175"/>
      <c r="AG1519" s="175"/>
      <c r="AH1519" s="175"/>
    </row>
    <row r="1520" spans="1:34">
      <c r="A1520" s="102" t="s">
        <v>475</v>
      </c>
      <c r="B1520" s="102" t="s">
        <v>476</v>
      </c>
      <c r="C1520" s="40">
        <v>46208</v>
      </c>
      <c r="D1520" s="42">
        <v>0.41666666666666669</v>
      </c>
      <c r="E1520" s="8">
        <v>46</v>
      </c>
      <c r="F1520" s="8" t="s">
        <v>520</v>
      </c>
      <c r="G1520" s="2">
        <v>1</v>
      </c>
      <c r="H1520" s="2">
        <v>9</v>
      </c>
      <c r="I1520" s="126">
        <v>600</v>
      </c>
      <c r="J1520" s="2" t="s">
        <v>766</v>
      </c>
      <c r="K1520" s="109" t="s">
        <v>601</v>
      </c>
      <c r="L1520" s="105">
        <v>30000</v>
      </c>
      <c r="M1520" s="64">
        <v>30</v>
      </c>
      <c r="N1520" s="39" t="s">
        <v>48</v>
      </c>
      <c r="O1520" s="39" t="s">
        <v>49</v>
      </c>
      <c r="P1520" s="140" t="s">
        <v>837</v>
      </c>
      <c r="Q1520" s="19">
        <v>80</v>
      </c>
      <c r="R1520" s="15">
        <f>Q1520/I1520</f>
        <v>0.13333333333333333</v>
      </c>
      <c r="S1520" s="5">
        <f>($AC1520*$AD1520)/(($Z1520/$Y1520)+($AA1520/$Z1520)+($AB1520/$AA1520))</f>
        <v>72.897196261682254</v>
      </c>
      <c r="U1520" s="109" t="s">
        <v>54</v>
      </c>
      <c r="V1520" s="2" t="s">
        <v>611</v>
      </c>
      <c r="Y1520" s="2">
        <v>2</v>
      </c>
      <c r="Z1520" s="2">
        <v>5</v>
      </c>
      <c r="AA1520" s="2">
        <v>13</v>
      </c>
      <c r="AB1520" s="2">
        <v>30</v>
      </c>
      <c r="AC1520" s="2">
        <v>30</v>
      </c>
      <c r="AD1520" s="2">
        <v>18</v>
      </c>
      <c r="AE1520" s="2">
        <f>AC1520*AD1520</f>
        <v>540</v>
      </c>
      <c r="AF1520" s="2">
        <f>Z1520/Y1520</f>
        <v>2.5</v>
      </c>
      <c r="AG1520" s="2">
        <f>AA1520/Z1520</f>
        <v>2.6</v>
      </c>
      <c r="AH1520" s="2">
        <f>AB1520/AA1520</f>
        <v>2.3076923076923075</v>
      </c>
    </row>
    <row r="1521" spans="1:34">
      <c r="A1521" s="96" t="s">
        <v>461</v>
      </c>
      <c r="B1521" s="96" t="s">
        <v>462</v>
      </c>
      <c r="C1521" s="192">
        <v>46208</v>
      </c>
      <c r="D1521" s="42">
        <v>0.4236111111111111</v>
      </c>
      <c r="E1521" s="193"/>
      <c r="F1521" s="8" t="s">
        <v>457</v>
      </c>
      <c r="G1521" s="2">
        <v>1</v>
      </c>
      <c r="I1521" s="126">
        <v>120</v>
      </c>
      <c r="J1521" s="2" t="s">
        <v>766</v>
      </c>
      <c r="K1521" s="109" t="s">
        <v>602</v>
      </c>
      <c r="L1521" s="8">
        <v>20000</v>
      </c>
      <c r="M1521" s="202">
        <v>20</v>
      </c>
      <c r="N1521" s="39" t="s">
        <v>48</v>
      </c>
      <c r="O1521" s="39" t="s">
        <v>49</v>
      </c>
      <c r="P1521" s="211" t="s">
        <v>832</v>
      </c>
      <c r="Q1521" s="19">
        <v>24</v>
      </c>
      <c r="R1521" s="15">
        <f>Q1521/I1521</f>
        <v>0.2</v>
      </c>
      <c r="S1521" s="5">
        <f>($AC1521*$AD1521)/(($Z1521/$Y1521)+($AA1521/$Z1521)+($AB1521/$AA1521))</f>
        <v>25.161290322580644</v>
      </c>
      <c r="U1521" s="109" t="s">
        <v>767</v>
      </c>
      <c r="V1521" s="2" t="s">
        <v>735</v>
      </c>
      <c r="Y1521" s="2">
        <v>2.5</v>
      </c>
      <c r="Z1521" s="2">
        <v>7.5</v>
      </c>
      <c r="AA1521" s="2">
        <v>30</v>
      </c>
      <c r="AB1521" s="2">
        <v>100</v>
      </c>
      <c r="AC1521" s="2">
        <v>13</v>
      </c>
      <c r="AD1521" s="2">
        <v>20</v>
      </c>
      <c r="AE1521" s="2">
        <f>AC1521*AD1521</f>
        <v>260</v>
      </c>
      <c r="AF1521" s="2">
        <f>Z1521/Y1521</f>
        <v>3</v>
      </c>
      <c r="AG1521" s="2">
        <f>AA1521/Z1521</f>
        <v>4</v>
      </c>
      <c r="AH1521" s="2">
        <f>AB1521/AA1521</f>
        <v>3.3333333333333335</v>
      </c>
    </row>
    <row r="1522" spans="1:34">
      <c r="A1522" s="68" t="s">
        <v>357</v>
      </c>
      <c r="B1522" s="68" t="s">
        <v>358</v>
      </c>
      <c r="C1522" s="48">
        <v>46208</v>
      </c>
      <c r="D1522" s="42">
        <v>0.4236111111111111</v>
      </c>
      <c r="E1522" s="8">
        <v>80</v>
      </c>
      <c r="F1522" s="63" t="s">
        <v>330</v>
      </c>
      <c r="G1522" s="2">
        <v>1</v>
      </c>
      <c r="H1522" s="2">
        <v>9</v>
      </c>
      <c r="I1522" s="126">
        <v>1600</v>
      </c>
      <c r="J1522" s="2" t="s">
        <v>766</v>
      </c>
      <c r="K1522" s="137" t="s">
        <v>601</v>
      </c>
      <c r="L1522" s="89">
        <v>40000</v>
      </c>
      <c r="M1522" s="54">
        <v>30</v>
      </c>
      <c r="N1522" s="39" t="s">
        <v>48</v>
      </c>
      <c r="O1522" s="39" t="s">
        <v>49</v>
      </c>
      <c r="P1522" s="211" t="s">
        <v>843</v>
      </c>
      <c r="Q1522" s="19">
        <v>175</v>
      </c>
      <c r="R1522" s="15">
        <f>Q1522/I1522</f>
        <v>0.109375</v>
      </c>
      <c r="S1522" s="5">
        <f>($AC1522*$AD1522)/(($Z1522/$Y1522)+($AA1522/$Z1522)+($AB1522/$AA1522))</f>
        <v>71.293161814488826</v>
      </c>
      <c r="U1522" s="109" t="s">
        <v>219</v>
      </c>
      <c r="V1522" s="2" t="s">
        <v>698</v>
      </c>
      <c r="W1522" s="87" t="s">
        <v>390</v>
      </c>
      <c r="Y1522" s="2">
        <v>2.5</v>
      </c>
      <c r="Z1522" s="2">
        <v>6.5</v>
      </c>
      <c r="AA1522" s="2">
        <v>15</v>
      </c>
      <c r="AB1522" s="2">
        <v>40</v>
      </c>
      <c r="AC1522" s="2">
        <v>30</v>
      </c>
      <c r="AD1522" s="2">
        <v>18</v>
      </c>
      <c r="AE1522" s="2">
        <f>AC1522*AD1522</f>
        <v>540</v>
      </c>
      <c r="AF1522" s="2">
        <f>Z1522/Y1522</f>
        <v>2.6</v>
      </c>
      <c r="AG1522" s="2">
        <f>AA1522/Z1522</f>
        <v>2.3076923076923075</v>
      </c>
      <c r="AH1522" s="2">
        <f>AB1522/AA1522</f>
        <v>2.6666666666666665</v>
      </c>
    </row>
    <row r="1523" spans="1:34">
      <c r="A1523" s="165" t="s">
        <v>1383</v>
      </c>
      <c r="B1523" s="36" t="s">
        <v>63</v>
      </c>
      <c r="C1523" s="4">
        <v>46208</v>
      </c>
      <c r="D1523" s="144">
        <v>0.45833333333333331</v>
      </c>
      <c r="E1523" s="8">
        <v>85</v>
      </c>
      <c r="F1523" s="8" t="s">
        <v>1110</v>
      </c>
      <c r="G1523" s="2">
        <v>2</v>
      </c>
      <c r="H1523" s="2">
        <v>9</v>
      </c>
      <c r="I1523" s="45">
        <v>1000</v>
      </c>
      <c r="J1523" s="2" t="s">
        <v>760</v>
      </c>
      <c r="K1523" s="109" t="s">
        <v>815</v>
      </c>
      <c r="L1523" s="89">
        <v>20000</v>
      </c>
      <c r="M1523" s="54">
        <v>30</v>
      </c>
      <c r="N1523" s="39" t="s">
        <v>48</v>
      </c>
      <c r="O1523" s="39" t="s">
        <v>49</v>
      </c>
      <c r="P1523" s="130"/>
      <c r="Q1523" s="19">
        <f>R1523*I1523</f>
        <v>120</v>
      </c>
      <c r="R1523" s="15">
        <v>0.12</v>
      </c>
      <c r="S1523" s="5">
        <f>($AC1523*$AD1523)/(($Z1523/$Y1523)+($AA1523/$Z1523)+($AB1523/$AA1523))</f>
        <v>66.521739130434781</v>
      </c>
      <c r="U1523" s="109" t="s">
        <v>767</v>
      </c>
      <c r="V1523" s="2" t="s">
        <v>121</v>
      </c>
      <c r="Y1523" s="2">
        <v>1.5</v>
      </c>
      <c r="Z1523" s="2">
        <v>4</v>
      </c>
      <c r="AA1523" s="2">
        <v>10</v>
      </c>
      <c r="AB1523" s="2">
        <v>25</v>
      </c>
      <c r="AC1523" s="2">
        <v>30</v>
      </c>
      <c r="AD1523" s="2">
        <v>17</v>
      </c>
      <c r="AE1523" s="2">
        <f>AC1523*AD1523</f>
        <v>510</v>
      </c>
      <c r="AF1523" s="2">
        <f>Z1523/Y1523</f>
        <v>2.6666666666666665</v>
      </c>
      <c r="AG1523" s="2">
        <f>AA1523/Z1523</f>
        <v>2.5</v>
      </c>
      <c r="AH1523" s="2">
        <f>AB1523/AA1523</f>
        <v>2.5</v>
      </c>
    </row>
    <row r="1524" spans="1:34">
      <c r="A1524" s="52" t="s">
        <v>220</v>
      </c>
      <c r="B1524" s="52" t="s">
        <v>221</v>
      </c>
      <c r="C1524" s="48">
        <v>46208</v>
      </c>
      <c r="D1524" s="42">
        <v>0.45833333333333331</v>
      </c>
      <c r="E1524" s="193"/>
      <c r="F1524" s="8" t="s">
        <v>1076</v>
      </c>
      <c r="G1524" s="2">
        <v>2</v>
      </c>
      <c r="H1524" s="2">
        <v>9</v>
      </c>
      <c r="I1524" s="126">
        <v>1600</v>
      </c>
      <c r="J1524" s="2" t="s">
        <v>766</v>
      </c>
      <c r="K1524" s="88" t="s">
        <v>791</v>
      </c>
      <c r="L1524" s="90">
        <v>40000</v>
      </c>
      <c r="M1524" s="64">
        <v>40</v>
      </c>
      <c r="N1524" s="39" t="s">
        <v>48</v>
      </c>
      <c r="O1524" s="39" t="s">
        <v>49</v>
      </c>
      <c r="P1524" s="211" t="s">
        <v>846</v>
      </c>
      <c r="Q1524" s="19">
        <v>170</v>
      </c>
      <c r="R1524" s="15">
        <f>Q1524/I1524</f>
        <v>0.10625</v>
      </c>
      <c r="S1524" s="5">
        <f>($AC1524*$AD1524)/(($Z1524/$Y1524)+($AA1524/$Z1524)+($AB1524/$AA1524))</f>
        <v>102.59605399792316</v>
      </c>
      <c r="U1524" s="109" t="s">
        <v>219</v>
      </c>
      <c r="V1524" s="2" t="s">
        <v>738</v>
      </c>
      <c r="W1524" s="205"/>
      <c r="Y1524" s="2">
        <v>2</v>
      </c>
      <c r="Z1524" s="2">
        <v>5</v>
      </c>
      <c r="AA1524" s="2">
        <v>13</v>
      </c>
      <c r="AB1524" s="2">
        <v>30</v>
      </c>
      <c r="AC1524" s="2">
        <v>19</v>
      </c>
      <c r="AD1524" s="2">
        <v>40</v>
      </c>
      <c r="AE1524" s="2">
        <f>AC1524*AD1524</f>
        <v>760</v>
      </c>
      <c r="AF1524" s="2">
        <f>Z1524/Y1524</f>
        <v>2.5</v>
      </c>
      <c r="AG1524" s="2">
        <f>AA1524/Z1524</f>
        <v>2.6</v>
      </c>
      <c r="AH1524" s="2">
        <f>AB1524/AA1524</f>
        <v>2.3076923076923075</v>
      </c>
    </row>
    <row r="1525" spans="1:34">
      <c r="A1525" s="95" t="s">
        <v>447</v>
      </c>
      <c r="B1525" s="95" t="s">
        <v>448</v>
      </c>
      <c r="C1525" s="40">
        <v>46208</v>
      </c>
      <c r="D1525" s="42">
        <v>0.5</v>
      </c>
      <c r="E1525" s="193"/>
      <c r="F1525" s="8" t="s">
        <v>446</v>
      </c>
      <c r="G1525" s="2">
        <v>2</v>
      </c>
      <c r="H1525" s="2">
        <v>8</v>
      </c>
      <c r="I1525" s="125">
        <v>2200</v>
      </c>
      <c r="J1525" s="2" t="s">
        <v>766</v>
      </c>
      <c r="K1525" s="109" t="s">
        <v>598</v>
      </c>
      <c r="L1525" s="8">
        <v>40000</v>
      </c>
      <c r="M1525" s="8">
        <v>40</v>
      </c>
      <c r="N1525" s="39" t="s">
        <v>48</v>
      </c>
      <c r="O1525" s="39" t="s">
        <v>57</v>
      </c>
      <c r="P1525" s="63">
        <v>1000000</v>
      </c>
      <c r="Q1525" s="2">
        <v>200</v>
      </c>
      <c r="R1525" s="15">
        <f>Q1525/I1525</f>
        <v>9.0909090909090912E-2</v>
      </c>
      <c r="S1525" s="176" t="s">
        <v>110</v>
      </c>
      <c r="T1525" s="176"/>
      <c r="U1525" s="109" t="s">
        <v>767</v>
      </c>
      <c r="V1525" s="2" t="s">
        <v>741</v>
      </c>
      <c r="W1525" s="205"/>
      <c r="AE1525" s="2">
        <f>AC1525*AD1525</f>
        <v>0</v>
      </c>
      <c r="AF1525" s="2" t="e">
        <f>Z1525/Y1525</f>
        <v>#DIV/0!</v>
      </c>
      <c r="AG1525" s="2" t="e">
        <f>AA1525/Z1525</f>
        <v>#DIV/0!</v>
      </c>
      <c r="AH1525" s="2" t="e">
        <f>AB1525/AA1525</f>
        <v>#DIV/0!</v>
      </c>
    </row>
    <row r="1526" spans="1:34">
      <c r="A1526" s="52" t="s">
        <v>229</v>
      </c>
      <c r="B1526" s="52" t="s">
        <v>230</v>
      </c>
      <c r="C1526" s="192">
        <v>46208</v>
      </c>
      <c r="D1526" s="42">
        <v>0.5</v>
      </c>
      <c r="F1526" s="8" t="s">
        <v>1303</v>
      </c>
      <c r="G1526" s="2">
        <v>2</v>
      </c>
      <c r="I1526" s="45">
        <v>600</v>
      </c>
      <c r="J1526" s="2" t="s">
        <v>766</v>
      </c>
      <c r="K1526" s="109" t="s">
        <v>767</v>
      </c>
      <c r="L1526" s="89">
        <v>40000</v>
      </c>
      <c r="M1526" s="204">
        <v>40</v>
      </c>
      <c r="N1526" s="39" t="s">
        <v>48</v>
      </c>
      <c r="O1526" s="39" t="s">
        <v>49</v>
      </c>
      <c r="P1526" s="211" t="s">
        <v>843</v>
      </c>
      <c r="Q1526" s="19">
        <v>80</v>
      </c>
      <c r="R1526" s="15">
        <f>IF(Q1526&gt;0,Q1526/I1526,"")</f>
        <v>0.13333333333333333</v>
      </c>
      <c r="S1526" s="5">
        <f>($AC1526*$AD1526)/(($Z1526/$Y1526)+($AA1526/$Z1526)+($AB1526/$AA1526))</f>
        <v>76.947040498442377</v>
      </c>
      <c r="U1526" s="109" t="s">
        <v>767</v>
      </c>
      <c r="V1526" s="205" t="s">
        <v>719</v>
      </c>
      <c r="W1526" s="205"/>
      <c r="Y1526" s="2">
        <v>2</v>
      </c>
      <c r="Z1526" s="2">
        <v>5</v>
      </c>
      <c r="AA1526" s="2">
        <v>13</v>
      </c>
      <c r="AB1526" s="2">
        <v>30</v>
      </c>
      <c r="AC1526" s="2">
        <v>30</v>
      </c>
      <c r="AD1526" s="2">
        <v>19</v>
      </c>
      <c r="AE1526" s="2">
        <f>AC1526*AD1526</f>
        <v>570</v>
      </c>
      <c r="AF1526" s="2">
        <f>Z1526/Y1526</f>
        <v>2.5</v>
      </c>
      <c r="AG1526" s="2">
        <f>AA1526/Z1526</f>
        <v>2.6</v>
      </c>
      <c r="AH1526" s="2">
        <f>AB1526/AA1526</f>
        <v>2.3076923076923075</v>
      </c>
    </row>
    <row r="1527" spans="1:34">
      <c r="A1527" s="165" t="s">
        <v>1383</v>
      </c>
      <c r="B1527" s="39" t="s">
        <v>63</v>
      </c>
      <c r="C1527" s="192">
        <v>46208</v>
      </c>
      <c r="D1527" s="144">
        <v>0.54166666666666663</v>
      </c>
      <c r="E1527" s="8"/>
      <c r="F1527" s="8" t="s">
        <v>881</v>
      </c>
      <c r="G1527" s="2">
        <v>1</v>
      </c>
      <c r="H1527" s="2">
        <v>9</v>
      </c>
      <c r="I1527" s="45">
        <v>250</v>
      </c>
      <c r="J1527" s="2" t="s">
        <v>766</v>
      </c>
      <c r="K1527" s="88" t="s">
        <v>787</v>
      </c>
      <c r="L1527" s="89">
        <v>25000</v>
      </c>
      <c r="M1527" s="205">
        <v>30</v>
      </c>
      <c r="N1527" s="39" t="s">
        <v>817</v>
      </c>
      <c r="O1527" s="39" t="s">
        <v>49</v>
      </c>
      <c r="P1527" s="210"/>
      <c r="Q1527" s="19">
        <v>50</v>
      </c>
      <c r="R1527" s="15">
        <f>Q1527/I1527</f>
        <v>0.2</v>
      </c>
      <c r="S1527" s="5">
        <v>44</v>
      </c>
      <c r="U1527" s="109" t="s">
        <v>767</v>
      </c>
      <c r="V1527" s="71" t="s">
        <v>360</v>
      </c>
      <c r="Y1527" s="175"/>
      <c r="Z1527" s="175"/>
      <c r="AA1527" s="175"/>
      <c r="AB1527" s="175"/>
      <c r="AC1527" s="175"/>
      <c r="AD1527" s="175"/>
      <c r="AE1527" s="175"/>
      <c r="AF1527" s="175"/>
      <c r="AG1527" s="175"/>
      <c r="AH1527" s="175"/>
    </row>
    <row r="1528" spans="1:34">
      <c r="A1528" s="165" t="s">
        <v>1383</v>
      </c>
      <c r="B1528" s="39" t="s">
        <v>63</v>
      </c>
      <c r="C1528" s="192">
        <v>46208</v>
      </c>
      <c r="D1528" s="144">
        <v>0.54166666666666663</v>
      </c>
      <c r="E1528" s="193"/>
      <c r="F1528" s="8" t="s">
        <v>906</v>
      </c>
      <c r="G1528" s="2">
        <v>1</v>
      </c>
      <c r="H1528" s="2">
        <v>9</v>
      </c>
      <c r="I1528" s="37">
        <v>1100</v>
      </c>
      <c r="J1528" s="2" t="s">
        <v>766</v>
      </c>
      <c r="K1528" s="88" t="s">
        <v>776</v>
      </c>
      <c r="L1528" s="89">
        <v>15000</v>
      </c>
      <c r="M1528" s="209" t="s">
        <v>128</v>
      </c>
      <c r="N1528" s="132" t="s">
        <v>821</v>
      </c>
      <c r="O1528" s="39" t="s">
        <v>49</v>
      </c>
      <c r="P1528" s="210"/>
      <c r="Q1528" s="19">
        <f>88+37</f>
        <v>125</v>
      </c>
      <c r="R1528" s="15">
        <f>Q1528/I1528</f>
        <v>0.11363636363636363</v>
      </c>
      <c r="S1528" s="5">
        <v>24</v>
      </c>
      <c r="U1528" s="109" t="s">
        <v>767</v>
      </c>
      <c r="V1528" s="71" t="s">
        <v>362</v>
      </c>
      <c r="W1528" s="8" t="s">
        <v>370</v>
      </c>
      <c r="Y1528" s="175"/>
      <c r="Z1528" s="175"/>
      <c r="AA1528" s="175"/>
      <c r="AB1528" s="175"/>
      <c r="AC1528" s="175"/>
      <c r="AD1528" s="175"/>
      <c r="AE1528" s="175"/>
      <c r="AF1528" s="175"/>
      <c r="AG1528" s="175"/>
      <c r="AH1528" s="175"/>
    </row>
    <row r="1529" spans="1:34">
      <c r="A1529" s="165" t="s">
        <v>1383</v>
      </c>
      <c r="B1529" s="39" t="s">
        <v>63</v>
      </c>
      <c r="C1529" s="192">
        <v>46208</v>
      </c>
      <c r="D1529" s="144">
        <v>0.58333333333333337</v>
      </c>
      <c r="E1529" s="193"/>
      <c r="F1529" s="8" t="s">
        <v>913</v>
      </c>
      <c r="G1529" s="2">
        <v>1</v>
      </c>
      <c r="H1529" s="2">
        <v>9</v>
      </c>
      <c r="I1529" s="45">
        <v>260</v>
      </c>
      <c r="J1529" s="2" t="s">
        <v>766</v>
      </c>
      <c r="K1529" s="88" t="s">
        <v>776</v>
      </c>
      <c r="L1529" s="89">
        <v>10000</v>
      </c>
      <c r="M1529" s="202">
        <v>10</v>
      </c>
      <c r="N1529" s="132" t="s">
        <v>821</v>
      </c>
      <c r="O1529" s="39" t="s">
        <v>49</v>
      </c>
      <c r="P1529" s="130"/>
      <c r="Q1529" s="19">
        <v>40</v>
      </c>
      <c r="R1529" s="15">
        <f>Q1529/I1529</f>
        <v>0.15384615384615385</v>
      </c>
      <c r="S1529" s="5">
        <f>($AC1529*$AD1529)/(($Z1529/$Y1529)+($AA1529/$Z1529)+($AB1529/$AA1529))</f>
        <v>9.9248120300751879</v>
      </c>
      <c r="U1529" s="137" t="s">
        <v>129</v>
      </c>
      <c r="V1529" s="83" t="s">
        <v>362</v>
      </c>
      <c r="W1529" s="8" t="s">
        <v>387</v>
      </c>
      <c r="Y1529" s="2">
        <v>2</v>
      </c>
      <c r="Z1529" s="2">
        <v>7.5</v>
      </c>
      <c r="AA1529" s="2">
        <v>25</v>
      </c>
      <c r="AB1529" s="2">
        <v>100</v>
      </c>
      <c r="AC1529" s="2">
        <v>11</v>
      </c>
      <c r="AD1529" s="2">
        <v>10</v>
      </c>
      <c r="AE1529" s="2">
        <f>AC1529*AD1529</f>
        <v>110</v>
      </c>
      <c r="AF1529" s="2">
        <f>Z1529/Y1529</f>
        <v>3.75</v>
      </c>
      <c r="AG1529" s="2">
        <f>AA1529/Z1529</f>
        <v>3.3333333333333335</v>
      </c>
      <c r="AH1529" s="2">
        <f>AB1529/AA1529</f>
        <v>4</v>
      </c>
    </row>
    <row r="1530" spans="1:34">
      <c r="A1530" s="52" t="s">
        <v>229</v>
      </c>
      <c r="B1530" s="52" t="s">
        <v>230</v>
      </c>
      <c r="C1530" s="40">
        <v>46208</v>
      </c>
      <c r="D1530" s="42">
        <v>0.58333333333333337</v>
      </c>
      <c r="F1530" s="8" t="s">
        <v>258</v>
      </c>
      <c r="G1530" s="2">
        <v>1</v>
      </c>
      <c r="I1530" s="126">
        <v>300</v>
      </c>
      <c r="J1530" s="2" t="s">
        <v>766</v>
      </c>
      <c r="K1530" s="88" t="s">
        <v>789</v>
      </c>
      <c r="L1530" s="91">
        <v>25000</v>
      </c>
      <c r="M1530" s="46" t="s">
        <v>128</v>
      </c>
      <c r="N1530" s="39" t="s">
        <v>48</v>
      </c>
      <c r="O1530" s="39" t="s">
        <v>49</v>
      </c>
      <c r="P1530" s="140" t="s">
        <v>837</v>
      </c>
      <c r="Q1530" s="19">
        <v>60</v>
      </c>
      <c r="R1530" s="15">
        <f>IF(Q1530&gt;0,Q1530/I1530,"")</f>
        <v>0.2</v>
      </c>
      <c r="S1530" s="5">
        <f>($AC1530*$AD1530)/(($Z1530/$Y1530)+($AA1530/$Z1530)+($AB1530/$AA1530))</f>
        <v>62.097611630321914</v>
      </c>
      <c r="U1530" s="109" t="s">
        <v>129</v>
      </c>
      <c r="V1530" s="2" t="s">
        <v>719</v>
      </c>
      <c r="Y1530" s="2">
        <v>2</v>
      </c>
      <c r="Z1530" s="2">
        <v>5</v>
      </c>
      <c r="AA1530" s="2">
        <v>13</v>
      </c>
      <c r="AB1530" s="2">
        <v>30</v>
      </c>
      <c r="AC1530" s="2">
        <v>460</v>
      </c>
      <c r="AD1530" s="2">
        <v>1</v>
      </c>
      <c r="AE1530" s="2">
        <f>AC1530*AD1530</f>
        <v>460</v>
      </c>
      <c r="AF1530" s="2">
        <f>Z1530/Y1530</f>
        <v>2.5</v>
      </c>
      <c r="AG1530" s="2">
        <f>AA1530/Z1530</f>
        <v>2.6</v>
      </c>
      <c r="AH1530" s="2">
        <f>AB1530/AA1530</f>
        <v>2.3076923076923075</v>
      </c>
    </row>
    <row r="1531" spans="1:34">
      <c r="A1531" s="96" t="s">
        <v>461</v>
      </c>
      <c r="B1531" s="96" t="s">
        <v>462</v>
      </c>
      <c r="C1531" s="192">
        <v>46208</v>
      </c>
      <c r="D1531" s="42">
        <v>0.59027777777777779</v>
      </c>
      <c r="F1531" s="8" t="s">
        <v>456</v>
      </c>
      <c r="G1531" s="2">
        <v>1</v>
      </c>
      <c r="I1531" s="126">
        <v>120</v>
      </c>
      <c r="J1531" s="2" t="s">
        <v>766</v>
      </c>
      <c r="K1531" s="109" t="s">
        <v>737</v>
      </c>
      <c r="L1531" s="8">
        <v>20000</v>
      </c>
      <c r="M1531" s="202">
        <v>15</v>
      </c>
      <c r="N1531" s="39" t="s">
        <v>48</v>
      </c>
      <c r="O1531" s="39" t="s">
        <v>49</v>
      </c>
      <c r="P1531" s="136" t="s">
        <v>829</v>
      </c>
      <c r="Q1531" s="19">
        <v>24</v>
      </c>
      <c r="R1531" s="15">
        <f>Q1531/I1531</f>
        <v>0.2</v>
      </c>
      <c r="S1531" s="5">
        <f>($AC1531*$AD1531)/(($Z1531/$Y1531)+($AA1531/$Z1531)+($AB1531/$AA1531))</f>
        <v>25.161290322580644</v>
      </c>
      <c r="U1531" s="109" t="s">
        <v>463</v>
      </c>
      <c r="V1531" s="2" t="s">
        <v>735</v>
      </c>
      <c r="W1531" s="2" t="s">
        <v>464</v>
      </c>
      <c r="Y1531" s="2">
        <v>2.5</v>
      </c>
      <c r="Z1531" s="2">
        <v>7.5</v>
      </c>
      <c r="AA1531" s="2">
        <v>30</v>
      </c>
      <c r="AB1531" s="2">
        <v>100</v>
      </c>
      <c r="AC1531" s="2">
        <v>13</v>
      </c>
      <c r="AD1531" s="2">
        <v>20</v>
      </c>
      <c r="AE1531" s="2">
        <f>AC1531*AD1531</f>
        <v>260</v>
      </c>
      <c r="AF1531" s="2">
        <f>Z1531/Y1531</f>
        <v>3</v>
      </c>
      <c r="AG1531" s="2">
        <f>AA1531/Z1531</f>
        <v>4</v>
      </c>
      <c r="AH1531" s="2">
        <f>AB1531/AA1531</f>
        <v>3.3333333333333335</v>
      </c>
    </row>
    <row r="1532" spans="1:34">
      <c r="A1532" s="165" t="s">
        <v>1383</v>
      </c>
      <c r="B1532" s="39" t="s">
        <v>63</v>
      </c>
      <c r="C1532" s="192">
        <v>46208</v>
      </c>
      <c r="D1532" s="144">
        <v>0.625</v>
      </c>
      <c r="E1532" s="193"/>
      <c r="F1532" s="8" t="s">
        <v>912</v>
      </c>
      <c r="G1532" s="2">
        <v>1</v>
      </c>
      <c r="H1532" s="2">
        <v>9</v>
      </c>
      <c r="I1532" s="45">
        <v>240</v>
      </c>
      <c r="J1532" s="2" t="s">
        <v>766</v>
      </c>
      <c r="K1532" s="88" t="s">
        <v>784</v>
      </c>
      <c r="L1532" s="89">
        <v>10000</v>
      </c>
      <c r="M1532" s="202">
        <v>20</v>
      </c>
      <c r="N1532" s="132" t="s">
        <v>821</v>
      </c>
      <c r="O1532" s="39" t="s">
        <v>49</v>
      </c>
      <c r="Q1532" s="19">
        <v>40</v>
      </c>
      <c r="R1532" s="15">
        <v>0.16666666666666666</v>
      </c>
      <c r="S1532" s="5">
        <v>29</v>
      </c>
      <c r="U1532" s="109" t="s">
        <v>767</v>
      </c>
      <c r="V1532" s="71" t="s">
        <v>362</v>
      </c>
      <c r="W1532" s="8" t="s">
        <v>367</v>
      </c>
      <c r="Y1532" s="175"/>
      <c r="Z1532" s="175"/>
      <c r="AA1532" s="175"/>
      <c r="AB1532" s="175"/>
      <c r="AC1532" s="175"/>
      <c r="AD1532" s="175"/>
      <c r="AE1532" s="175"/>
      <c r="AF1532" s="175"/>
      <c r="AG1532" s="175"/>
      <c r="AH1532" s="175"/>
    </row>
    <row r="1533" spans="1:34">
      <c r="A1533" s="186" t="s">
        <v>1397</v>
      </c>
      <c r="B1533" s="186" t="s">
        <v>1398</v>
      </c>
      <c r="C1533" s="192">
        <v>46208</v>
      </c>
      <c r="D1533" s="42">
        <v>0.625</v>
      </c>
      <c r="F1533" s="186" t="s">
        <v>1403</v>
      </c>
      <c r="G1533" s="2">
        <v>1</v>
      </c>
      <c r="H1533" s="2">
        <v>8</v>
      </c>
      <c r="I1533" s="45">
        <v>15000</v>
      </c>
      <c r="J1533" s="2" t="s">
        <v>766</v>
      </c>
      <c r="K1533" s="56">
        <v>0.8125</v>
      </c>
      <c r="L1533" s="89">
        <v>125000</v>
      </c>
      <c r="M1533" s="202">
        <v>30</v>
      </c>
      <c r="N1533" s="39" t="s">
        <v>48</v>
      </c>
      <c r="O1533" s="187" t="s">
        <v>49</v>
      </c>
      <c r="P1533" s="130"/>
      <c r="Q1533" s="19">
        <v>100</v>
      </c>
      <c r="R1533" s="15">
        <f>Q1533/I1533</f>
        <v>6.6666666666666671E-3</v>
      </c>
      <c r="S1533" s="215">
        <f>($AC1533*$AD1533)/(($Z1533/$Y1533)+($AA1533/$Z1533)+($AB1533/$AA1533))</f>
        <v>77.142857142857139</v>
      </c>
      <c r="V1533" s="205" t="s">
        <v>1409</v>
      </c>
      <c r="W1533" s="230" t="s">
        <v>1410</v>
      </c>
      <c r="Y1533" s="2">
        <v>10</v>
      </c>
      <c r="Z1533" s="2">
        <v>20</v>
      </c>
      <c r="AA1533" s="2">
        <v>50</v>
      </c>
      <c r="AB1533" s="2">
        <v>125</v>
      </c>
      <c r="AC1533" s="2">
        <v>18</v>
      </c>
      <c r="AD1533" s="2">
        <v>30</v>
      </c>
      <c r="AE1533" s="2">
        <f>AC1533*AD1533</f>
        <v>540</v>
      </c>
      <c r="AF1533" s="2">
        <f>Z1533/Y1533</f>
        <v>2</v>
      </c>
      <c r="AG1533" s="2">
        <f>AA1533/Z1533</f>
        <v>2.5</v>
      </c>
      <c r="AH1533" s="2">
        <f>AB1533/AA1533</f>
        <v>2.5</v>
      </c>
    </row>
    <row r="1534" spans="1:34">
      <c r="A1534" s="165" t="s">
        <v>1383</v>
      </c>
      <c r="B1534" s="39" t="s">
        <v>63</v>
      </c>
      <c r="C1534" s="192">
        <v>46208</v>
      </c>
      <c r="D1534" s="144">
        <v>0.66666666666666663</v>
      </c>
      <c r="E1534" s="8"/>
      <c r="F1534" s="8" t="s">
        <v>1024</v>
      </c>
      <c r="G1534" s="2">
        <v>1</v>
      </c>
      <c r="H1534" s="2">
        <v>9</v>
      </c>
      <c r="I1534" s="45">
        <v>400</v>
      </c>
      <c r="J1534" s="2" t="s">
        <v>766</v>
      </c>
      <c r="K1534" s="88" t="s">
        <v>794</v>
      </c>
      <c r="L1534" s="89">
        <v>30000</v>
      </c>
      <c r="M1534" s="205">
        <v>20</v>
      </c>
      <c r="N1534" s="39" t="s">
        <v>817</v>
      </c>
      <c r="O1534" s="39" t="s">
        <v>49</v>
      </c>
      <c r="Q1534" s="19">
        <v>70</v>
      </c>
      <c r="R1534" s="15">
        <f>Q1534/I1534</f>
        <v>0.17499999999999999</v>
      </c>
      <c r="S1534" s="5">
        <v>37</v>
      </c>
      <c r="U1534" s="109" t="s">
        <v>129</v>
      </c>
      <c r="V1534" s="71" t="s">
        <v>360</v>
      </c>
      <c r="Y1534" s="175"/>
      <c r="Z1534" s="175"/>
      <c r="AA1534" s="175"/>
      <c r="AB1534" s="175"/>
      <c r="AC1534" s="175"/>
      <c r="AD1534" s="175"/>
      <c r="AE1534" s="175"/>
      <c r="AF1534" s="175"/>
      <c r="AG1534" s="175"/>
      <c r="AH1534" s="175"/>
    </row>
    <row r="1535" spans="1:34">
      <c r="A1535" s="102" t="s">
        <v>475</v>
      </c>
      <c r="B1535" s="102" t="s">
        <v>476</v>
      </c>
      <c r="C1535" s="40">
        <v>46208</v>
      </c>
      <c r="D1535" s="42">
        <v>0.75</v>
      </c>
      <c r="E1535" s="8">
        <v>47</v>
      </c>
      <c r="F1535" s="8" t="s">
        <v>522</v>
      </c>
      <c r="G1535" s="2">
        <v>1</v>
      </c>
      <c r="H1535" s="2">
        <v>9</v>
      </c>
      <c r="I1535" s="126">
        <v>250</v>
      </c>
      <c r="J1535" s="2" t="s">
        <v>766</v>
      </c>
      <c r="K1535" s="109" t="s">
        <v>602</v>
      </c>
      <c r="L1535" s="105">
        <v>25000</v>
      </c>
      <c r="M1535" s="64">
        <v>30</v>
      </c>
      <c r="N1535" s="39" t="s">
        <v>48</v>
      </c>
      <c r="O1535" s="39" t="s">
        <v>49</v>
      </c>
      <c r="P1535" s="140" t="s">
        <v>831</v>
      </c>
      <c r="Q1535" s="19">
        <v>50</v>
      </c>
      <c r="R1535" s="15">
        <f>Q1535/I1535</f>
        <v>0.2</v>
      </c>
      <c r="S1535" s="5">
        <f>($AC1535*$AD1535)/(($Z1535/$Y1535)+($AA1535/$Z1535)+($AB1535/$AA1535))</f>
        <v>55.03292568203198</v>
      </c>
      <c r="U1535" s="109" t="s">
        <v>219</v>
      </c>
      <c r="V1535" s="2" t="s">
        <v>610</v>
      </c>
      <c r="W1535" s="102" t="s">
        <v>538</v>
      </c>
      <c r="Y1535" s="2">
        <v>2.5</v>
      </c>
      <c r="Z1535" s="2">
        <v>6.5</v>
      </c>
      <c r="AA1535" s="2">
        <v>20</v>
      </c>
      <c r="AB1535" s="2">
        <v>50</v>
      </c>
      <c r="AC1535" s="2">
        <v>30</v>
      </c>
      <c r="AD1535" s="2">
        <v>15</v>
      </c>
      <c r="AE1535" s="2">
        <f>AC1535*AD1535</f>
        <v>450</v>
      </c>
      <c r="AF1535" s="2">
        <f>Z1535/Y1535</f>
        <v>2.6</v>
      </c>
      <c r="AG1535" s="2">
        <f>AA1535/Z1535</f>
        <v>3.0769230769230771</v>
      </c>
      <c r="AH1535" s="2">
        <f>AB1535/AA1535</f>
        <v>2.5</v>
      </c>
    </row>
    <row r="1536" spans="1:34">
      <c r="A1536" s="52" t="s">
        <v>220</v>
      </c>
      <c r="B1536" s="52" t="s">
        <v>221</v>
      </c>
      <c r="C1536" s="48">
        <v>46208</v>
      </c>
      <c r="D1536" s="42">
        <v>0.75</v>
      </c>
      <c r="E1536" s="193"/>
      <c r="F1536" s="8" t="s">
        <v>1073</v>
      </c>
      <c r="G1536" s="2">
        <v>1</v>
      </c>
      <c r="H1536" s="2">
        <v>9</v>
      </c>
      <c r="I1536" s="126">
        <v>1100</v>
      </c>
      <c r="J1536" s="2" t="s">
        <v>766</v>
      </c>
      <c r="K1536" s="88" t="s">
        <v>799</v>
      </c>
      <c r="L1536" s="90">
        <v>30000</v>
      </c>
      <c r="M1536" s="64">
        <v>20</v>
      </c>
      <c r="N1536" s="39" t="s">
        <v>48</v>
      </c>
      <c r="O1536" s="39" t="s">
        <v>49</v>
      </c>
      <c r="P1536" s="212" t="s">
        <v>838</v>
      </c>
      <c r="Q1536" s="19">
        <v>125</v>
      </c>
      <c r="R1536" s="15">
        <f>Q1536/I1536</f>
        <v>0.11363636363636363</v>
      </c>
      <c r="S1536" s="5">
        <f>($AC1536*$AD1536)/(($Z1536/$Y1536)+($AA1536/$Z1536)+($AB1536/$AA1536))</f>
        <v>41.632653061224495</v>
      </c>
      <c r="U1536" s="109" t="s">
        <v>129</v>
      </c>
      <c r="V1536" s="205" t="s">
        <v>738</v>
      </c>
      <c r="W1536" s="205"/>
      <c r="Y1536" s="2">
        <v>2</v>
      </c>
      <c r="Z1536" s="2">
        <v>5</v>
      </c>
      <c r="AA1536" s="2">
        <v>15</v>
      </c>
      <c r="AB1536" s="2">
        <v>40</v>
      </c>
      <c r="AC1536" s="2">
        <v>17</v>
      </c>
      <c r="AD1536" s="115">
        <v>20</v>
      </c>
      <c r="AE1536" s="2">
        <f>AC1536*AD1536</f>
        <v>340</v>
      </c>
      <c r="AF1536" s="2">
        <f>Z1536/Y1536</f>
        <v>2.5</v>
      </c>
      <c r="AG1536" s="2">
        <f>AA1536/Z1536</f>
        <v>3</v>
      </c>
      <c r="AH1536" s="2">
        <f>AB1536/AA1536</f>
        <v>2.6666666666666665</v>
      </c>
    </row>
    <row r="1537" spans="1:34">
      <c r="A1537" s="96" t="s">
        <v>461</v>
      </c>
      <c r="B1537" s="96" t="s">
        <v>462</v>
      </c>
      <c r="C1537" s="192">
        <v>46208</v>
      </c>
      <c r="D1537" s="42">
        <v>0.75694444444444442</v>
      </c>
      <c r="E1537" s="193"/>
      <c r="F1537" s="8" t="s">
        <v>459</v>
      </c>
      <c r="G1537" s="2">
        <v>1</v>
      </c>
      <c r="I1537" s="126">
        <v>120</v>
      </c>
      <c r="J1537" s="2" t="s">
        <v>766</v>
      </c>
      <c r="K1537" s="109" t="s">
        <v>602</v>
      </c>
      <c r="L1537" s="8">
        <v>20000</v>
      </c>
      <c r="M1537" s="202">
        <v>20</v>
      </c>
      <c r="N1537" s="39" t="s">
        <v>48</v>
      </c>
      <c r="O1537" s="39" t="s">
        <v>465</v>
      </c>
      <c r="P1537" s="197">
        <v>10000</v>
      </c>
      <c r="Q1537" s="2">
        <v>24</v>
      </c>
      <c r="R1537" s="15">
        <f>Q1537/I1537</f>
        <v>0.2</v>
      </c>
      <c r="S1537" s="149" t="s">
        <v>110</v>
      </c>
      <c r="T1537" s="149"/>
      <c r="U1537" s="109" t="s">
        <v>767</v>
      </c>
      <c r="V1537" s="205" t="s">
        <v>735</v>
      </c>
      <c r="W1537" s="205"/>
      <c r="AE1537" s="2">
        <f>AC1537*AD1537</f>
        <v>0</v>
      </c>
      <c r="AF1537" s="2" t="e">
        <f>Z1537/Y1537</f>
        <v>#DIV/0!</v>
      </c>
      <c r="AG1537" s="2" t="e">
        <f>AA1537/Z1537</f>
        <v>#DIV/0!</v>
      </c>
      <c r="AH1537" s="2" t="e">
        <f>AB1537/AA1537</f>
        <v>#DIV/0!</v>
      </c>
    </row>
    <row r="1538" spans="1:34">
      <c r="A1538" s="95" t="s">
        <v>447</v>
      </c>
      <c r="B1538" s="95" t="s">
        <v>448</v>
      </c>
      <c r="C1538" s="40">
        <v>46208</v>
      </c>
      <c r="D1538" s="42">
        <v>0.79166666666666663</v>
      </c>
      <c r="E1538" s="193"/>
      <c r="F1538" s="8" t="s">
        <v>403</v>
      </c>
      <c r="G1538" s="2">
        <v>1</v>
      </c>
      <c r="H1538" s="2">
        <v>9</v>
      </c>
      <c r="I1538" s="126">
        <v>300</v>
      </c>
      <c r="J1538" s="2" t="s">
        <v>766</v>
      </c>
      <c r="K1538" s="109" t="s">
        <v>602</v>
      </c>
      <c r="L1538" s="8">
        <v>25000</v>
      </c>
      <c r="M1538" s="8">
        <v>25</v>
      </c>
      <c r="N1538" s="39" t="s">
        <v>48</v>
      </c>
      <c r="O1538" s="39" t="s">
        <v>49</v>
      </c>
      <c r="P1538" s="212" t="s">
        <v>834</v>
      </c>
      <c r="Q1538" s="19">
        <v>50</v>
      </c>
      <c r="R1538" s="15">
        <f>Q1538/I1538</f>
        <v>0.16666666666666666</v>
      </c>
      <c r="S1538" s="5">
        <f>($AC1538*$AD1538)/(($Z1538/$Y1538)+($AA1538/$Z1538)+($AB1538/$AA1538))</f>
        <v>37.5</v>
      </c>
      <c r="U1538" s="109" t="s">
        <v>767</v>
      </c>
      <c r="V1538" s="2" t="s">
        <v>741</v>
      </c>
      <c r="Y1538" s="2">
        <v>2.5</v>
      </c>
      <c r="Z1538" s="2">
        <v>7.5</v>
      </c>
      <c r="AA1538" s="2">
        <v>25</v>
      </c>
      <c r="AB1538" s="2">
        <v>75</v>
      </c>
      <c r="AC1538" s="2">
        <v>14</v>
      </c>
      <c r="AD1538" s="2">
        <v>25</v>
      </c>
      <c r="AE1538" s="2">
        <f>AC1538*AD1538</f>
        <v>350</v>
      </c>
      <c r="AF1538" s="2">
        <f>Z1538/Y1538</f>
        <v>3</v>
      </c>
      <c r="AG1538" s="2">
        <f>AA1538/Z1538</f>
        <v>3.3333333333333335</v>
      </c>
      <c r="AH1538" s="2">
        <f>AB1538/AA1538</f>
        <v>3</v>
      </c>
    </row>
    <row r="1539" spans="1:34">
      <c r="A1539" s="165" t="s">
        <v>1383</v>
      </c>
      <c r="B1539" s="39" t="s">
        <v>63</v>
      </c>
      <c r="C1539" s="192">
        <v>46208</v>
      </c>
      <c r="D1539" s="144">
        <v>0.79166666666666663</v>
      </c>
      <c r="E1539" s="193"/>
      <c r="F1539" s="8" t="s">
        <v>911</v>
      </c>
      <c r="G1539" s="2">
        <v>1</v>
      </c>
      <c r="H1539" s="2">
        <v>9</v>
      </c>
      <c r="I1539" s="81">
        <v>2200</v>
      </c>
      <c r="J1539" s="2" t="s">
        <v>766</v>
      </c>
      <c r="K1539" s="88" t="s">
        <v>800</v>
      </c>
      <c r="L1539" s="89">
        <v>20000</v>
      </c>
      <c r="M1539" s="209" t="s">
        <v>128</v>
      </c>
      <c r="N1539" s="132" t="s">
        <v>821</v>
      </c>
      <c r="O1539" s="39" t="s">
        <v>49</v>
      </c>
      <c r="P1539" s="210"/>
      <c r="Q1539" s="19">
        <v>200</v>
      </c>
      <c r="R1539" s="59">
        <f>Q1539/I1539</f>
        <v>9.0909090909090912E-2</v>
      </c>
      <c r="S1539" s="5">
        <v>32</v>
      </c>
      <c r="U1539" s="109" t="s">
        <v>767</v>
      </c>
      <c r="V1539" s="83" t="s">
        <v>362</v>
      </c>
      <c r="W1539" s="8" t="s">
        <v>388</v>
      </c>
      <c r="Y1539" s="175"/>
      <c r="Z1539" s="175"/>
      <c r="AA1539" s="175"/>
      <c r="AB1539" s="175"/>
      <c r="AC1539" s="175"/>
      <c r="AD1539" s="175"/>
      <c r="AE1539" s="175"/>
      <c r="AF1539" s="175"/>
      <c r="AG1539" s="175"/>
      <c r="AH1539" s="175"/>
    </row>
    <row r="1540" spans="1:34">
      <c r="A1540" s="165" t="s">
        <v>1383</v>
      </c>
      <c r="B1540" s="39" t="s">
        <v>63</v>
      </c>
      <c r="C1540" s="192">
        <v>46208</v>
      </c>
      <c r="D1540" s="144">
        <v>0.79166666666666663</v>
      </c>
      <c r="E1540" s="193"/>
      <c r="F1540" s="8" t="s">
        <v>917</v>
      </c>
      <c r="G1540" s="2">
        <v>1</v>
      </c>
      <c r="H1540" s="2">
        <v>9</v>
      </c>
      <c r="I1540" s="81">
        <v>585</v>
      </c>
      <c r="J1540" s="2" t="s">
        <v>766</v>
      </c>
      <c r="K1540" s="88" t="s">
        <v>800</v>
      </c>
      <c r="L1540" s="89">
        <v>10000</v>
      </c>
      <c r="M1540" s="202">
        <v>20</v>
      </c>
      <c r="N1540" s="132" t="s">
        <v>821</v>
      </c>
      <c r="O1540" s="39" t="s">
        <v>49</v>
      </c>
      <c r="P1540" s="130"/>
      <c r="Q1540" s="19">
        <v>89</v>
      </c>
      <c r="R1540" s="59">
        <f>Q1540/I1540</f>
        <v>0.15213675213675212</v>
      </c>
      <c r="S1540" s="5">
        <v>29</v>
      </c>
      <c r="U1540" s="109" t="s">
        <v>767</v>
      </c>
      <c r="V1540" s="83" t="s">
        <v>362</v>
      </c>
      <c r="W1540" s="8" t="s">
        <v>368</v>
      </c>
      <c r="Y1540" s="175"/>
      <c r="Z1540" s="175"/>
      <c r="AA1540" s="175"/>
      <c r="AB1540" s="175"/>
      <c r="AC1540" s="175"/>
      <c r="AD1540" s="175"/>
      <c r="AE1540" s="175"/>
      <c r="AF1540" s="175"/>
      <c r="AG1540" s="175"/>
      <c r="AH1540" s="175"/>
    </row>
    <row r="1541" spans="1:34">
      <c r="A1541" s="52" t="s">
        <v>229</v>
      </c>
      <c r="B1541" s="52" t="s">
        <v>230</v>
      </c>
      <c r="C1541" s="40">
        <v>46208</v>
      </c>
      <c r="D1541" s="42">
        <v>0.79166666666666663</v>
      </c>
      <c r="F1541" s="8" t="s">
        <v>264</v>
      </c>
      <c r="G1541" s="2">
        <v>1</v>
      </c>
      <c r="I1541" s="183">
        <v>240</v>
      </c>
      <c r="J1541" s="2" t="s">
        <v>766</v>
      </c>
      <c r="K1541" s="88" t="s">
        <v>811</v>
      </c>
      <c r="L1541" s="92">
        <v>30000</v>
      </c>
      <c r="M1541" s="205">
        <v>20</v>
      </c>
      <c r="N1541" s="39" t="s">
        <v>48</v>
      </c>
      <c r="O1541" s="39" t="s">
        <v>373</v>
      </c>
      <c r="P1541" s="66">
        <v>10000</v>
      </c>
      <c r="Q1541" s="2">
        <v>40</v>
      </c>
      <c r="R1541" s="15">
        <f>IF(Q1541&gt;0,Q1541/I1541,"")</f>
        <v>0.16666666666666666</v>
      </c>
      <c r="S1541" s="149" t="s">
        <v>110</v>
      </c>
      <c r="T1541" s="149"/>
      <c r="U1541" s="109" t="s">
        <v>767</v>
      </c>
      <c r="V1541" s="2" t="s">
        <v>719</v>
      </c>
      <c r="W1541" s="205"/>
      <c r="AE1541" s="2">
        <f>AC1541*AD1541</f>
        <v>0</v>
      </c>
      <c r="AF1541" s="2" t="e">
        <f>Z1541/Y1541</f>
        <v>#DIV/0!</v>
      </c>
      <c r="AG1541" s="2" t="e">
        <f>AA1541/Z1541</f>
        <v>#DIV/0!</v>
      </c>
      <c r="AH1541" s="2" t="e">
        <f>AB1541/AA1541</f>
        <v>#DIV/0!</v>
      </c>
    </row>
    <row r="1542" spans="1:34">
      <c r="A1542" s="165" t="s">
        <v>1383</v>
      </c>
      <c r="B1542" s="39" t="s">
        <v>63</v>
      </c>
      <c r="C1542" s="192">
        <v>46208</v>
      </c>
      <c r="D1542" s="144">
        <v>0.83333333333333337</v>
      </c>
      <c r="E1542" s="8"/>
      <c r="F1542" s="8" t="s">
        <v>1023</v>
      </c>
      <c r="G1542" s="2">
        <v>1</v>
      </c>
      <c r="H1542" s="2">
        <v>9</v>
      </c>
      <c r="I1542" s="45">
        <v>200</v>
      </c>
      <c r="J1542" s="2" t="s">
        <v>766</v>
      </c>
      <c r="K1542" s="88" t="s">
        <v>806</v>
      </c>
      <c r="L1542" s="89">
        <v>20000</v>
      </c>
      <c r="M1542" s="205">
        <v>20</v>
      </c>
      <c r="N1542" s="39" t="s">
        <v>817</v>
      </c>
      <c r="O1542" s="39" t="s">
        <v>49</v>
      </c>
      <c r="P1542" s="130"/>
      <c r="Q1542" s="19">
        <v>45</v>
      </c>
      <c r="R1542" s="15">
        <f>Q1542/I1542</f>
        <v>0.22500000000000001</v>
      </c>
      <c r="S1542" s="5">
        <v>23</v>
      </c>
      <c r="U1542" s="109" t="s">
        <v>129</v>
      </c>
      <c r="V1542" s="71" t="s">
        <v>360</v>
      </c>
      <c r="Y1542" s="175"/>
      <c r="Z1542" s="175"/>
      <c r="AA1542" s="175"/>
      <c r="AB1542" s="175"/>
      <c r="AC1542" s="175"/>
      <c r="AD1542" s="175"/>
      <c r="AE1542" s="175"/>
      <c r="AF1542" s="175"/>
      <c r="AG1542" s="175"/>
      <c r="AH1542" s="175"/>
    </row>
    <row r="1543" spans="1:34">
      <c r="A1543" s="165" t="s">
        <v>1383</v>
      </c>
      <c r="B1543" s="39" t="s">
        <v>63</v>
      </c>
      <c r="C1543" s="192">
        <v>46208</v>
      </c>
      <c r="D1543" s="144">
        <v>0.91666666666666663</v>
      </c>
      <c r="E1543" s="193"/>
      <c r="F1543" s="8" t="s">
        <v>909</v>
      </c>
      <c r="G1543" s="2">
        <v>1</v>
      </c>
      <c r="H1543" s="2">
        <v>9</v>
      </c>
      <c r="I1543" s="45">
        <v>135</v>
      </c>
      <c r="J1543" s="2" t="s">
        <v>766</v>
      </c>
      <c r="K1543" s="88" t="s">
        <v>813</v>
      </c>
      <c r="L1543" s="89">
        <v>10000</v>
      </c>
      <c r="M1543" s="202">
        <v>15</v>
      </c>
      <c r="N1543" s="132" t="s">
        <v>821</v>
      </c>
      <c r="O1543" s="39" t="s">
        <v>49</v>
      </c>
      <c r="P1543" s="130"/>
      <c r="Q1543" s="19">
        <v>35</v>
      </c>
      <c r="R1543" s="15">
        <f>Q1543/I1543</f>
        <v>0.25925925925925924</v>
      </c>
      <c r="S1543" s="5">
        <v>22</v>
      </c>
      <c r="U1543" s="109" t="s">
        <v>767</v>
      </c>
      <c r="V1543" s="71" t="s">
        <v>362</v>
      </c>
      <c r="W1543" s="8" t="s">
        <v>369</v>
      </c>
      <c r="Y1543" s="175"/>
      <c r="Z1543" s="175"/>
      <c r="AA1543" s="175"/>
      <c r="AB1543" s="175"/>
      <c r="AC1543" s="175"/>
      <c r="AD1543" s="175"/>
      <c r="AE1543" s="175"/>
      <c r="AF1543" s="175"/>
      <c r="AG1543" s="175"/>
      <c r="AH1543" s="175"/>
    </row>
    <row r="1544" spans="1:34">
      <c r="A1544" s="96" t="s">
        <v>461</v>
      </c>
      <c r="B1544" s="96" t="s">
        <v>462</v>
      </c>
      <c r="C1544" s="192">
        <v>46208</v>
      </c>
      <c r="D1544" s="42">
        <v>0.92361111111111116</v>
      </c>
      <c r="F1544" s="8" t="s">
        <v>456</v>
      </c>
      <c r="G1544" s="2">
        <v>1</v>
      </c>
      <c r="I1544" s="126">
        <v>120</v>
      </c>
      <c r="J1544" s="2" t="s">
        <v>766</v>
      </c>
      <c r="K1544" s="109" t="s">
        <v>737</v>
      </c>
      <c r="L1544" s="8">
        <v>20000</v>
      </c>
      <c r="M1544" s="202">
        <v>15</v>
      </c>
      <c r="N1544" s="39" t="s">
        <v>48</v>
      </c>
      <c r="O1544" s="39" t="s">
        <v>49</v>
      </c>
      <c r="P1544" s="211" t="s">
        <v>827</v>
      </c>
      <c r="Q1544" s="19">
        <v>24</v>
      </c>
      <c r="R1544" s="15">
        <f>Q1544/I1544</f>
        <v>0.2</v>
      </c>
      <c r="S1544" s="5">
        <f>($AC1544*$AD1544)/(($Z1544/$Y1544)+($AA1544/$Z1544)+($AB1544/$AA1544))</f>
        <v>25.161290322580644</v>
      </c>
      <c r="U1544" s="109" t="s">
        <v>463</v>
      </c>
      <c r="V1544" s="2" t="s">
        <v>735</v>
      </c>
      <c r="W1544" s="2" t="s">
        <v>464</v>
      </c>
      <c r="Y1544" s="2">
        <v>2.5</v>
      </c>
      <c r="Z1544" s="2">
        <v>7.5</v>
      </c>
      <c r="AA1544" s="2">
        <v>30</v>
      </c>
      <c r="AB1544" s="2">
        <v>100</v>
      </c>
      <c r="AC1544" s="2">
        <v>13</v>
      </c>
      <c r="AD1544" s="2">
        <v>20</v>
      </c>
      <c r="AE1544" s="2">
        <f>AC1544*AD1544</f>
        <v>260</v>
      </c>
      <c r="AF1544" s="2">
        <f>Z1544/Y1544</f>
        <v>3</v>
      </c>
      <c r="AG1544" s="2">
        <f>AA1544/Z1544</f>
        <v>4</v>
      </c>
      <c r="AH1544" s="2">
        <f>AB1544/AA1544</f>
        <v>3.3333333333333335</v>
      </c>
    </row>
    <row r="1545" spans="1:34">
      <c r="A1545" s="165" t="s">
        <v>1383</v>
      </c>
      <c r="B1545" s="36" t="s">
        <v>63</v>
      </c>
      <c r="C1545" s="192">
        <v>46208</v>
      </c>
      <c r="D1545" s="144" t="s">
        <v>117</v>
      </c>
      <c r="E1545" s="14">
        <v>86</v>
      </c>
      <c r="F1545" s="8" t="s">
        <v>1003</v>
      </c>
      <c r="G1545" s="2">
        <v>3</v>
      </c>
      <c r="H1545" s="2">
        <v>9</v>
      </c>
      <c r="I1545" s="37">
        <v>600</v>
      </c>
      <c r="J1545" s="2" t="s">
        <v>763</v>
      </c>
      <c r="K1545" s="109" t="s">
        <v>601</v>
      </c>
      <c r="L1545" s="89">
        <v>60000</v>
      </c>
      <c r="M1545" s="202" t="s">
        <v>22</v>
      </c>
      <c r="N1545" s="39" t="s">
        <v>48</v>
      </c>
      <c r="O1545" s="39" t="s">
        <v>49</v>
      </c>
      <c r="P1545" s="210"/>
      <c r="Q1545" s="19">
        <f>R1545*I1545</f>
        <v>96</v>
      </c>
      <c r="R1545" s="15">
        <v>0.16</v>
      </c>
      <c r="S1545" s="5">
        <f>($AC1545*$AD1545)/(($Z1545/$Y1545)+($AA1545/$Z1545)+($AB1545/$AA1545))</f>
        <v>85.13513513513513</v>
      </c>
      <c r="U1545" s="109" t="s">
        <v>767</v>
      </c>
      <c r="V1545" s="2" t="s">
        <v>121</v>
      </c>
      <c r="W1545" s="205"/>
      <c r="Y1545" s="2">
        <v>2</v>
      </c>
      <c r="Z1545" s="2">
        <v>5</v>
      </c>
      <c r="AA1545" s="2">
        <v>12.5</v>
      </c>
      <c r="AB1545" s="2">
        <v>30</v>
      </c>
      <c r="AC1545" s="2">
        <v>30</v>
      </c>
      <c r="AD1545" s="2">
        <v>21</v>
      </c>
      <c r="AE1545" s="2">
        <f>AC1545*AD1545</f>
        <v>630</v>
      </c>
      <c r="AF1545" s="2">
        <f>Z1545/Y1545</f>
        <v>2.5</v>
      </c>
      <c r="AG1545" s="2">
        <f>AA1545/Z1545</f>
        <v>2.5</v>
      </c>
      <c r="AH1545" s="2">
        <f>AB1545/AA1545</f>
        <v>2.4</v>
      </c>
    </row>
    <row r="1546" spans="1:34">
      <c r="A1546" s="165" t="s">
        <v>1383</v>
      </c>
      <c r="B1546" s="36" t="s">
        <v>63</v>
      </c>
      <c r="C1546" s="192">
        <v>46208</v>
      </c>
      <c r="D1546" s="144" t="s">
        <v>120</v>
      </c>
      <c r="E1546" s="14">
        <v>82</v>
      </c>
      <c r="F1546" s="8" t="s">
        <v>1035</v>
      </c>
      <c r="G1546" s="2">
        <v>8</v>
      </c>
      <c r="H1546" s="2">
        <v>9</v>
      </c>
      <c r="I1546" s="45">
        <v>10000</v>
      </c>
      <c r="J1546" s="2" t="s">
        <v>110</v>
      </c>
      <c r="K1546" s="109" t="s">
        <v>737</v>
      </c>
      <c r="L1546" s="89">
        <v>60000</v>
      </c>
      <c r="M1546" s="202">
        <v>120</v>
      </c>
      <c r="N1546" s="39" t="s">
        <v>48</v>
      </c>
      <c r="O1546" s="39" t="s">
        <v>49</v>
      </c>
      <c r="P1546" s="130"/>
      <c r="Q1546" s="19">
        <f>R1546*I1546</f>
        <v>700.00000000000011</v>
      </c>
      <c r="R1546" s="15">
        <v>7.0000000000000007E-2</v>
      </c>
      <c r="S1546" s="5">
        <f>($AC1546*$AD1546)/(($Z1546/$Y1546)+($AA1546/$Z1546)+($AB1546/$AA1546))</f>
        <v>340.18691588785049</v>
      </c>
      <c r="U1546" s="109" t="s">
        <v>853</v>
      </c>
      <c r="V1546" s="205" t="s">
        <v>121</v>
      </c>
      <c r="W1546" s="205"/>
      <c r="Y1546" s="2">
        <v>2</v>
      </c>
      <c r="Z1546" s="2">
        <v>5</v>
      </c>
      <c r="AA1546" s="2">
        <v>13</v>
      </c>
      <c r="AB1546" s="2">
        <v>30</v>
      </c>
      <c r="AC1546" s="2">
        <v>120</v>
      </c>
      <c r="AD1546" s="2">
        <v>21</v>
      </c>
      <c r="AE1546" s="2">
        <f>AC1546*AD1546</f>
        <v>2520</v>
      </c>
      <c r="AF1546" s="2">
        <f>Z1546/Y1546</f>
        <v>2.5</v>
      </c>
      <c r="AG1546" s="2">
        <f>AA1546/Z1546</f>
        <v>2.6</v>
      </c>
      <c r="AH1546" s="2">
        <f>AB1546/AA1546</f>
        <v>2.3076923076923075</v>
      </c>
    </row>
    <row r="1547" spans="1:34">
      <c r="A1547" s="165" t="s">
        <v>1383</v>
      </c>
      <c r="B1547" s="39" t="s">
        <v>63</v>
      </c>
      <c r="C1547" s="223">
        <v>46209</v>
      </c>
      <c r="D1547" s="144">
        <v>0.33333333333333331</v>
      </c>
      <c r="E1547" s="8"/>
      <c r="F1547" s="8" t="s">
        <v>910</v>
      </c>
      <c r="G1547" s="2">
        <v>1</v>
      </c>
      <c r="H1547" s="2">
        <v>9</v>
      </c>
      <c r="I1547" s="45">
        <v>150</v>
      </c>
      <c r="J1547" s="2" t="s">
        <v>766</v>
      </c>
      <c r="K1547" s="88" t="s">
        <v>768</v>
      </c>
      <c r="L1547" s="89">
        <v>10000</v>
      </c>
      <c r="M1547" s="205">
        <v>10</v>
      </c>
      <c r="N1547" s="132" t="s">
        <v>821</v>
      </c>
      <c r="O1547" s="39" t="s">
        <v>49</v>
      </c>
      <c r="P1547" s="130"/>
      <c r="Q1547" s="19">
        <v>35</v>
      </c>
      <c r="R1547" s="15">
        <f>Q1547/I1547</f>
        <v>0.23333333333333334</v>
      </c>
      <c r="S1547" s="5">
        <f>($AC1547*$AD1547)/(($Z1547/$Y1547)+($AA1547/$Z1547)+($AB1547/$AA1547))</f>
        <v>9.9248120300751879</v>
      </c>
      <c r="U1547" s="109" t="s">
        <v>129</v>
      </c>
      <c r="V1547" s="83" t="s">
        <v>361</v>
      </c>
      <c r="W1547" s="153" t="s">
        <v>385</v>
      </c>
      <c r="Y1547" s="2">
        <v>2</v>
      </c>
      <c r="Z1547" s="2">
        <v>7.5</v>
      </c>
      <c r="AA1547" s="2">
        <v>25</v>
      </c>
      <c r="AB1547" s="2">
        <v>100</v>
      </c>
      <c r="AC1547" s="2">
        <v>11</v>
      </c>
      <c r="AD1547" s="2">
        <v>10</v>
      </c>
      <c r="AE1547" s="2">
        <f>AC1547*AD1547</f>
        <v>110</v>
      </c>
      <c r="AF1547" s="2">
        <f>Z1547/Y1547</f>
        <v>3.75</v>
      </c>
      <c r="AG1547" s="2">
        <f>AA1547/Z1547</f>
        <v>3.3333333333333335</v>
      </c>
      <c r="AH1547" s="2">
        <f>AB1547/AA1547</f>
        <v>4</v>
      </c>
    </row>
    <row r="1548" spans="1:34">
      <c r="A1548" s="165" t="s">
        <v>1383</v>
      </c>
      <c r="B1548" s="39" t="s">
        <v>63</v>
      </c>
      <c r="C1548" s="192">
        <v>46209</v>
      </c>
      <c r="D1548" s="144">
        <v>0.33333333333333331</v>
      </c>
      <c r="E1548" s="193"/>
      <c r="F1548" s="8" t="s">
        <v>907</v>
      </c>
      <c r="G1548" s="2">
        <v>1</v>
      </c>
      <c r="H1548" s="2">
        <v>9</v>
      </c>
      <c r="I1548" s="45">
        <v>1100</v>
      </c>
      <c r="J1548" s="2" t="s">
        <v>766</v>
      </c>
      <c r="K1548" s="88" t="s">
        <v>768</v>
      </c>
      <c r="L1548" s="89">
        <v>15000</v>
      </c>
      <c r="M1548" s="209">
        <v>10</v>
      </c>
      <c r="N1548" s="132" t="s">
        <v>821</v>
      </c>
      <c r="O1548" s="39" t="s">
        <v>49</v>
      </c>
      <c r="P1548" s="130"/>
      <c r="Q1548" s="19">
        <f>88+37</f>
        <v>125</v>
      </c>
      <c r="R1548" s="15">
        <f>Q1548/I1548</f>
        <v>0.11363636363636363</v>
      </c>
      <c r="S1548" s="5">
        <v>11</v>
      </c>
      <c r="U1548" s="109" t="s">
        <v>129</v>
      </c>
      <c r="V1548" s="71" t="s">
        <v>362</v>
      </c>
      <c r="W1548" s="8" t="s">
        <v>370</v>
      </c>
      <c r="Y1548" s="175"/>
      <c r="Z1548" s="175"/>
      <c r="AA1548" s="175"/>
      <c r="AB1548" s="175"/>
      <c r="AC1548" s="175"/>
      <c r="AD1548" s="175"/>
      <c r="AE1548" s="175"/>
      <c r="AF1548" s="175"/>
      <c r="AG1548" s="175"/>
      <c r="AH1548" s="175"/>
    </row>
    <row r="1549" spans="1:34">
      <c r="A1549" s="165" t="s">
        <v>1383</v>
      </c>
      <c r="B1549" s="39" t="s">
        <v>63</v>
      </c>
      <c r="C1549" s="192">
        <v>46209</v>
      </c>
      <c r="D1549" s="144">
        <v>0.41666666666666669</v>
      </c>
      <c r="E1549" s="193"/>
      <c r="F1549" s="8" t="s">
        <v>918</v>
      </c>
      <c r="G1549" s="2">
        <v>1</v>
      </c>
      <c r="H1549" s="2">
        <v>9</v>
      </c>
      <c r="I1549" s="57">
        <v>585</v>
      </c>
      <c r="J1549" s="2" t="s">
        <v>766</v>
      </c>
      <c r="K1549" s="88" t="s">
        <v>770</v>
      </c>
      <c r="L1549" s="89">
        <v>10000</v>
      </c>
      <c r="M1549" s="202">
        <v>20</v>
      </c>
      <c r="N1549" s="132" t="s">
        <v>821</v>
      </c>
      <c r="O1549" s="39" t="s">
        <v>49</v>
      </c>
      <c r="Q1549" s="19">
        <v>85</v>
      </c>
      <c r="R1549" s="59">
        <f>Q1549/I1549</f>
        <v>0.14529914529914531</v>
      </c>
      <c r="S1549" s="5">
        <v>20</v>
      </c>
      <c r="U1549" s="109" t="s">
        <v>767</v>
      </c>
      <c r="V1549" s="83" t="s">
        <v>362</v>
      </c>
      <c r="W1549" s="8" t="s">
        <v>386</v>
      </c>
      <c r="Y1549" s="175"/>
      <c r="Z1549" s="175"/>
      <c r="AA1549" s="175"/>
      <c r="AB1549" s="175"/>
      <c r="AC1549" s="175"/>
      <c r="AD1549" s="175"/>
      <c r="AE1549" s="175"/>
      <c r="AF1549" s="175"/>
      <c r="AG1549" s="175"/>
      <c r="AH1549" s="175"/>
    </row>
    <row r="1550" spans="1:34">
      <c r="A1550" s="96" t="s">
        <v>461</v>
      </c>
      <c r="B1550" s="96" t="s">
        <v>462</v>
      </c>
      <c r="C1550" s="192">
        <v>46209</v>
      </c>
      <c r="D1550" s="42">
        <v>0.4236111111111111</v>
      </c>
      <c r="E1550" s="193"/>
      <c r="F1550" s="8" t="s">
        <v>467</v>
      </c>
      <c r="G1550" s="2">
        <v>2</v>
      </c>
      <c r="I1550" s="126">
        <v>300</v>
      </c>
      <c r="J1550" s="2" t="s">
        <v>766</v>
      </c>
      <c r="K1550" s="109" t="s">
        <v>598</v>
      </c>
      <c r="L1550" s="8">
        <v>30000</v>
      </c>
      <c r="M1550" s="202">
        <v>30</v>
      </c>
      <c r="N1550" s="39" t="s">
        <v>48</v>
      </c>
      <c r="O1550" s="39" t="s">
        <v>49</v>
      </c>
      <c r="P1550" s="211" t="s">
        <v>842</v>
      </c>
      <c r="Q1550" s="19">
        <v>65</v>
      </c>
      <c r="R1550" s="15">
        <f>Q1550/I1550</f>
        <v>0.21666666666666667</v>
      </c>
      <c r="S1550" s="5">
        <f>($AC1550*$AD1550)/(($Z1550/$Y1550)+($AA1550/$Z1550)+($AB1550/$AA1550))</f>
        <v>53.333333333333336</v>
      </c>
      <c r="U1550" s="109" t="s">
        <v>767</v>
      </c>
      <c r="V1550" s="205" t="s">
        <v>735</v>
      </c>
      <c r="W1550" s="205"/>
      <c r="Y1550" s="2">
        <v>2</v>
      </c>
      <c r="Z1550" s="2">
        <v>5</v>
      </c>
      <c r="AA1550" s="2">
        <v>20</v>
      </c>
      <c r="AB1550" s="2">
        <v>50</v>
      </c>
      <c r="AC1550" s="2">
        <v>16</v>
      </c>
      <c r="AD1550" s="2">
        <v>30</v>
      </c>
      <c r="AE1550" s="2">
        <f>AC1550*AD1550</f>
        <v>480</v>
      </c>
      <c r="AF1550" s="2">
        <f>Z1550/Y1550</f>
        <v>2.5</v>
      </c>
      <c r="AG1550" s="2">
        <f>AA1550/Z1550</f>
        <v>4</v>
      </c>
      <c r="AH1550" s="2">
        <f>AB1550/AA1550</f>
        <v>2.5</v>
      </c>
    </row>
    <row r="1551" spans="1:34">
      <c r="A1551" s="68" t="s">
        <v>357</v>
      </c>
      <c r="B1551" s="68" t="s">
        <v>358</v>
      </c>
      <c r="C1551" s="48">
        <v>46209</v>
      </c>
      <c r="D1551" s="42">
        <v>0.4236111111111111</v>
      </c>
      <c r="E1551" s="8">
        <v>81</v>
      </c>
      <c r="F1551" s="63" t="s">
        <v>329</v>
      </c>
      <c r="G1551" s="2">
        <v>1</v>
      </c>
      <c r="H1551" s="2">
        <v>9</v>
      </c>
      <c r="I1551" s="125">
        <v>1100</v>
      </c>
      <c r="J1551" s="2" t="s">
        <v>766</v>
      </c>
      <c r="K1551" s="137" t="s">
        <v>816</v>
      </c>
      <c r="L1551" s="89">
        <v>40000</v>
      </c>
      <c r="M1551" s="54">
        <v>30</v>
      </c>
      <c r="N1551" s="39" t="s">
        <v>48</v>
      </c>
      <c r="O1551" s="39" t="s">
        <v>49</v>
      </c>
      <c r="P1551" s="135" t="s">
        <v>840</v>
      </c>
      <c r="Q1551" s="19">
        <v>135</v>
      </c>
      <c r="R1551" s="15">
        <f>Q1551/I1551</f>
        <v>0.12272727272727273</v>
      </c>
      <c r="S1551" s="5">
        <f>($AC1551*$AD1551)/(($Z1551/$Y1551)+($AA1551/$Z1551)+($AB1551/$AA1551))</f>
        <v>71.293161814488826</v>
      </c>
      <c r="U1551" s="109" t="s">
        <v>219</v>
      </c>
      <c r="V1551" s="2" t="s">
        <v>699</v>
      </c>
      <c r="W1551" s="87" t="s">
        <v>389</v>
      </c>
      <c r="Y1551" s="2">
        <v>2.5</v>
      </c>
      <c r="Z1551" s="2">
        <v>6.5</v>
      </c>
      <c r="AA1551" s="2">
        <v>15</v>
      </c>
      <c r="AB1551" s="2">
        <v>40</v>
      </c>
      <c r="AC1551" s="2">
        <v>30</v>
      </c>
      <c r="AD1551" s="2">
        <v>18</v>
      </c>
      <c r="AE1551" s="2">
        <f>AC1551*AD1551</f>
        <v>540</v>
      </c>
      <c r="AF1551" s="2">
        <f>Z1551/Y1551</f>
        <v>2.6</v>
      </c>
      <c r="AG1551" s="2">
        <f>AA1551/Z1551</f>
        <v>2.3076923076923075</v>
      </c>
      <c r="AH1551" s="2">
        <f>AB1551/AA1551</f>
        <v>2.6666666666666665</v>
      </c>
    </row>
    <row r="1552" spans="1:34">
      <c r="A1552" s="95" t="s">
        <v>447</v>
      </c>
      <c r="B1552" s="95" t="s">
        <v>448</v>
      </c>
      <c r="C1552" s="40">
        <v>46209</v>
      </c>
      <c r="D1552" s="42">
        <v>0.45833333333333331</v>
      </c>
      <c r="E1552" s="193"/>
      <c r="F1552" s="8" t="s">
        <v>440</v>
      </c>
      <c r="G1552" s="2">
        <v>1</v>
      </c>
      <c r="H1552" s="2">
        <v>9</v>
      </c>
      <c r="I1552" s="126">
        <v>1100</v>
      </c>
      <c r="J1552" s="2" t="s">
        <v>766</v>
      </c>
      <c r="K1552" s="109" t="s">
        <v>602</v>
      </c>
      <c r="L1552" s="8">
        <v>30000</v>
      </c>
      <c r="M1552" s="8">
        <v>30</v>
      </c>
      <c r="N1552" s="39" t="s">
        <v>48</v>
      </c>
      <c r="O1552" s="39" t="s">
        <v>49</v>
      </c>
      <c r="P1552" s="211" t="s">
        <v>841</v>
      </c>
      <c r="Q1552" s="19">
        <v>135</v>
      </c>
      <c r="R1552" s="15">
        <f>Q1552/I1552</f>
        <v>0.12272727272727273</v>
      </c>
      <c r="S1552" s="5">
        <f>($AC1552*$AD1552)/(($Z1552/$Y1552)+($AA1552/$Z1552)+($AB1552/$AA1552))</f>
        <v>72.897196261682254</v>
      </c>
      <c r="U1552" s="109" t="s">
        <v>767</v>
      </c>
      <c r="V1552" s="205" t="s">
        <v>741</v>
      </c>
      <c r="Y1552" s="2">
        <v>2</v>
      </c>
      <c r="Z1552" s="2">
        <v>5</v>
      </c>
      <c r="AA1552" s="2">
        <v>13</v>
      </c>
      <c r="AB1552" s="2">
        <v>30</v>
      </c>
      <c r="AC1552" s="2">
        <v>18</v>
      </c>
      <c r="AD1552" s="2">
        <v>30</v>
      </c>
      <c r="AE1552" s="2">
        <f>AC1552*AD1552</f>
        <v>540</v>
      </c>
      <c r="AF1552" s="2">
        <f>Z1552/Y1552</f>
        <v>2.5</v>
      </c>
      <c r="AG1552" s="2">
        <f>AA1552/Z1552</f>
        <v>2.6</v>
      </c>
      <c r="AH1552" s="2">
        <f>AB1552/AA1552</f>
        <v>2.3076923076923075</v>
      </c>
    </row>
    <row r="1553" spans="1:34">
      <c r="A1553" s="102" t="s">
        <v>475</v>
      </c>
      <c r="B1553" s="102" t="s">
        <v>476</v>
      </c>
      <c r="C1553" s="40">
        <v>46209</v>
      </c>
      <c r="D1553" s="42">
        <v>0.45833333333333331</v>
      </c>
      <c r="E1553" s="8">
        <v>48</v>
      </c>
      <c r="F1553" s="8" t="s">
        <v>498</v>
      </c>
      <c r="G1553" s="2">
        <v>1</v>
      </c>
      <c r="H1553" s="2">
        <v>9</v>
      </c>
      <c r="I1553" s="126">
        <v>400</v>
      </c>
      <c r="J1553" s="2" t="s">
        <v>766</v>
      </c>
      <c r="K1553" s="109" t="s">
        <v>601</v>
      </c>
      <c r="L1553" s="105">
        <v>30000</v>
      </c>
      <c r="M1553" s="64">
        <v>30</v>
      </c>
      <c r="N1553" s="39" t="s">
        <v>48</v>
      </c>
      <c r="O1553" s="39" t="s">
        <v>49</v>
      </c>
      <c r="P1553" s="212" t="s">
        <v>834</v>
      </c>
      <c r="Q1553" s="19">
        <v>70</v>
      </c>
      <c r="R1553" s="15">
        <f>Q1553/I1553</f>
        <v>0.17499999999999999</v>
      </c>
      <c r="S1553" s="5">
        <f>($AC1553*$AD1553)/(($Z1553/$Y1553)+($AA1553/$Z1553)+($AB1553/$AA1553))</f>
        <v>72.897196261682254</v>
      </c>
      <c r="U1553" s="109" t="s">
        <v>55</v>
      </c>
      <c r="V1553" s="2" t="s">
        <v>609</v>
      </c>
      <c r="Y1553" s="2">
        <v>2</v>
      </c>
      <c r="Z1553" s="2">
        <v>5</v>
      </c>
      <c r="AA1553" s="2">
        <v>13</v>
      </c>
      <c r="AB1553" s="2">
        <v>30</v>
      </c>
      <c r="AC1553" s="2">
        <v>30</v>
      </c>
      <c r="AD1553" s="2">
        <v>18</v>
      </c>
      <c r="AE1553" s="2">
        <f>AC1553*AD1553</f>
        <v>540</v>
      </c>
      <c r="AF1553" s="2">
        <f>Z1553/Y1553</f>
        <v>2.5</v>
      </c>
      <c r="AG1553" s="2">
        <f>AA1553/Z1553</f>
        <v>2.6</v>
      </c>
      <c r="AH1553" s="2">
        <f>AB1553/AA1553</f>
        <v>2.3076923076923075</v>
      </c>
    </row>
    <row r="1554" spans="1:34">
      <c r="A1554" s="52" t="s">
        <v>229</v>
      </c>
      <c r="B1554" s="52" t="s">
        <v>230</v>
      </c>
      <c r="C1554" s="40">
        <v>46209</v>
      </c>
      <c r="D1554" s="42">
        <v>0.45833333333333331</v>
      </c>
      <c r="E1554" s="193"/>
      <c r="F1554" s="8" t="s">
        <v>242</v>
      </c>
      <c r="G1554" s="2">
        <v>1</v>
      </c>
      <c r="I1554" s="125">
        <v>200</v>
      </c>
      <c r="J1554" s="2" t="s">
        <v>766</v>
      </c>
      <c r="K1554" s="88" t="s">
        <v>775</v>
      </c>
      <c r="L1554" s="90">
        <v>25000</v>
      </c>
      <c r="M1554" s="46" t="s">
        <v>128</v>
      </c>
      <c r="N1554" s="39" t="s">
        <v>48</v>
      </c>
      <c r="O1554" s="39" t="s">
        <v>49</v>
      </c>
      <c r="P1554" s="135" t="s">
        <v>832</v>
      </c>
      <c r="Q1554" s="19">
        <v>40</v>
      </c>
      <c r="R1554" s="15">
        <f>IF(Q1554&gt;0,Q1554/I1554,"")</f>
        <v>0.2</v>
      </c>
      <c r="S1554" s="5">
        <f>($AC1554*$AD1554)/(($Z1554/$Y1554)+($AA1554/$Z1554)+($AB1554/$AA1554))</f>
        <v>28.333333333333332</v>
      </c>
      <c r="U1554" s="109" t="s">
        <v>767</v>
      </c>
      <c r="V1554" s="205" t="s">
        <v>719</v>
      </c>
      <c r="Y1554" s="2">
        <v>2</v>
      </c>
      <c r="Z1554" s="2">
        <v>5</v>
      </c>
      <c r="AA1554" s="2">
        <v>20</v>
      </c>
      <c r="AB1554" s="2">
        <v>50</v>
      </c>
      <c r="AC1554" s="2">
        <v>255</v>
      </c>
      <c r="AD1554" s="2">
        <v>1</v>
      </c>
      <c r="AE1554" s="2">
        <f>AC1554*AD1554</f>
        <v>255</v>
      </c>
      <c r="AF1554" s="2">
        <f>Z1554/Y1554</f>
        <v>2.5</v>
      </c>
      <c r="AG1554" s="2">
        <f>AA1554/Z1554</f>
        <v>4</v>
      </c>
      <c r="AH1554" s="2">
        <f>AB1554/AA1554</f>
        <v>2.5</v>
      </c>
    </row>
    <row r="1555" spans="1:34">
      <c r="A1555" s="52" t="s">
        <v>220</v>
      </c>
      <c r="B1555" s="52" t="s">
        <v>221</v>
      </c>
      <c r="C1555" s="48">
        <v>46209</v>
      </c>
      <c r="D1555" s="42">
        <v>0.45833333333333331</v>
      </c>
      <c r="E1555" s="193"/>
      <c r="F1555" s="8" t="s">
        <v>1077</v>
      </c>
      <c r="G1555" s="2">
        <v>2</v>
      </c>
      <c r="H1555" s="2">
        <v>9</v>
      </c>
      <c r="I1555" s="126">
        <v>1600</v>
      </c>
      <c r="J1555" s="2" t="s">
        <v>766</v>
      </c>
      <c r="K1555" s="88" t="s">
        <v>791</v>
      </c>
      <c r="L1555" s="90">
        <v>40000</v>
      </c>
      <c r="M1555" s="64">
        <v>40</v>
      </c>
      <c r="N1555" s="39" t="s">
        <v>48</v>
      </c>
      <c r="O1555" s="39" t="s">
        <v>49</v>
      </c>
      <c r="P1555" s="211" t="s">
        <v>846</v>
      </c>
      <c r="Q1555" s="19">
        <v>170</v>
      </c>
      <c r="R1555" s="15">
        <f>Q1555/I1555</f>
        <v>0.10625</v>
      </c>
      <c r="S1555" s="5">
        <f>($AC1555*$AD1555)/(($Z1555/$Y1555)+($AA1555/$Z1555)+($AB1555/$AA1555))</f>
        <v>102.59605399792316</v>
      </c>
      <c r="U1555" s="109" t="s">
        <v>219</v>
      </c>
      <c r="V1555" s="205" t="s">
        <v>738</v>
      </c>
      <c r="W1555" s="205"/>
      <c r="Y1555" s="2">
        <v>2</v>
      </c>
      <c r="Z1555" s="2">
        <v>5</v>
      </c>
      <c r="AA1555" s="2">
        <v>13</v>
      </c>
      <c r="AB1555" s="2">
        <v>30</v>
      </c>
      <c r="AC1555" s="2">
        <v>19</v>
      </c>
      <c r="AD1555" s="2">
        <v>40</v>
      </c>
      <c r="AE1555" s="2">
        <f>AC1555*AD1555</f>
        <v>760</v>
      </c>
      <c r="AF1555" s="2">
        <f>Z1555/Y1555</f>
        <v>2.5</v>
      </c>
      <c r="AG1555" s="2">
        <f>AA1555/Z1555</f>
        <v>2.6</v>
      </c>
      <c r="AH1555" s="2">
        <f>AB1555/AA1555</f>
        <v>2.3076923076923075</v>
      </c>
    </row>
    <row r="1556" spans="1:34">
      <c r="A1556" s="95" t="s">
        <v>447</v>
      </c>
      <c r="B1556" s="95" t="s">
        <v>448</v>
      </c>
      <c r="C1556" s="40">
        <v>46209</v>
      </c>
      <c r="D1556" s="42">
        <v>0.5</v>
      </c>
      <c r="E1556" s="193"/>
      <c r="F1556" s="8" t="s">
        <v>1325</v>
      </c>
      <c r="G1556" s="2">
        <v>2</v>
      </c>
      <c r="H1556" s="2">
        <v>8</v>
      </c>
      <c r="I1556" s="126">
        <v>2200</v>
      </c>
      <c r="J1556" s="2" t="s">
        <v>766</v>
      </c>
      <c r="K1556" s="109" t="s">
        <v>598</v>
      </c>
      <c r="L1556" s="194">
        <v>40000</v>
      </c>
      <c r="M1556" s="8">
        <v>40</v>
      </c>
      <c r="N1556" s="39" t="s">
        <v>48</v>
      </c>
      <c r="O1556" s="39" t="s">
        <v>57</v>
      </c>
      <c r="P1556" s="197">
        <v>1000000</v>
      </c>
      <c r="Q1556" s="2">
        <v>200</v>
      </c>
      <c r="R1556" s="15">
        <f>Q1556/I1556</f>
        <v>9.0909090909090912E-2</v>
      </c>
      <c r="S1556" s="176" t="s">
        <v>110</v>
      </c>
      <c r="T1556" s="176"/>
      <c r="U1556" s="109" t="s">
        <v>767</v>
      </c>
      <c r="V1556" s="2" t="s">
        <v>741</v>
      </c>
      <c r="W1556" s="205"/>
      <c r="AE1556" s="2">
        <f>AC1556*AD1556</f>
        <v>0</v>
      </c>
      <c r="AF1556" s="2" t="e">
        <f>Z1556/Y1556</f>
        <v>#DIV/0!</v>
      </c>
      <c r="AG1556" s="2" t="e">
        <f>AA1556/Z1556</f>
        <v>#DIV/0!</v>
      </c>
      <c r="AH1556" s="2" t="e">
        <f>AB1556/AA1556</f>
        <v>#DIV/0!</v>
      </c>
    </row>
    <row r="1557" spans="1:34">
      <c r="A1557" s="52" t="s">
        <v>229</v>
      </c>
      <c r="B1557" s="52" t="s">
        <v>230</v>
      </c>
      <c r="C1557" s="40">
        <v>46209</v>
      </c>
      <c r="D1557" s="42">
        <v>0.5</v>
      </c>
      <c r="E1557" s="193"/>
      <c r="F1557" s="8" t="s">
        <v>274</v>
      </c>
      <c r="G1557" s="2">
        <v>1</v>
      </c>
      <c r="I1557" s="126">
        <v>400</v>
      </c>
      <c r="J1557" s="2" t="s">
        <v>766</v>
      </c>
      <c r="K1557" s="185" t="s">
        <v>601</v>
      </c>
      <c r="L1557" s="90">
        <v>35000</v>
      </c>
      <c r="M1557" s="8">
        <v>30</v>
      </c>
      <c r="N1557" s="39" t="s">
        <v>48</v>
      </c>
      <c r="O1557" s="39" t="s">
        <v>274</v>
      </c>
      <c r="P1557" s="66">
        <v>30000</v>
      </c>
      <c r="Q1557" s="2">
        <v>60</v>
      </c>
      <c r="R1557" s="15">
        <f>IF(Q1557&gt;0,Q1557/I1557,"")</f>
        <v>0.15</v>
      </c>
      <c r="S1557" s="149" t="s">
        <v>110</v>
      </c>
      <c r="T1557" s="149"/>
      <c r="U1557" s="109" t="s">
        <v>767</v>
      </c>
      <c r="V1557" s="2" t="s">
        <v>719</v>
      </c>
      <c r="W1557" s="205"/>
      <c r="AE1557" s="2">
        <f>AC1557*AD1557</f>
        <v>0</v>
      </c>
      <c r="AF1557" s="2" t="e">
        <f>Z1557/Y1557</f>
        <v>#DIV/0!</v>
      </c>
      <c r="AG1557" s="2" t="e">
        <f>AA1557/Z1557</f>
        <v>#DIV/0!</v>
      </c>
      <c r="AH1557" s="2" t="e">
        <f>AB1557/AA1557</f>
        <v>#DIV/0!</v>
      </c>
    </row>
    <row r="1558" spans="1:34">
      <c r="A1558" s="165" t="s">
        <v>1383</v>
      </c>
      <c r="B1558" s="39" t="s">
        <v>63</v>
      </c>
      <c r="C1558" s="192">
        <v>46209</v>
      </c>
      <c r="D1558" s="144">
        <v>0.54166666666666663</v>
      </c>
      <c r="E1558" s="8"/>
      <c r="F1558" s="8" t="s">
        <v>881</v>
      </c>
      <c r="G1558" s="2">
        <v>1</v>
      </c>
      <c r="H1558" s="2">
        <v>9</v>
      </c>
      <c r="I1558" s="45">
        <v>250</v>
      </c>
      <c r="J1558" s="2" t="s">
        <v>766</v>
      </c>
      <c r="K1558" s="88" t="s">
        <v>787</v>
      </c>
      <c r="L1558" s="89">
        <v>25000</v>
      </c>
      <c r="M1558" s="205">
        <v>30</v>
      </c>
      <c r="N1558" s="39" t="s">
        <v>817</v>
      </c>
      <c r="O1558" s="39" t="s">
        <v>49</v>
      </c>
      <c r="P1558" s="210"/>
      <c r="Q1558" s="19">
        <v>50</v>
      </c>
      <c r="R1558" s="15">
        <f>Q1558/I1558</f>
        <v>0.2</v>
      </c>
      <c r="S1558" s="5">
        <v>44</v>
      </c>
      <c r="U1558" s="109" t="s">
        <v>767</v>
      </c>
      <c r="V1558" s="71" t="s">
        <v>360</v>
      </c>
      <c r="Y1558" s="175"/>
      <c r="Z1558" s="175"/>
      <c r="AA1558" s="175"/>
      <c r="AB1558" s="175"/>
      <c r="AC1558" s="175"/>
      <c r="AD1558" s="175"/>
      <c r="AE1558" s="175"/>
      <c r="AF1558" s="175"/>
      <c r="AG1558" s="175"/>
      <c r="AH1558" s="175"/>
    </row>
    <row r="1559" spans="1:34">
      <c r="A1559" s="165" t="s">
        <v>1383</v>
      </c>
      <c r="B1559" s="39" t="s">
        <v>63</v>
      </c>
      <c r="C1559" s="192">
        <v>46209</v>
      </c>
      <c r="D1559" s="144">
        <v>0.54166666666666663</v>
      </c>
      <c r="E1559" s="193"/>
      <c r="F1559" s="8" t="s">
        <v>906</v>
      </c>
      <c r="G1559" s="2">
        <v>1</v>
      </c>
      <c r="H1559" s="2">
        <v>9</v>
      </c>
      <c r="I1559" s="45">
        <v>1100</v>
      </c>
      <c r="J1559" s="2" t="s">
        <v>766</v>
      </c>
      <c r="K1559" s="88" t="s">
        <v>776</v>
      </c>
      <c r="L1559" s="89">
        <v>15000</v>
      </c>
      <c r="M1559" s="209" t="s">
        <v>128</v>
      </c>
      <c r="N1559" s="132" t="s">
        <v>821</v>
      </c>
      <c r="O1559" s="39" t="s">
        <v>49</v>
      </c>
      <c r="P1559" s="210"/>
      <c r="Q1559" s="19">
        <f>88+37</f>
        <v>125</v>
      </c>
      <c r="R1559" s="15">
        <f>Q1559/I1559</f>
        <v>0.11363636363636363</v>
      </c>
      <c r="S1559" s="5">
        <v>24</v>
      </c>
      <c r="U1559" s="109" t="s">
        <v>767</v>
      </c>
      <c r="V1559" s="71" t="s">
        <v>362</v>
      </c>
      <c r="W1559" s="8" t="s">
        <v>370</v>
      </c>
      <c r="Y1559" s="175"/>
      <c r="Z1559" s="175"/>
      <c r="AA1559" s="175"/>
      <c r="AB1559" s="175"/>
      <c r="AC1559" s="175"/>
      <c r="AD1559" s="175"/>
      <c r="AE1559" s="175"/>
      <c r="AF1559" s="175"/>
      <c r="AG1559" s="175"/>
      <c r="AH1559" s="175"/>
    </row>
    <row r="1560" spans="1:34">
      <c r="A1560" s="165" t="s">
        <v>1383</v>
      </c>
      <c r="B1560" s="39" t="s">
        <v>63</v>
      </c>
      <c r="C1560" s="192">
        <v>46209</v>
      </c>
      <c r="D1560" s="144">
        <v>0.58333333333333337</v>
      </c>
      <c r="E1560" s="193"/>
      <c r="F1560" s="8" t="s">
        <v>913</v>
      </c>
      <c r="G1560" s="2">
        <v>1</v>
      </c>
      <c r="H1560" s="2">
        <v>9</v>
      </c>
      <c r="I1560" s="45">
        <v>260</v>
      </c>
      <c r="J1560" s="2" t="s">
        <v>766</v>
      </c>
      <c r="K1560" s="88" t="s">
        <v>776</v>
      </c>
      <c r="L1560" s="89">
        <v>10000</v>
      </c>
      <c r="M1560" s="54">
        <v>10</v>
      </c>
      <c r="N1560" s="132" t="s">
        <v>821</v>
      </c>
      <c r="O1560" s="39" t="s">
        <v>49</v>
      </c>
      <c r="P1560" s="210"/>
      <c r="Q1560" s="19">
        <v>40</v>
      </c>
      <c r="R1560" s="15">
        <f>Q1560/I1560</f>
        <v>0.15384615384615385</v>
      </c>
      <c r="S1560" s="5">
        <f>($AC1560*$AD1560)/(($Z1560/$Y1560)+($AA1560/$Z1560)+($AB1560/$AA1560))</f>
        <v>9.9248120300751879</v>
      </c>
      <c r="U1560" s="137" t="s">
        <v>129</v>
      </c>
      <c r="V1560" s="83" t="s">
        <v>362</v>
      </c>
      <c r="W1560" s="8" t="s">
        <v>387</v>
      </c>
      <c r="Y1560" s="2">
        <v>2</v>
      </c>
      <c r="Z1560" s="2">
        <v>7.5</v>
      </c>
      <c r="AA1560" s="2">
        <v>25</v>
      </c>
      <c r="AB1560" s="2">
        <v>100</v>
      </c>
      <c r="AC1560" s="2">
        <v>11</v>
      </c>
      <c r="AD1560" s="2">
        <v>10</v>
      </c>
      <c r="AE1560" s="2">
        <f>AC1560*AD1560</f>
        <v>110</v>
      </c>
      <c r="AF1560" s="2">
        <f>Z1560/Y1560</f>
        <v>3.75</v>
      </c>
      <c r="AG1560" s="2">
        <f>AA1560/Z1560</f>
        <v>3.3333333333333335</v>
      </c>
      <c r="AH1560" s="2">
        <f>AB1560/AA1560</f>
        <v>4</v>
      </c>
    </row>
    <row r="1561" spans="1:34">
      <c r="A1561" s="96" t="s">
        <v>461</v>
      </c>
      <c r="B1561" s="96" t="s">
        <v>462</v>
      </c>
      <c r="C1561" s="192">
        <v>46209</v>
      </c>
      <c r="D1561" s="42">
        <v>0.59027777777777779</v>
      </c>
      <c r="F1561" s="8" t="s">
        <v>455</v>
      </c>
      <c r="G1561" s="2">
        <v>1</v>
      </c>
      <c r="I1561" s="125">
        <v>120</v>
      </c>
      <c r="J1561" s="2" t="s">
        <v>766</v>
      </c>
      <c r="K1561" s="109" t="s">
        <v>603</v>
      </c>
      <c r="L1561" s="8">
        <v>20000</v>
      </c>
      <c r="M1561" s="202">
        <v>20</v>
      </c>
      <c r="N1561" s="39" t="s">
        <v>736</v>
      </c>
      <c r="O1561" s="39" t="s">
        <v>49</v>
      </c>
      <c r="P1561" s="135" t="s">
        <v>829</v>
      </c>
      <c r="Q1561" s="19">
        <v>24</v>
      </c>
      <c r="R1561" s="15">
        <f>Q1561/I1561</f>
        <v>0.2</v>
      </c>
      <c r="S1561" s="178" t="s">
        <v>110</v>
      </c>
      <c r="T1561" s="120"/>
      <c r="U1561" s="109" t="s">
        <v>736</v>
      </c>
      <c r="V1561" s="2" t="s">
        <v>735</v>
      </c>
      <c r="AE1561" s="2">
        <f>AC1561*AD1561</f>
        <v>0</v>
      </c>
      <c r="AF1561" s="2" t="e">
        <f>Z1561/Y1561</f>
        <v>#DIV/0!</v>
      </c>
      <c r="AG1561" s="2" t="e">
        <f>AA1561/Z1561</f>
        <v>#DIV/0!</v>
      </c>
      <c r="AH1561" s="2" t="e">
        <f>AB1561/AA1561</f>
        <v>#DIV/0!</v>
      </c>
    </row>
    <row r="1562" spans="1:34">
      <c r="A1562" s="68" t="s">
        <v>357</v>
      </c>
      <c r="B1562" s="68" t="s">
        <v>358</v>
      </c>
      <c r="C1562" s="40">
        <v>46209</v>
      </c>
      <c r="D1562" s="42">
        <v>0.59027777777777779</v>
      </c>
      <c r="E1562" s="8">
        <v>82</v>
      </c>
      <c r="F1562" s="63" t="s">
        <v>331</v>
      </c>
      <c r="G1562" s="2">
        <v>2</v>
      </c>
      <c r="H1562" s="2">
        <v>8</v>
      </c>
      <c r="I1562" s="133">
        <v>2200</v>
      </c>
      <c r="J1562" s="2" t="s">
        <v>766</v>
      </c>
      <c r="K1562" s="137" t="s">
        <v>601</v>
      </c>
      <c r="L1562" s="89">
        <v>40000</v>
      </c>
      <c r="M1562" s="202">
        <v>40</v>
      </c>
      <c r="N1562" s="39" t="s">
        <v>48</v>
      </c>
      <c r="O1562" s="39" t="s">
        <v>57</v>
      </c>
      <c r="P1562" s="234">
        <v>500000</v>
      </c>
      <c r="Q1562" s="2">
        <v>200</v>
      </c>
      <c r="R1562" s="15">
        <f>Q1562/I1562</f>
        <v>9.0909090909090912E-2</v>
      </c>
      <c r="S1562" s="149" t="s">
        <v>110</v>
      </c>
      <c r="T1562" s="149"/>
      <c r="U1562" s="109" t="s">
        <v>219</v>
      </c>
      <c r="V1562" s="2" t="s">
        <v>700</v>
      </c>
      <c r="W1562" s="109" t="s">
        <v>701</v>
      </c>
      <c r="AE1562" s="2">
        <f>AC1562*AD1562</f>
        <v>0</v>
      </c>
      <c r="AF1562" s="2" t="e">
        <f>Z1562/Y1562</f>
        <v>#DIV/0!</v>
      </c>
      <c r="AG1562" s="2" t="e">
        <f>AA1562/Z1562</f>
        <v>#DIV/0!</v>
      </c>
      <c r="AH1562" s="2" t="e">
        <f>AB1562/AA1562</f>
        <v>#DIV/0!</v>
      </c>
    </row>
    <row r="1563" spans="1:34">
      <c r="A1563" s="165" t="s">
        <v>1383</v>
      </c>
      <c r="B1563" s="39" t="s">
        <v>63</v>
      </c>
      <c r="C1563" s="192">
        <v>46209</v>
      </c>
      <c r="D1563" s="144">
        <v>0.625</v>
      </c>
      <c r="E1563" s="193"/>
      <c r="F1563" s="8" t="s">
        <v>912</v>
      </c>
      <c r="G1563" s="2">
        <v>1</v>
      </c>
      <c r="H1563" s="2">
        <v>9</v>
      </c>
      <c r="I1563" s="45">
        <v>240</v>
      </c>
      <c r="J1563" s="2" t="s">
        <v>766</v>
      </c>
      <c r="K1563" s="88" t="s">
        <v>784</v>
      </c>
      <c r="L1563" s="89">
        <v>10000</v>
      </c>
      <c r="M1563" s="202">
        <v>20</v>
      </c>
      <c r="N1563" s="132" t="s">
        <v>821</v>
      </c>
      <c r="O1563" s="39" t="s">
        <v>49</v>
      </c>
      <c r="P1563" s="130"/>
      <c r="Q1563" s="19">
        <v>40</v>
      </c>
      <c r="R1563" s="15">
        <v>0.16666666666666666</v>
      </c>
      <c r="S1563" s="5">
        <v>29</v>
      </c>
      <c r="U1563" s="109" t="s">
        <v>767</v>
      </c>
      <c r="V1563" s="71" t="s">
        <v>362</v>
      </c>
      <c r="W1563" s="8" t="s">
        <v>367</v>
      </c>
      <c r="Y1563" s="175"/>
      <c r="Z1563" s="175"/>
      <c r="AA1563" s="175"/>
      <c r="AB1563" s="175"/>
      <c r="AC1563" s="175"/>
      <c r="AD1563" s="175"/>
      <c r="AE1563" s="175"/>
      <c r="AF1563" s="175"/>
      <c r="AG1563" s="175"/>
      <c r="AH1563" s="175"/>
    </row>
    <row r="1564" spans="1:34">
      <c r="A1564" s="186" t="s">
        <v>1397</v>
      </c>
      <c r="B1564" s="186" t="s">
        <v>1398</v>
      </c>
      <c r="C1564" s="192">
        <v>46209</v>
      </c>
      <c r="D1564" s="42">
        <v>0.625</v>
      </c>
      <c r="F1564" s="186" t="s">
        <v>1404</v>
      </c>
      <c r="G1564" s="2">
        <v>1</v>
      </c>
      <c r="H1564" s="2">
        <v>8</v>
      </c>
      <c r="I1564" s="45">
        <v>15000</v>
      </c>
      <c r="J1564" s="2" t="s">
        <v>766</v>
      </c>
      <c r="K1564" s="56">
        <v>0.8125</v>
      </c>
      <c r="L1564" s="89">
        <v>125000</v>
      </c>
      <c r="M1564" s="202">
        <v>30</v>
      </c>
      <c r="N1564" s="39" t="s">
        <v>48</v>
      </c>
      <c r="O1564" s="187" t="s">
        <v>49</v>
      </c>
      <c r="Q1564" s="19">
        <v>100</v>
      </c>
      <c r="R1564" s="15">
        <f>Q1564/I1564</f>
        <v>6.6666666666666671E-3</v>
      </c>
      <c r="S1564" s="215">
        <f>($AC1564*$AD1564)/(($Z1564/$Y1564)+($AA1564/$Z1564)+($AB1564/$AA1564))</f>
        <v>77.142857142857139</v>
      </c>
      <c r="V1564" s="205" t="s">
        <v>1409</v>
      </c>
      <c r="W1564" s="230" t="s">
        <v>1410</v>
      </c>
      <c r="Y1564" s="2">
        <v>10</v>
      </c>
      <c r="Z1564" s="2">
        <v>20</v>
      </c>
      <c r="AA1564" s="2">
        <v>50</v>
      </c>
      <c r="AB1564" s="2">
        <v>125</v>
      </c>
      <c r="AC1564" s="2">
        <v>18</v>
      </c>
      <c r="AD1564" s="2">
        <v>30</v>
      </c>
      <c r="AE1564" s="2">
        <f>AC1564*AD1564</f>
        <v>540</v>
      </c>
      <c r="AF1564" s="2">
        <f>Z1564/Y1564</f>
        <v>2</v>
      </c>
      <c r="AG1564" s="2">
        <f>AA1564/Z1564</f>
        <v>2.5</v>
      </c>
      <c r="AH1564" s="2">
        <f>AB1564/AA1564</f>
        <v>2.5</v>
      </c>
    </row>
    <row r="1565" spans="1:34">
      <c r="A1565" s="165" t="s">
        <v>1383</v>
      </c>
      <c r="B1565" s="39" t="s">
        <v>63</v>
      </c>
      <c r="C1565" s="192">
        <v>46209</v>
      </c>
      <c r="D1565" s="144">
        <v>0.66666666666666663</v>
      </c>
      <c r="E1565" s="8"/>
      <c r="F1565" s="8" t="s">
        <v>1024</v>
      </c>
      <c r="G1565" s="2">
        <v>1</v>
      </c>
      <c r="H1565" s="2">
        <v>9</v>
      </c>
      <c r="I1565" s="45">
        <v>400</v>
      </c>
      <c r="J1565" s="2" t="s">
        <v>766</v>
      </c>
      <c r="K1565" s="88" t="s">
        <v>794</v>
      </c>
      <c r="L1565" s="89">
        <v>30000</v>
      </c>
      <c r="M1565" s="205">
        <v>20</v>
      </c>
      <c r="N1565" s="39" t="s">
        <v>817</v>
      </c>
      <c r="O1565" s="39" t="s">
        <v>49</v>
      </c>
      <c r="Q1565" s="19">
        <v>70</v>
      </c>
      <c r="R1565" s="15">
        <f>Q1565/I1565</f>
        <v>0.17499999999999999</v>
      </c>
      <c r="S1565" s="5">
        <v>37</v>
      </c>
      <c r="U1565" s="109" t="s">
        <v>129</v>
      </c>
      <c r="V1565" s="71" t="s">
        <v>360</v>
      </c>
      <c r="Y1565" s="175"/>
      <c r="Z1565" s="175"/>
      <c r="AA1565" s="175"/>
      <c r="AB1565" s="175"/>
      <c r="AC1565" s="175"/>
      <c r="AD1565" s="175"/>
      <c r="AE1565" s="175"/>
      <c r="AF1565" s="175"/>
      <c r="AG1565" s="175"/>
      <c r="AH1565" s="175"/>
    </row>
    <row r="1566" spans="1:34">
      <c r="A1566" s="52" t="s">
        <v>229</v>
      </c>
      <c r="B1566" s="52" t="s">
        <v>230</v>
      </c>
      <c r="C1566" s="40">
        <v>46209</v>
      </c>
      <c r="D1566" s="42">
        <v>0.66666666666666663</v>
      </c>
      <c r="E1566" s="193"/>
      <c r="F1566" s="8" t="s">
        <v>57</v>
      </c>
      <c r="G1566" s="2">
        <v>1</v>
      </c>
      <c r="I1566" s="126">
        <v>240</v>
      </c>
      <c r="J1566" s="2" t="s">
        <v>766</v>
      </c>
      <c r="K1566" s="88" t="s">
        <v>795</v>
      </c>
      <c r="L1566" s="90">
        <v>30000</v>
      </c>
      <c r="M1566" s="8">
        <v>20</v>
      </c>
      <c r="N1566" s="39" t="s">
        <v>48</v>
      </c>
      <c r="O1566" s="39" t="s">
        <v>57</v>
      </c>
      <c r="P1566" s="66">
        <v>10000</v>
      </c>
      <c r="Q1566" s="2">
        <v>40</v>
      </c>
      <c r="R1566" s="15">
        <f>IF(Q1566&gt;0,Q1566/I1566,"")</f>
        <v>0.16666666666666666</v>
      </c>
      <c r="S1566" s="149" t="s">
        <v>110</v>
      </c>
      <c r="T1566" s="149"/>
      <c r="U1566" s="109" t="s">
        <v>767</v>
      </c>
      <c r="V1566" s="205" t="s">
        <v>719</v>
      </c>
      <c r="Y1566" s="70"/>
      <c r="Z1566" s="70"/>
      <c r="AA1566" s="70"/>
      <c r="AB1566" s="70"/>
      <c r="AC1566" s="70"/>
      <c r="AD1566" s="70"/>
      <c r="AE1566" s="2">
        <f>AC1566*AD1566</f>
        <v>0</v>
      </c>
      <c r="AF1566" s="2" t="e">
        <f>Z1566/Y1566</f>
        <v>#DIV/0!</v>
      </c>
      <c r="AG1566" s="2" t="e">
        <f>AA1566/Z1566</f>
        <v>#DIV/0!</v>
      </c>
      <c r="AH1566" s="2" t="e">
        <f>AB1566/AA1566</f>
        <v>#DIV/0!</v>
      </c>
    </row>
    <row r="1567" spans="1:34">
      <c r="A1567" s="102" t="s">
        <v>475</v>
      </c>
      <c r="B1567" s="102" t="s">
        <v>476</v>
      </c>
      <c r="C1567" s="40">
        <v>46209</v>
      </c>
      <c r="D1567" s="42">
        <v>0.75</v>
      </c>
      <c r="E1567" s="8">
        <v>49</v>
      </c>
      <c r="F1567" s="8" t="s">
        <v>497</v>
      </c>
      <c r="G1567" s="2">
        <v>1</v>
      </c>
      <c r="H1567" s="2">
        <v>8</v>
      </c>
      <c r="I1567" s="126">
        <v>250</v>
      </c>
      <c r="J1567" s="2" t="s">
        <v>766</v>
      </c>
      <c r="K1567" s="109" t="s">
        <v>602</v>
      </c>
      <c r="L1567" s="201">
        <v>25000</v>
      </c>
      <c r="M1567" s="64">
        <v>30</v>
      </c>
      <c r="N1567" s="39" t="s">
        <v>48</v>
      </c>
      <c r="O1567" s="39" t="s">
        <v>373</v>
      </c>
      <c r="P1567" s="197">
        <v>10000</v>
      </c>
      <c r="Q1567" s="2">
        <v>45</v>
      </c>
      <c r="R1567" s="15">
        <f>Q1567/I1567</f>
        <v>0.18</v>
      </c>
      <c r="S1567" s="149" t="s">
        <v>110</v>
      </c>
      <c r="T1567" s="149"/>
      <c r="U1567" s="109" t="s">
        <v>767</v>
      </c>
      <c r="V1567" s="2" t="s">
        <v>608</v>
      </c>
      <c r="AE1567" s="2">
        <f>AC1567*AD1567</f>
        <v>0</v>
      </c>
      <c r="AF1567" s="2" t="e">
        <f>Z1567/Y1567</f>
        <v>#DIV/0!</v>
      </c>
      <c r="AG1567" s="2" t="e">
        <f>AA1567/Z1567</f>
        <v>#DIV/0!</v>
      </c>
      <c r="AH1567" s="2" t="e">
        <f>AB1567/AA1567</f>
        <v>#DIV/0!</v>
      </c>
    </row>
    <row r="1568" spans="1:34">
      <c r="A1568" s="52" t="s">
        <v>229</v>
      </c>
      <c r="B1568" s="52" t="s">
        <v>230</v>
      </c>
      <c r="C1568" s="40">
        <v>46209</v>
      </c>
      <c r="D1568" s="42">
        <v>0.75</v>
      </c>
      <c r="E1568" s="193"/>
      <c r="F1568" s="8" t="s">
        <v>244</v>
      </c>
      <c r="G1568" s="2">
        <v>1</v>
      </c>
      <c r="I1568" s="126">
        <v>200</v>
      </c>
      <c r="J1568" s="2" t="s">
        <v>766</v>
      </c>
      <c r="K1568" s="88" t="s">
        <v>804</v>
      </c>
      <c r="L1568" s="90">
        <v>30000</v>
      </c>
      <c r="M1568" s="8">
        <v>20</v>
      </c>
      <c r="N1568" s="39" t="s">
        <v>48</v>
      </c>
      <c r="O1568" s="39" t="s">
        <v>49</v>
      </c>
      <c r="P1568" s="211" t="s">
        <v>832</v>
      </c>
      <c r="Q1568" s="19">
        <v>40</v>
      </c>
      <c r="R1568" s="15">
        <f>IF(Q1568&gt;0,Q1568/I1568,"")</f>
        <v>0.2</v>
      </c>
      <c r="S1568" s="5">
        <f>($AC1568*$AD1568)/(($Z1568/$Y1568)+($AA1568/$Z1568)+($AB1568/$AA1568))</f>
        <v>35.555555555555557</v>
      </c>
      <c r="U1568" s="109" t="s">
        <v>767</v>
      </c>
      <c r="V1568" s="2" t="s">
        <v>719</v>
      </c>
      <c r="Y1568" s="2">
        <v>2</v>
      </c>
      <c r="Z1568" s="2">
        <v>5</v>
      </c>
      <c r="AA1568" s="2">
        <v>20</v>
      </c>
      <c r="AB1568" s="2">
        <v>50</v>
      </c>
      <c r="AC1568" s="2">
        <v>20</v>
      </c>
      <c r="AD1568" s="2">
        <v>16</v>
      </c>
      <c r="AE1568" s="2">
        <f>AC1568*AD1568</f>
        <v>320</v>
      </c>
      <c r="AF1568" s="2">
        <f>Z1568/Y1568</f>
        <v>2.5</v>
      </c>
      <c r="AG1568" s="2">
        <f>AA1568/Z1568</f>
        <v>4</v>
      </c>
      <c r="AH1568" s="2">
        <f>AB1568/AA1568</f>
        <v>2.5</v>
      </c>
    </row>
    <row r="1569" spans="1:34">
      <c r="A1569" s="96" t="s">
        <v>461</v>
      </c>
      <c r="B1569" s="96" t="s">
        <v>462</v>
      </c>
      <c r="C1569" s="192">
        <v>46209</v>
      </c>
      <c r="D1569" s="42">
        <v>0.75694444444444442</v>
      </c>
      <c r="F1569" s="8" t="s">
        <v>468</v>
      </c>
      <c r="G1569" s="2">
        <v>2</v>
      </c>
      <c r="I1569" s="126">
        <v>300</v>
      </c>
      <c r="J1569" s="2" t="s">
        <v>766</v>
      </c>
      <c r="K1569" s="109" t="s">
        <v>598</v>
      </c>
      <c r="L1569" s="8">
        <v>30000</v>
      </c>
      <c r="M1569" s="202">
        <v>30</v>
      </c>
      <c r="N1569" s="39" t="s">
        <v>48</v>
      </c>
      <c r="O1569" s="39" t="s">
        <v>49</v>
      </c>
      <c r="P1569" s="211" t="s">
        <v>842</v>
      </c>
      <c r="Q1569" s="19">
        <v>65</v>
      </c>
      <c r="R1569" s="15">
        <f>Q1569/I1569</f>
        <v>0.21666666666666667</v>
      </c>
      <c r="S1569" s="5">
        <f>($AC1569*$AD1569)/(($Z1569/$Y1569)+($AA1569/$Z1569)+($AB1569/$AA1569))</f>
        <v>53.333333333333336</v>
      </c>
      <c r="U1569" s="109" t="s">
        <v>767</v>
      </c>
      <c r="V1569" s="205" t="s">
        <v>735</v>
      </c>
      <c r="W1569" s="205"/>
      <c r="Y1569" s="2">
        <v>2</v>
      </c>
      <c r="Z1569" s="2">
        <v>5</v>
      </c>
      <c r="AA1569" s="2">
        <v>20</v>
      </c>
      <c r="AB1569" s="2">
        <v>50</v>
      </c>
      <c r="AC1569" s="2">
        <v>16</v>
      </c>
      <c r="AD1569" s="2">
        <v>30</v>
      </c>
      <c r="AE1569" s="2">
        <f>AC1569*AD1569</f>
        <v>480</v>
      </c>
      <c r="AF1569" s="2">
        <f>Z1569/Y1569</f>
        <v>2.5</v>
      </c>
      <c r="AG1569" s="2">
        <f>AA1569/Z1569</f>
        <v>4</v>
      </c>
      <c r="AH1569" s="2">
        <f>AB1569/AA1569</f>
        <v>2.5</v>
      </c>
    </row>
    <row r="1570" spans="1:34">
      <c r="A1570" s="95" t="s">
        <v>447</v>
      </c>
      <c r="B1570" s="95" t="s">
        <v>448</v>
      </c>
      <c r="C1570" s="40">
        <v>46209</v>
      </c>
      <c r="D1570" s="42">
        <v>0.79166666666666663</v>
      </c>
      <c r="E1570" s="193"/>
      <c r="F1570" s="8" t="s">
        <v>403</v>
      </c>
      <c r="G1570" s="2">
        <v>1</v>
      </c>
      <c r="H1570" s="2">
        <v>9</v>
      </c>
      <c r="I1570" s="126">
        <v>300</v>
      </c>
      <c r="J1570" s="2" t="s">
        <v>766</v>
      </c>
      <c r="K1570" s="109" t="s">
        <v>602</v>
      </c>
      <c r="L1570" s="8">
        <v>25000</v>
      </c>
      <c r="M1570" s="8">
        <v>25</v>
      </c>
      <c r="N1570" s="39" t="s">
        <v>48</v>
      </c>
      <c r="O1570" s="39" t="s">
        <v>49</v>
      </c>
      <c r="P1570" s="140" t="s">
        <v>834</v>
      </c>
      <c r="Q1570" s="19">
        <v>50</v>
      </c>
      <c r="R1570" s="15">
        <f>Q1570/I1570</f>
        <v>0.16666666666666666</v>
      </c>
      <c r="S1570" s="5">
        <f>($AC1570*$AD1570)/(($Z1570/$Y1570)+($AA1570/$Z1570)+($AB1570/$AA1570))</f>
        <v>37.5</v>
      </c>
      <c r="U1570" s="109" t="s">
        <v>767</v>
      </c>
      <c r="V1570" s="2" t="s">
        <v>741</v>
      </c>
      <c r="Y1570" s="2">
        <v>2.5</v>
      </c>
      <c r="Z1570" s="2">
        <v>7.5</v>
      </c>
      <c r="AA1570" s="2">
        <v>25</v>
      </c>
      <c r="AB1570" s="2">
        <v>75</v>
      </c>
      <c r="AC1570" s="2">
        <v>14</v>
      </c>
      <c r="AD1570" s="2">
        <v>25</v>
      </c>
      <c r="AE1570" s="2">
        <f>AC1570*AD1570</f>
        <v>350</v>
      </c>
      <c r="AF1570" s="2">
        <f>Z1570/Y1570</f>
        <v>3</v>
      </c>
      <c r="AG1570" s="2">
        <f>AA1570/Z1570</f>
        <v>3.3333333333333335</v>
      </c>
      <c r="AH1570" s="2">
        <f>AB1570/AA1570</f>
        <v>3</v>
      </c>
    </row>
    <row r="1571" spans="1:34">
      <c r="A1571" s="165" t="s">
        <v>1383</v>
      </c>
      <c r="B1571" s="39" t="s">
        <v>63</v>
      </c>
      <c r="C1571" s="192">
        <v>46209</v>
      </c>
      <c r="D1571" s="144">
        <v>0.79166666666666663</v>
      </c>
      <c r="E1571" s="193"/>
      <c r="F1571" s="8" t="s">
        <v>911</v>
      </c>
      <c r="G1571" s="2">
        <v>1</v>
      </c>
      <c r="H1571" s="2">
        <v>9</v>
      </c>
      <c r="I1571" s="81">
        <v>2200</v>
      </c>
      <c r="J1571" s="2" t="s">
        <v>766</v>
      </c>
      <c r="K1571" s="88" t="s">
        <v>800</v>
      </c>
      <c r="L1571" s="89">
        <v>20000</v>
      </c>
      <c r="M1571" s="209" t="s">
        <v>128</v>
      </c>
      <c r="N1571" s="132" t="s">
        <v>821</v>
      </c>
      <c r="O1571" s="39" t="s">
        <v>49</v>
      </c>
      <c r="P1571" s="130"/>
      <c r="Q1571" s="19">
        <v>200</v>
      </c>
      <c r="R1571" s="59">
        <f>Q1571/I1571</f>
        <v>9.0909090909090912E-2</v>
      </c>
      <c r="S1571" s="5">
        <v>32</v>
      </c>
      <c r="U1571" s="109" t="s">
        <v>767</v>
      </c>
      <c r="V1571" s="83" t="s">
        <v>362</v>
      </c>
      <c r="W1571" s="8" t="s">
        <v>388</v>
      </c>
      <c r="Y1571" s="175"/>
      <c r="Z1571" s="175"/>
      <c r="AA1571" s="175"/>
      <c r="AB1571" s="175"/>
      <c r="AC1571" s="175"/>
      <c r="AD1571" s="175"/>
      <c r="AE1571" s="175"/>
      <c r="AF1571" s="175"/>
      <c r="AG1571" s="175"/>
      <c r="AH1571" s="175"/>
    </row>
    <row r="1572" spans="1:34">
      <c r="A1572" s="165" t="s">
        <v>1383</v>
      </c>
      <c r="B1572" s="39" t="s">
        <v>63</v>
      </c>
      <c r="C1572" s="192">
        <v>46209</v>
      </c>
      <c r="D1572" s="144">
        <v>0.79166666666666663</v>
      </c>
      <c r="E1572" s="193"/>
      <c r="F1572" s="8" t="s">
        <v>917</v>
      </c>
      <c r="G1572" s="2">
        <v>1</v>
      </c>
      <c r="H1572" s="2">
        <v>9</v>
      </c>
      <c r="I1572" s="81">
        <v>585</v>
      </c>
      <c r="J1572" s="2" t="s">
        <v>766</v>
      </c>
      <c r="K1572" s="88" t="s">
        <v>800</v>
      </c>
      <c r="L1572" s="89">
        <v>10000</v>
      </c>
      <c r="M1572" s="202">
        <v>20</v>
      </c>
      <c r="N1572" s="132" t="s">
        <v>821</v>
      </c>
      <c r="O1572" s="39" t="s">
        <v>49</v>
      </c>
      <c r="P1572" s="130"/>
      <c r="Q1572" s="19">
        <v>89</v>
      </c>
      <c r="R1572" s="59">
        <f>Q1572/I1572</f>
        <v>0.15213675213675212</v>
      </c>
      <c r="S1572" s="5">
        <v>29</v>
      </c>
      <c r="U1572" s="109" t="s">
        <v>767</v>
      </c>
      <c r="V1572" s="83" t="s">
        <v>362</v>
      </c>
      <c r="W1572" s="8" t="s">
        <v>368</v>
      </c>
      <c r="Y1572" s="175"/>
      <c r="Z1572" s="175"/>
      <c r="AA1572" s="175"/>
      <c r="AB1572" s="175"/>
      <c r="AC1572" s="175"/>
      <c r="AD1572" s="175"/>
      <c r="AE1572" s="175"/>
      <c r="AF1572" s="175"/>
      <c r="AG1572" s="175"/>
      <c r="AH1572" s="175"/>
    </row>
    <row r="1573" spans="1:34">
      <c r="A1573" s="52" t="s">
        <v>220</v>
      </c>
      <c r="B1573" s="52" t="s">
        <v>221</v>
      </c>
      <c r="C1573" s="48">
        <v>46209</v>
      </c>
      <c r="D1573" s="42">
        <v>0.8125</v>
      </c>
      <c r="E1573" s="193"/>
      <c r="F1573" s="8" t="s">
        <v>1074</v>
      </c>
      <c r="G1573" s="2">
        <v>2</v>
      </c>
      <c r="H1573" s="2">
        <v>9</v>
      </c>
      <c r="I1573" s="125">
        <v>1600</v>
      </c>
      <c r="J1573" s="2" t="s">
        <v>766</v>
      </c>
      <c r="K1573" s="88" t="s">
        <v>809</v>
      </c>
      <c r="L1573" s="90">
        <v>40000</v>
      </c>
      <c r="M1573" s="64" t="s">
        <v>113</v>
      </c>
      <c r="N1573" s="39" t="s">
        <v>48</v>
      </c>
      <c r="O1573" s="39" t="s">
        <v>49</v>
      </c>
      <c r="P1573" s="136" t="s">
        <v>846</v>
      </c>
      <c r="Q1573" s="19">
        <v>170</v>
      </c>
      <c r="R1573" s="15">
        <f>Q1573/I1573</f>
        <v>0.10625</v>
      </c>
      <c r="S1573" s="5">
        <f>($AC1573*$AD1573)/(($Z1573/$Y1573)+($AA1573/$Z1573)+($AB1573/$AA1573))</f>
        <v>51.298026998961582</v>
      </c>
      <c r="U1573" s="109" t="s">
        <v>463</v>
      </c>
      <c r="V1573" s="2" t="s">
        <v>738</v>
      </c>
      <c r="Y1573" s="2">
        <v>2</v>
      </c>
      <c r="Z1573" s="2">
        <v>5</v>
      </c>
      <c r="AA1573" s="2">
        <v>13</v>
      </c>
      <c r="AB1573" s="2">
        <v>30</v>
      </c>
      <c r="AC1573" s="2">
        <v>19</v>
      </c>
      <c r="AD1573" s="2">
        <v>20</v>
      </c>
      <c r="AE1573" s="2">
        <f>AC1573*AD1573</f>
        <v>380</v>
      </c>
      <c r="AF1573" s="2">
        <f>Z1573/Y1573</f>
        <v>2.5</v>
      </c>
      <c r="AG1573" s="2">
        <f>AA1573/Z1573</f>
        <v>2.6</v>
      </c>
      <c r="AH1573" s="2">
        <f>AB1573/AA1573</f>
        <v>2.3076923076923075</v>
      </c>
    </row>
    <row r="1574" spans="1:34">
      <c r="A1574" s="165" t="s">
        <v>1383</v>
      </c>
      <c r="B1574" s="39" t="s">
        <v>63</v>
      </c>
      <c r="C1574" s="192">
        <v>46209</v>
      </c>
      <c r="D1574" s="144">
        <v>0.83333333333333337</v>
      </c>
      <c r="E1574" s="8"/>
      <c r="F1574" s="8" t="s">
        <v>1023</v>
      </c>
      <c r="G1574" s="2">
        <v>1</v>
      </c>
      <c r="H1574" s="2">
        <v>9</v>
      </c>
      <c r="I1574" s="45">
        <v>200</v>
      </c>
      <c r="J1574" s="2" t="s">
        <v>766</v>
      </c>
      <c r="K1574" s="88" t="s">
        <v>806</v>
      </c>
      <c r="L1574" s="89">
        <v>20000</v>
      </c>
      <c r="M1574" s="2">
        <v>20</v>
      </c>
      <c r="N1574" s="39" t="s">
        <v>817</v>
      </c>
      <c r="O1574" s="39" t="s">
        <v>49</v>
      </c>
      <c r="P1574" s="130"/>
      <c r="Q1574" s="19">
        <v>45</v>
      </c>
      <c r="R1574" s="15">
        <f>Q1574/I1574</f>
        <v>0.22500000000000001</v>
      </c>
      <c r="S1574" s="5">
        <v>23</v>
      </c>
      <c r="U1574" s="109" t="s">
        <v>129</v>
      </c>
      <c r="V1574" s="71" t="s">
        <v>360</v>
      </c>
      <c r="W1574" s="10"/>
      <c r="Y1574" s="175"/>
      <c r="Z1574" s="175"/>
      <c r="AA1574" s="175"/>
      <c r="AB1574" s="175"/>
      <c r="AC1574" s="175"/>
      <c r="AD1574" s="175"/>
      <c r="AE1574" s="175"/>
      <c r="AF1574" s="175"/>
      <c r="AG1574" s="175"/>
      <c r="AH1574" s="175"/>
    </row>
    <row r="1575" spans="1:34">
      <c r="A1575" s="102" t="s">
        <v>475</v>
      </c>
      <c r="B1575" s="102" t="s">
        <v>476</v>
      </c>
      <c r="C1575" s="192">
        <v>46209</v>
      </c>
      <c r="D1575" s="42">
        <v>0.88194444444444442</v>
      </c>
      <c r="E1575" s="193"/>
      <c r="F1575" s="8" t="s">
        <v>483</v>
      </c>
      <c r="G1575" s="2">
        <v>1</v>
      </c>
      <c r="H1575" s="2">
        <v>9</v>
      </c>
      <c r="I1575" s="126">
        <v>160</v>
      </c>
      <c r="J1575" s="2" t="s">
        <v>766</v>
      </c>
      <c r="K1575" s="109" t="s">
        <v>603</v>
      </c>
      <c r="L1575" s="105">
        <v>20000</v>
      </c>
      <c r="M1575" s="64">
        <v>20</v>
      </c>
      <c r="N1575" s="39" t="s">
        <v>48</v>
      </c>
      <c r="O1575" s="39" t="s">
        <v>49</v>
      </c>
      <c r="P1575" s="211" t="s">
        <v>828</v>
      </c>
      <c r="Q1575" s="19">
        <v>30</v>
      </c>
      <c r="R1575" s="15">
        <f>Q1575/I1575</f>
        <v>0.1875</v>
      </c>
      <c r="S1575" s="5">
        <f>($AC1575*$AD1575)/(($Z1575/$Y1575)+($AA1575/$Z1575)+($AB1575/$AA1575))</f>
        <v>20</v>
      </c>
      <c r="U1575" s="109" t="s">
        <v>767</v>
      </c>
      <c r="V1575" s="71" t="s">
        <v>595</v>
      </c>
      <c r="W1575" s="241" t="s">
        <v>604</v>
      </c>
      <c r="Y1575" s="2">
        <v>2</v>
      </c>
      <c r="Z1575" s="2">
        <v>5</v>
      </c>
      <c r="AA1575" s="2">
        <v>40</v>
      </c>
      <c r="AB1575" s="2">
        <v>100</v>
      </c>
      <c r="AC1575" s="2">
        <v>20</v>
      </c>
      <c r="AD1575" s="2">
        <v>13</v>
      </c>
      <c r="AE1575" s="2">
        <f>AC1575*AD1575</f>
        <v>260</v>
      </c>
      <c r="AF1575" s="2">
        <f>Z1575/Y1575</f>
        <v>2.5</v>
      </c>
      <c r="AG1575" s="2">
        <f>AA1575/Z1575</f>
        <v>8</v>
      </c>
      <c r="AH1575" s="2">
        <f>AB1575/AA1575</f>
        <v>2.5</v>
      </c>
    </row>
    <row r="1576" spans="1:34">
      <c r="A1576" s="165" t="s">
        <v>1383</v>
      </c>
      <c r="B1576" s="39" t="s">
        <v>63</v>
      </c>
      <c r="C1576" s="192">
        <v>46209</v>
      </c>
      <c r="D1576" s="144">
        <v>0.91666666666666663</v>
      </c>
      <c r="E1576" s="193"/>
      <c r="F1576" s="8" t="s">
        <v>909</v>
      </c>
      <c r="G1576" s="2">
        <v>1</v>
      </c>
      <c r="H1576" s="2">
        <v>9</v>
      </c>
      <c r="I1576" s="45">
        <v>135</v>
      </c>
      <c r="J1576" s="2" t="s">
        <v>766</v>
      </c>
      <c r="K1576" s="88" t="s">
        <v>813</v>
      </c>
      <c r="L1576" s="89">
        <v>10000</v>
      </c>
      <c r="M1576" s="202">
        <v>15</v>
      </c>
      <c r="N1576" s="132" t="s">
        <v>821</v>
      </c>
      <c r="O1576" s="39" t="s">
        <v>49</v>
      </c>
      <c r="P1576" s="130"/>
      <c r="Q1576" s="19">
        <v>35</v>
      </c>
      <c r="R1576" s="15">
        <f>Q1576/I1576</f>
        <v>0.25925925925925924</v>
      </c>
      <c r="S1576" s="5">
        <v>22</v>
      </c>
      <c r="U1576" s="109" t="s">
        <v>767</v>
      </c>
      <c r="V1576" s="71" t="s">
        <v>362</v>
      </c>
      <c r="W1576" s="194" t="s">
        <v>369</v>
      </c>
      <c r="Y1576" s="175"/>
      <c r="Z1576" s="175"/>
      <c r="AA1576" s="175"/>
      <c r="AB1576" s="175"/>
      <c r="AC1576" s="175"/>
      <c r="AD1576" s="175"/>
      <c r="AE1576" s="175"/>
      <c r="AF1576" s="175"/>
      <c r="AG1576" s="175"/>
      <c r="AH1576" s="175"/>
    </row>
    <row r="1577" spans="1:34">
      <c r="A1577" s="96" t="s">
        <v>461</v>
      </c>
      <c r="B1577" s="96" t="s">
        <v>462</v>
      </c>
      <c r="C1577" s="192">
        <v>46209</v>
      </c>
      <c r="D1577" s="42">
        <v>0.92361111111111116</v>
      </c>
      <c r="F1577" s="8" t="s">
        <v>456</v>
      </c>
      <c r="G1577" s="2">
        <v>1</v>
      </c>
      <c r="I1577" s="125">
        <v>120</v>
      </c>
      <c r="J1577" s="2" t="s">
        <v>766</v>
      </c>
      <c r="K1577" s="109" t="s">
        <v>737</v>
      </c>
      <c r="L1577" s="8">
        <v>20000</v>
      </c>
      <c r="M1577" s="202">
        <v>15</v>
      </c>
      <c r="N1577" s="39" t="s">
        <v>48</v>
      </c>
      <c r="O1577" s="39" t="s">
        <v>49</v>
      </c>
      <c r="P1577" s="135" t="s">
        <v>827</v>
      </c>
      <c r="Q1577" s="19">
        <v>24</v>
      </c>
      <c r="R1577" s="15">
        <f>Q1577/I1577</f>
        <v>0.2</v>
      </c>
      <c r="S1577" s="5">
        <f>($AC1577*$AD1577)/(($Z1577/$Y1577)+($AA1577/$Z1577)+($AB1577/$AA1577))</f>
        <v>25.161290322580644</v>
      </c>
      <c r="U1577" s="109" t="s">
        <v>463</v>
      </c>
      <c r="V1577" s="2" t="s">
        <v>735</v>
      </c>
      <c r="W1577" s="2" t="s">
        <v>464</v>
      </c>
      <c r="Y1577" s="2">
        <v>2.5</v>
      </c>
      <c r="Z1577" s="2">
        <v>7.5</v>
      </c>
      <c r="AA1577" s="2">
        <v>30</v>
      </c>
      <c r="AB1577" s="2">
        <v>100</v>
      </c>
      <c r="AC1577" s="2">
        <v>13</v>
      </c>
      <c r="AD1577" s="2">
        <v>20</v>
      </c>
      <c r="AE1577" s="2">
        <f>AC1577*AD1577</f>
        <v>260</v>
      </c>
      <c r="AF1577" s="2">
        <f>Z1577/Y1577</f>
        <v>3</v>
      </c>
      <c r="AG1577" s="2">
        <f>AA1577/Z1577</f>
        <v>4</v>
      </c>
      <c r="AH1577" s="2">
        <f>AB1577/AA1577</f>
        <v>3.3333333333333335</v>
      </c>
    </row>
    <row r="1578" spans="1:34">
      <c r="A1578" s="165" t="s">
        <v>1383</v>
      </c>
      <c r="B1578" s="36" t="s">
        <v>63</v>
      </c>
      <c r="C1578" s="192">
        <v>46209</v>
      </c>
      <c r="D1578" s="144" t="s">
        <v>117</v>
      </c>
      <c r="E1578" s="14">
        <v>86</v>
      </c>
      <c r="F1578" s="8" t="s">
        <v>1004</v>
      </c>
      <c r="G1578" s="2">
        <v>3</v>
      </c>
      <c r="H1578" s="2">
        <v>9</v>
      </c>
      <c r="I1578" s="45">
        <v>600</v>
      </c>
      <c r="J1578" s="2" t="s">
        <v>763</v>
      </c>
      <c r="K1578" s="109" t="s">
        <v>601</v>
      </c>
      <c r="L1578" s="89">
        <v>60000</v>
      </c>
      <c r="M1578" s="202" t="s">
        <v>22</v>
      </c>
      <c r="N1578" s="39" t="s">
        <v>48</v>
      </c>
      <c r="O1578" s="39" t="s">
        <v>49</v>
      </c>
      <c r="P1578" s="130"/>
      <c r="Q1578" s="19">
        <f>R1578*I1578</f>
        <v>96</v>
      </c>
      <c r="R1578" s="15">
        <v>0.16</v>
      </c>
      <c r="S1578" s="5">
        <f>($AC1578*$AD1578)/(($Z1578/$Y1578)+($AA1578/$Z1578)+($AB1578/$AA1578))</f>
        <v>85.13513513513513</v>
      </c>
      <c r="U1578" s="109" t="s">
        <v>767</v>
      </c>
      <c r="V1578" s="2" t="s">
        <v>121</v>
      </c>
      <c r="W1578" s="205"/>
      <c r="Y1578" s="2">
        <v>2</v>
      </c>
      <c r="Z1578" s="2">
        <v>5</v>
      </c>
      <c r="AA1578" s="2">
        <v>12.5</v>
      </c>
      <c r="AB1578" s="2">
        <v>30</v>
      </c>
      <c r="AC1578" s="2">
        <v>30</v>
      </c>
      <c r="AD1578" s="2">
        <v>21</v>
      </c>
      <c r="AE1578" s="2">
        <f>AC1578*AD1578</f>
        <v>630</v>
      </c>
      <c r="AF1578" s="2">
        <f>Z1578/Y1578</f>
        <v>2.5</v>
      </c>
      <c r="AG1578" s="2">
        <f>AA1578/Z1578</f>
        <v>2.5</v>
      </c>
      <c r="AH1578" s="2">
        <f>AB1578/AA1578</f>
        <v>2.4</v>
      </c>
    </row>
    <row r="1579" spans="1:34">
      <c r="A1579" s="165" t="s">
        <v>1383</v>
      </c>
      <c r="B1579" s="36" t="s">
        <v>63</v>
      </c>
      <c r="C1579" s="192">
        <v>46209</v>
      </c>
      <c r="D1579" s="144" t="s">
        <v>120</v>
      </c>
      <c r="E1579" s="14">
        <v>82</v>
      </c>
      <c r="F1579" s="8" t="s">
        <v>1155</v>
      </c>
      <c r="G1579" s="2">
        <v>8</v>
      </c>
      <c r="H1579" s="2">
        <v>9</v>
      </c>
      <c r="I1579" s="37">
        <v>10000</v>
      </c>
      <c r="J1579" s="2" t="s">
        <v>110</v>
      </c>
      <c r="K1579" s="109" t="s">
        <v>737</v>
      </c>
      <c r="L1579" s="89">
        <v>60000</v>
      </c>
      <c r="M1579" s="202">
        <v>120</v>
      </c>
      <c r="N1579" s="39" t="s">
        <v>48</v>
      </c>
      <c r="O1579" s="39" t="s">
        <v>49</v>
      </c>
      <c r="P1579" s="210"/>
      <c r="Q1579" s="19">
        <f>R1579*I1579</f>
        <v>700.00000000000011</v>
      </c>
      <c r="R1579" s="15">
        <v>7.0000000000000007E-2</v>
      </c>
      <c r="S1579" s="5">
        <f>($AC1579*$AD1579)/(($Z1579/$Y1579)+($AA1579/$Z1579)+($AB1579/$AA1579))</f>
        <v>340.18691588785049</v>
      </c>
      <c r="U1579" s="109" t="s">
        <v>853</v>
      </c>
      <c r="V1579" s="2" t="s">
        <v>121</v>
      </c>
      <c r="Y1579" s="2">
        <v>2</v>
      </c>
      <c r="Z1579" s="2">
        <v>5</v>
      </c>
      <c r="AA1579" s="2">
        <v>13</v>
      </c>
      <c r="AB1579" s="2">
        <v>30</v>
      </c>
      <c r="AC1579" s="2">
        <v>120</v>
      </c>
      <c r="AD1579" s="2">
        <v>21</v>
      </c>
      <c r="AE1579" s="2">
        <f>AC1579*AD1579</f>
        <v>2520</v>
      </c>
      <c r="AF1579" s="2">
        <f>Z1579/Y1579</f>
        <v>2.5</v>
      </c>
      <c r="AG1579" s="2">
        <f>AA1579/Z1579</f>
        <v>2.6</v>
      </c>
      <c r="AH1579" s="2">
        <f>AB1579/AA1579</f>
        <v>2.3076923076923075</v>
      </c>
    </row>
    <row r="1580" spans="1:34">
      <c r="A1580" s="95" t="s">
        <v>447</v>
      </c>
      <c r="B1580" s="95" t="s">
        <v>448</v>
      </c>
      <c r="C1580" s="40">
        <v>46210</v>
      </c>
      <c r="D1580" s="42">
        <v>0.375</v>
      </c>
      <c r="E1580" s="193"/>
      <c r="F1580" s="8" t="s">
        <v>415</v>
      </c>
      <c r="G1580" s="2">
        <v>1</v>
      </c>
      <c r="H1580" s="2">
        <v>9</v>
      </c>
      <c r="I1580" s="126">
        <v>240</v>
      </c>
      <c r="J1580" s="2" t="s">
        <v>766</v>
      </c>
      <c r="K1580" s="109" t="s">
        <v>602</v>
      </c>
      <c r="L1580" s="8">
        <v>20000</v>
      </c>
      <c r="M1580" s="8">
        <v>15</v>
      </c>
      <c r="N1580" s="39" t="s">
        <v>61</v>
      </c>
      <c r="O1580" s="39" t="s">
        <v>49</v>
      </c>
      <c r="P1580" s="214" t="s">
        <v>228</v>
      </c>
      <c r="Q1580" s="19">
        <v>40</v>
      </c>
      <c r="R1580" s="15">
        <f>Q1580/I1580</f>
        <v>0.16666666666666666</v>
      </c>
      <c r="S1580" s="5">
        <f>($AC1580*$AD1580)/(($Z1580/$Y1580)+($AA1580/$Z1580)+($AB1580/$AA1580))</f>
        <v>23.333333333333332</v>
      </c>
      <c r="U1580" s="109" t="s">
        <v>129</v>
      </c>
      <c r="V1580" s="2" t="s">
        <v>741</v>
      </c>
      <c r="W1580" s="116" t="s">
        <v>745</v>
      </c>
      <c r="Y1580" s="2">
        <v>2</v>
      </c>
      <c r="Z1580" s="2">
        <v>5</v>
      </c>
      <c r="AA1580" s="2">
        <v>20</v>
      </c>
      <c r="AB1580" s="2">
        <v>50</v>
      </c>
      <c r="AC1580" s="2">
        <v>14</v>
      </c>
      <c r="AD1580" s="2">
        <v>15</v>
      </c>
      <c r="AE1580" s="2">
        <f>AC1580*AD1580</f>
        <v>210</v>
      </c>
      <c r="AF1580" s="2">
        <f>Z1580/Y1580</f>
        <v>2.5</v>
      </c>
      <c r="AG1580" s="2">
        <f>AA1580/Z1580</f>
        <v>4</v>
      </c>
      <c r="AH1580" s="2">
        <f>AB1580/AA1580</f>
        <v>2.5</v>
      </c>
    </row>
    <row r="1581" spans="1:34">
      <c r="A1581" s="96" t="s">
        <v>461</v>
      </c>
      <c r="B1581" s="96" t="s">
        <v>462</v>
      </c>
      <c r="C1581" s="192">
        <v>46210</v>
      </c>
      <c r="D1581" s="42">
        <v>0.4236111111111111</v>
      </c>
      <c r="E1581" s="193"/>
      <c r="F1581" s="8" t="s">
        <v>469</v>
      </c>
      <c r="G1581" s="2">
        <v>2</v>
      </c>
      <c r="I1581" s="126">
        <v>300</v>
      </c>
      <c r="J1581" s="2" t="s">
        <v>766</v>
      </c>
      <c r="K1581" s="109" t="s">
        <v>598</v>
      </c>
      <c r="L1581" s="194">
        <v>30000</v>
      </c>
      <c r="M1581" s="202">
        <v>30</v>
      </c>
      <c r="N1581" s="39" t="s">
        <v>48</v>
      </c>
      <c r="O1581" s="39" t="s">
        <v>49</v>
      </c>
      <c r="P1581" s="211" t="s">
        <v>842</v>
      </c>
      <c r="Q1581" s="19">
        <v>65</v>
      </c>
      <c r="R1581" s="15">
        <f>Q1581/I1581</f>
        <v>0.21666666666666667</v>
      </c>
      <c r="S1581" s="5">
        <f>($AC1581*$AD1581)/(($Z1581/$Y1581)+($AA1581/$Z1581)+($AB1581/$AA1581))</f>
        <v>53.333333333333336</v>
      </c>
      <c r="U1581" s="109" t="s">
        <v>767</v>
      </c>
      <c r="V1581" s="205" t="s">
        <v>735</v>
      </c>
      <c r="W1581" s="205"/>
      <c r="Y1581" s="2">
        <v>2</v>
      </c>
      <c r="Z1581" s="2">
        <v>5</v>
      </c>
      <c r="AA1581" s="2">
        <v>20</v>
      </c>
      <c r="AB1581" s="2">
        <v>50</v>
      </c>
      <c r="AC1581" s="2">
        <v>16</v>
      </c>
      <c r="AD1581" s="2">
        <v>30</v>
      </c>
      <c r="AE1581" s="2">
        <f>AC1581*AD1581</f>
        <v>480</v>
      </c>
      <c r="AF1581" s="2">
        <f>Z1581/Y1581</f>
        <v>2.5</v>
      </c>
      <c r="AG1581" s="2">
        <f>AA1581/Z1581</f>
        <v>4</v>
      </c>
      <c r="AH1581" s="2">
        <f>AB1581/AA1581</f>
        <v>2.5</v>
      </c>
    </row>
    <row r="1582" spans="1:34">
      <c r="A1582" s="68" t="s">
        <v>357</v>
      </c>
      <c r="B1582" s="68" t="s">
        <v>358</v>
      </c>
      <c r="C1582" s="48">
        <v>46210</v>
      </c>
      <c r="D1582" s="42">
        <v>0.4236111111111111</v>
      </c>
      <c r="E1582" s="8">
        <v>83</v>
      </c>
      <c r="F1582" s="63" t="s">
        <v>306</v>
      </c>
      <c r="G1582" s="2">
        <v>2</v>
      </c>
      <c r="H1582" s="2">
        <v>9</v>
      </c>
      <c r="I1582" s="126">
        <v>1100</v>
      </c>
      <c r="J1582" s="2" t="s">
        <v>766</v>
      </c>
      <c r="K1582" s="137" t="s">
        <v>598</v>
      </c>
      <c r="L1582" s="89">
        <v>40000</v>
      </c>
      <c r="M1582" s="202">
        <v>40</v>
      </c>
      <c r="N1582" s="39" t="s">
        <v>48</v>
      </c>
      <c r="O1582" s="39" t="s">
        <v>49</v>
      </c>
      <c r="P1582" s="211" t="s">
        <v>848</v>
      </c>
      <c r="Q1582" s="19">
        <v>140</v>
      </c>
      <c r="R1582" s="15">
        <f>Q1582/I1582</f>
        <v>0.12727272727272726</v>
      </c>
      <c r="S1582" s="5">
        <f>($AC1582*$AD1582)/(($Z1582/$Y1582)+($AA1582/$Z1582)+($AB1582/$AA1582))</f>
        <v>102.59605399792316</v>
      </c>
      <c r="U1582" s="109" t="s">
        <v>54</v>
      </c>
      <c r="V1582" s="2" t="s">
        <v>702</v>
      </c>
      <c r="Y1582" s="2">
        <v>2</v>
      </c>
      <c r="Z1582" s="2">
        <v>5</v>
      </c>
      <c r="AA1582" s="2">
        <v>13</v>
      </c>
      <c r="AB1582" s="2">
        <v>30</v>
      </c>
      <c r="AC1582" s="2">
        <v>40</v>
      </c>
      <c r="AD1582" s="2">
        <v>19</v>
      </c>
      <c r="AE1582" s="2">
        <f>AC1582*AD1582</f>
        <v>760</v>
      </c>
      <c r="AF1582" s="2">
        <f>Z1582/Y1582</f>
        <v>2.5</v>
      </c>
      <c r="AG1582" s="2">
        <f>AA1582/Z1582</f>
        <v>2.6</v>
      </c>
      <c r="AH1582" s="2">
        <f>AB1582/AA1582</f>
        <v>2.3076923076923075</v>
      </c>
    </row>
    <row r="1583" spans="1:34">
      <c r="A1583" s="102" t="s">
        <v>475</v>
      </c>
      <c r="B1583" s="102" t="s">
        <v>476</v>
      </c>
      <c r="C1583" s="40">
        <v>46210</v>
      </c>
      <c r="D1583" s="42">
        <v>0.45833333333333331</v>
      </c>
      <c r="E1583" s="8">
        <v>50</v>
      </c>
      <c r="F1583" s="8" t="s">
        <v>499</v>
      </c>
      <c r="G1583" s="2">
        <v>1</v>
      </c>
      <c r="H1583" s="2">
        <v>9</v>
      </c>
      <c r="I1583" s="125">
        <v>300</v>
      </c>
      <c r="J1583" s="2" t="s">
        <v>766</v>
      </c>
      <c r="K1583" s="109" t="s">
        <v>602</v>
      </c>
      <c r="L1583" s="105">
        <v>25000</v>
      </c>
      <c r="M1583" s="64">
        <v>30</v>
      </c>
      <c r="N1583" s="39" t="s">
        <v>48</v>
      </c>
      <c r="O1583" s="39" t="s">
        <v>57</v>
      </c>
      <c r="P1583" s="63">
        <v>10000</v>
      </c>
      <c r="Q1583" s="2">
        <v>55</v>
      </c>
      <c r="R1583" s="15">
        <f>Q1583/I1583</f>
        <v>0.18333333333333332</v>
      </c>
      <c r="S1583" s="149" t="s">
        <v>110</v>
      </c>
      <c r="T1583" s="149"/>
      <c r="U1583" s="109" t="s">
        <v>852</v>
      </c>
      <c r="V1583" s="205" t="s">
        <v>607</v>
      </c>
      <c r="AE1583" s="2">
        <f>AC1583*AD1583</f>
        <v>0</v>
      </c>
      <c r="AF1583" s="2" t="e">
        <f>Z1583/Y1583</f>
        <v>#DIV/0!</v>
      </c>
      <c r="AG1583" s="2" t="e">
        <f>AA1583/Z1583</f>
        <v>#DIV/0!</v>
      </c>
      <c r="AH1583" s="2" t="e">
        <f>AB1583/AA1583</f>
        <v>#DIV/0!</v>
      </c>
    </row>
    <row r="1584" spans="1:34" s="70" customFormat="1">
      <c r="A1584" s="52" t="s">
        <v>229</v>
      </c>
      <c r="B1584" s="52" t="s">
        <v>230</v>
      </c>
      <c r="C1584" s="40">
        <v>46210</v>
      </c>
      <c r="D1584" s="42">
        <v>0.45833333333333331</v>
      </c>
      <c r="E1584" s="193"/>
      <c r="F1584" s="8" t="s">
        <v>240</v>
      </c>
      <c r="G1584" s="2">
        <v>1</v>
      </c>
      <c r="H1584" s="2"/>
      <c r="I1584" s="126">
        <v>400</v>
      </c>
      <c r="J1584" s="2" t="s">
        <v>766</v>
      </c>
      <c r="K1584" s="88" t="s">
        <v>788</v>
      </c>
      <c r="L1584" s="90">
        <v>40000</v>
      </c>
      <c r="M1584" s="46" t="s">
        <v>22</v>
      </c>
      <c r="N1584" s="39" t="s">
        <v>48</v>
      </c>
      <c r="O1584" s="39" t="s">
        <v>49</v>
      </c>
      <c r="P1584" s="140" t="s">
        <v>836</v>
      </c>
      <c r="Q1584" s="19">
        <v>60</v>
      </c>
      <c r="R1584" s="15">
        <f>IF(Q1584&gt;0,Q1584/I1584,"")</f>
        <v>0.15</v>
      </c>
      <c r="S1584" s="5">
        <f>($AC1584*$AD1584)/(($Z1584/$Y1584)+($AA1584/$Z1584)+($AB1584/$AA1584))</f>
        <v>76.947040498442377</v>
      </c>
      <c r="T1584" s="5"/>
      <c r="U1584" s="109" t="s">
        <v>767</v>
      </c>
      <c r="V1584" s="2" t="s">
        <v>719</v>
      </c>
      <c r="W1584" s="205"/>
      <c r="X1584" s="2"/>
      <c r="Y1584" s="2">
        <v>2</v>
      </c>
      <c r="Z1584" s="2">
        <v>5</v>
      </c>
      <c r="AA1584" s="2">
        <v>13</v>
      </c>
      <c r="AB1584" s="2">
        <v>30</v>
      </c>
      <c r="AC1584" s="2">
        <v>19</v>
      </c>
      <c r="AD1584" s="2">
        <v>30</v>
      </c>
      <c r="AE1584" s="2">
        <f>AC1584*AD1584</f>
        <v>570</v>
      </c>
      <c r="AF1584" s="2">
        <f>Z1584/Y1584</f>
        <v>2.5</v>
      </c>
      <c r="AG1584" s="2">
        <f>AA1584/Z1584</f>
        <v>2.6</v>
      </c>
      <c r="AH1584" s="2">
        <f>AB1584/AA1584</f>
        <v>2.3076923076923075</v>
      </c>
    </row>
    <row r="1585" spans="1:34" s="70" customFormat="1">
      <c r="A1585" s="95" t="s">
        <v>447</v>
      </c>
      <c r="B1585" s="95" t="s">
        <v>448</v>
      </c>
      <c r="C1585" s="40">
        <v>46210</v>
      </c>
      <c r="D1585" s="42">
        <v>0.5</v>
      </c>
      <c r="E1585" s="193"/>
      <c r="F1585" s="8" t="s">
        <v>435</v>
      </c>
      <c r="G1585" s="2">
        <v>1</v>
      </c>
      <c r="H1585" s="2">
        <v>8</v>
      </c>
      <c r="I1585" s="126">
        <v>1600</v>
      </c>
      <c r="J1585" s="2" t="s">
        <v>766</v>
      </c>
      <c r="K1585" s="109" t="s">
        <v>598</v>
      </c>
      <c r="L1585" s="8">
        <v>40000</v>
      </c>
      <c r="M1585" s="8">
        <v>30</v>
      </c>
      <c r="N1585" s="39" t="s">
        <v>48</v>
      </c>
      <c r="O1585" s="39" t="s">
        <v>49</v>
      </c>
      <c r="P1585" s="135" t="s">
        <v>843</v>
      </c>
      <c r="Q1585" s="19">
        <v>180</v>
      </c>
      <c r="R1585" s="15">
        <f>Q1585/I1585</f>
        <v>0.1125</v>
      </c>
      <c r="S1585" s="5">
        <f>($AC1585*$AD1585)/(($Z1585/$Y1585)+($AA1585/$Z1585)+($AB1585/$AA1585))</f>
        <v>76.947040498442377</v>
      </c>
      <c r="T1585" s="5"/>
      <c r="U1585" s="109" t="s">
        <v>767</v>
      </c>
      <c r="V1585" s="2" t="s">
        <v>741</v>
      </c>
      <c r="W1585" s="10"/>
      <c r="X1585" s="2"/>
      <c r="Y1585" s="2">
        <v>2</v>
      </c>
      <c r="Z1585" s="2">
        <v>5</v>
      </c>
      <c r="AA1585" s="2">
        <v>13</v>
      </c>
      <c r="AB1585" s="2">
        <v>30</v>
      </c>
      <c r="AC1585" s="2">
        <v>19</v>
      </c>
      <c r="AD1585" s="2">
        <v>30</v>
      </c>
      <c r="AE1585" s="2">
        <f>AC1585*AD1585</f>
        <v>570</v>
      </c>
      <c r="AF1585" s="2">
        <f>Z1585/Y1585</f>
        <v>2.5</v>
      </c>
      <c r="AG1585" s="2">
        <f>AA1585/Z1585</f>
        <v>2.6</v>
      </c>
      <c r="AH1585" s="2">
        <f>AB1585/AA1585</f>
        <v>2.3076923076923075</v>
      </c>
    </row>
    <row r="1586" spans="1:34">
      <c r="A1586" s="165" t="s">
        <v>1383</v>
      </c>
      <c r="B1586" s="39" t="s">
        <v>63</v>
      </c>
      <c r="C1586" s="40">
        <v>46210</v>
      </c>
      <c r="D1586" s="144">
        <v>0.5</v>
      </c>
      <c r="E1586" s="193"/>
      <c r="F1586" s="8" t="s">
        <v>901</v>
      </c>
      <c r="G1586" s="2">
        <v>1</v>
      </c>
      <c r="H1586" s="2">
        <v>9</v>
      </c>
      <c r="I1586" s="125">
        <v>50</v>
      </c>
      <c r="J1586" s="2" t="s">
        <v>766</v>
      </c>
      <c r="K1586" s="88" t="s">
        <v>771</v>
      </c>
      <c r="L1586" s="90">
        <v>10000</v>
      </c>
      <c r="M1586" s="8">
        <v>10</v>
      </c>
      <c r="N1586" s="132" t="s">
        <v>821</v>
      </c>
      <c r="O1586" s="39" t="s">
        <v>49</v>
      </c>
      <c r="Q1586" s="19">
        <v>15</v>
      </c>
      <c r="R1586" s="15">
        <f>Q1586/I1586</f>
        <v>0.3</v>
      </c>
      <c r="S1586" s="5">
        <v>15</v>
      </c>
      <c r="U1586" s="109" t="s">
        <v>767</v>
      </c>
      <c r="V1586" s="71" t="s">
        <v>362</v>
      </c>
      <c r="W1586" s="8" t="s">
        <v>147</v>
      </c>
      <c r="Y1586" s="175"/>
      <c r="Z1586" s="175"/>
      <c r="AA1586" s="175"/>
      <c r="AB1586" s="175"/>
      <c r="AC1586" s="175"/>
      <c r="AD1586" s="175"/>
      <c r="AE1586" s="175"/>
      <c r="AF1586" s="175"/>
      <c r="AG1586" s="175"/>
      <c r="AH1586" s="175"/>
    </row>
    <row r="1587" spans="1:34">
      <c r="A1587" s="52" t="s">
        <v>229</v>
      </c>
      <c r="B1587" s="52" t="s">
        <v>230</v>
      </c>
      <c r="C1587" s="40">
        <v>46210</v>
      </c>
      <c r="D1587" s="42">
        <v>0.5</v>
      </c>
      <c r="E1587" s="193"/>
      <c r="F1587" s="8" t="s">
        <v>259</v>
      </c>
      <c r="G1587" s="2">
        <v>1</v>
      </c>
      <c r="I1587" s="45">
        <v>600</v>
      </c>
      <c r="J1587" s="2" t="s">
        <v>766</v>
      </c>
      <c r="K1587" s="185" t="s">
        <v>601</v>
      </c>
      <c r="L1587" s="90">
        <v>40000</v>
      </c>
      <c r="M1587" s="46" t="s">
        <v>22</v>
      </c>
      <c r="N1587" s="39" t="s">
        <v>48</v>
      </c>
      <c r="O1587" s="39" t="s">
        <v>863</v>
      </c>
      <c r="P1587" s="213">
        <v>40000</v>
      </c>
      <c r="Q1587" s="2">
        <v>85</v>
      </c>
      <c r="R1587" s="15">
        <f>IF(Q1587&gt;0,Q1587/I1587,"")</f>
        <v>0.14166666666666666</v>
      </c>
      <c r="S1587" s="149" t="s">
        <v>110</v>
      </c>
      <c r="T1587" s="149"/>
      <c r="U1587" s="109" t="s">
        <v>767</v>
      </c>
      <c r="V1587" s="2" t="s">
        <v>719</v>
      </c>
      <c r="W1587" s="205"/>
      <c r="AE1587" s="2">
        <f>AC1587*AD1587</f>
        <v>0</v>
      </c>
      <c r="AF1587" s="2" t="e">
        <f>Z1587/Y1587</f>
        <v>#DIV/0!</v>
      </c>
      <c r="AG1587" s="2" t="e">
        <f>AA1587/Z1587</f>
        <v>#DIV/0!</v>
      </c>
      <c r="AH1587" s="2" t="e">
        <f>AB1587/AA1587</f>
        <v>#DIV/0!</v>
      </c>
    </row>
    <row r="1588" spans="1:34">
      <c r="A1588" s="52" t="s">
        <v>220</v>
      </c>
      <c r="B1588" s="52" t="s">
        <v>221</v>
      </c>
      <c r="C1588" s="48">
        <v>46210</v>
      </c>
      <c r="D1588" s="42">
        <v>0.5</v>
      </c>
      <c r="E1588" s="193"/>
      <c r="F1588" s="8" t="s">
        <v>1044</v>
      </c>
      <c r="G1588" s="2">
        <v>2</v>
      </c>
      <c r="H1588" s="2">
        <v>9</v>
      </c>
      <c r="I1588" s="126">
        <v>2200</v>
      </c>
      <c r="J1588" s="2" t="s">
        <v>766</v>
      </c>
      <c r="K1588" s="88" t="s">
        <v>793</v>
      </c>
      <c r="L1588" s="90">
        <v>40000</v>
      </c>
      <c r="M1588" s="64">
        <v>40</v>
      </c>
      <c r="N1588" s="39" t="s">
        <v>48</v>
      </c>
      <c r="O1588" s="39" t="s">
        <v>49</v>
      </c>
      <c r="P1588" s="211" t="s">
        <v>846</v>
      </c>
      <c r="Q1588" s="19">
        <v>215</v>
      </c>
      <c r="R1588" s="15">
        <f>Q1588/I1588</f>
        <v>9.7727272727272732E-2</v>
      </c>
      <c r="S1588" s="5">
        <f>($AC1588*$AD1588)/(($Z1588/$Y1588)+($AA1588/$Z1588)+($AB1588/$AA1588))</f>
        <v>102.59605399792316</v>
      </c>
      <c r="U1588" s="109" t="s">
        <v>767</v>
      </c>
      <c r="V1588" s="205" t="s">
        <v>738</v>
      </c>
      <c r="W1588" s="205"/>
      <c r="Y1588" s="2">
        <v>2</v>
      </c>
      <c r="Z1588" s="2">
        <v>5</v>
      </c>
      <c r="AA1588" s="2">
        <v>13</v>
      </c>
      <c r="AB1588" s="2">
        <v>30</v>
      </c>
      <c r="AC1588" s="2">
        <v>19</v>
      </c>
      <c r="AD1588" s="2">
        <v>40</v>
      </c>
      <c r="AE1588" s="2">
        <f>AC1588*AD1588</f>
        <v>760</v>
      </c>
      <c r="AF1588" s="2">
        <f>Z1588/Y1588</f>
        <v>2.5</v>
      </c>
      <c r="AG1588" s="2">
        <f>AA1588/Z1588</f>
        <v>2.6</v>
      </c>
      <c r="AH1588" s="2">
        <f>AB1588/AA1588</f>
        <v>2.3076923076923075</v>
      </c>
    </row>
    <row r="1589" spans="1:34">
      <c r="A1589" s="165" t="s">
        <v>1383</v>
      </c>
      <c r="B1589" s="39" t="s">
        <v>63</v>
      </c>
      <c r="C1589" s="192">
        <v>46210</v>
      </c>
      <c r="D1589" s="144">
        <v>0.54166666666666663</v>
      </c>
      <c r="E1589" s="8"/>
      <c r="F1589" s="8" t="s">
        <v>881</v>
      </c>
      <c r="G1589" s="2">
        <v>1</v>
      </c>
      <c r="H1589" s="2">
        <v>9</v>
      </c>
      <c r="I1589" s="45">
        <v>250</v>
      </c>
      <c r="J1589" s="2" t="s">
        <v>766</v>
      </c>
      <c r="K1589" s="88" t="s">
        <v>787</v>
      </c>
      <c r="L1589" s="89">
        <v>25000</v>
      </c>
      <c r="M1589" s="205">
        <v>30</v>
      </c>
      <c r="N1589" s="39" t="s">
        <v>817</v>
      </c>
      <c r="O1589" s="39" t="s">
        <v>49</v>
      </c>
      <c r="P1589" s="210"/>
      <c r="Q1589" s="19">
        <v>50</v>
      </c>
      <c r="R1589" s="15">
        <f>Q1589/I1589</f>
        <v>0.2</v>
      </c>
      <c r="S1589" s="5">
        <v>44</v>
      </c>
      <c r="U1589" s="109" t="s">
        <v>767</v>
      </c>
      <c r="V1589" s="71" t="s">
        <v>360</v>
      </c>
      <c r="Y1589" s="175"/>
      <c r="Z1589" s="175"/>
      <c r="AA1589" s="175"/>
      <c r="AB1589" s="175"/>
      <c r="AC1589" s="175"/>
      <c r="AD1589" s="175"/>
      <c r="AE1589" s="175"/>
      <c r="AF1589" s="175"/>
      <c r="AG1589" s="175"/>
      <c r="AH1589" s="175"/>
    </row>
    <row r="1590" spans="1:34">
      <c r="A1590" s="52" t="s">
        <v>220</v>
      </c>
      <c r="B1590" s="52" t="s">
        <v>221</v>
      </c>
      <c r="C1590" s="48">
        <v>46210</v>
      </c>
      <c r="D1590" s="42">
        <v>0.54166666666666663</v>
      </c>
      <c r="E1590" s="193"/>
      <c r="F1590" s="8" t="s">
        <v>1299</v>
      </c>
      <c r="G1590" s="2">
        <v>2</v>
      </c>
      <c r="H1590" s="2">
        <v>9</v>
      </c>
      <c r="I1590" s="126">
        <v>1600</v>
      </c>
      <c r="J1590" s="2" t="s">
        <v>766</v>
      </c>
      <c r="K1590" s="109" t="s">
        <v>767</v>
      </c>
      <c r="L1590" s="90">
        <v>40000</v>
      </c>
      <c r="M1590" s="64">
        <v>40</v>
      </c>
      <c r="N1590" s="39" t="s">
        <v>48</v>
      </c>
      <c r="O1590" s="39" t="s">
        <v>49</v>
      </c>
      <c r="P1590" s="135" t="s">
        <v>846</v>
      </c>
      <c r="Q1590" s="19">
        <v>170</v>
      </c>
      <c r="R1590" s="15">
        <f>Q1590/I1590</f>
        <v>0.10625</v>
      </c>
      <c r="S1590" s="5">
        <f>($AC1590*$AD1590)/(($Z1590/$Y1590)+($AA1590/$Z1590)+($AB1590/$AA1590))</f>
        <v>102.59605399792316</v>
      </c>
      <c r="U1590" s="109" t="s">
        <v>219</v>
      </c>
      <c r="V1590" s="2" t="s">
        <v>738</v>
      </c>
      <c r="W1590" s="10"/>
      <c r="Y1590" s="2">
        <v>2</v>
      </c>
      <c r="Z1590" s="2">
        <v>5</v>
      </c>
      <c r="AA1590" s="2">
        <v>13</v>
      </c>
      <c r="AB1590" s="2">
        <v>30</v>
      </c>
      <c r="AC1590" s="2">
        <v>19</v>
      </c>
      <c r="AD1590" s="2">
        <v>40</v>
      </c>
      <c r="AE1590" s="2">
        <f>AC1590*AD1590</f>
        <v>760</v>
      </c>
      <c r="AF1590" s="2">
        <f>Z1590/Y1590</f>
        <v>2.5</v>
      </c>
      <c r="AG1590" s="2">
        <f>AA1590/Z1590</f>
        <v>2.6</v>
      </c>
      <c r="AH1590" s="2">
        <f>AB1590/AA1590</f>
        <v>2.3076923076923075</v>
      </c>
    </row>
    <row r="1591" spans="1:34" s="70" customFormat="1">
      <c r="A1591" s="68" t="s">
        <v>357</v>
      </c>
      <c r="B1591" s="68" t="s">
        <v>358</v>
      </c>
      <c r="C1591" s="48">
        <v>46210</v>
      </c>
      <c r="D1591" s="42">
        <v>0.58333333333333337</v>
      </c>
      <c r="E1591" s="8">
        <v>82</v>
      </c>
      <c r="F1591" s="63" t="s">
        <v>1375</v>
      </c>
      <c r="G1591" s="2">
        <v>2</v>
      </c>
      <c r="H1591" s="2">
        <v>8</v>
      </c>
      <c r="I1591" s="133">
        <v>2200</v>
      </c>
      <c r="J1591" s="2" t="s">
        <v>766</v>
      </c>
      <c r="K1591" s="137" t="s">
        <v>601</v>
      </c>
      <c r="L1591" s="89">
        <v>40000</v>
      </c>
      <c r="M1591" s="202">
        <v>40</v>
      </c>
      <c r="N1591" s="39" t="s">
        <v>48</v>
      </c>
      <c r="O1591" s="39" t="s">
        <v>57</v>
      </c>
      <c r="P1591" s="234">
        <v>500000</v>
      </c>
      <c r="Q1591" s="2">
        <v>200</v>
      </c>
      <c r="R1591" s="15">
        <f>Q1591/I1591</f>
        <v>9.0909090909090912E-2</v>
      </c>
      <c r="S1591" s="149" t="s">
        <v>110</v>
      </c>
      <c r="T1591" s="149"/>
      <c r="U1591" s="109" t="s">
        <v>219</v>
      </c>
      <c r="V1591" s="2" t="s">
        <v>700</v>
      </c>
      <c r="W1591" s="110" t="s">
        <v>701</v>
      </c>
      <c r="X1591" s="2"/>
      <c r="Y1591" s="2"/>
      <c r="Z1591" s="2"/>
      <c r="AA1591" s="2"/>
      <c r="AB1591" s="2"/>
      <c r="AC1591" s="2"/>
      <c r="AD1591" s="2"/>
      <c r="AE1591" s="2">
        <f>AC1591*AD1591</f>
        <v>0</v>
      </c>
      <c r="AF1591" s="2" t="e">
        <f>Z1591/Y1591</f>
        <v>#DIV/0!</v>
      </c>
      <c r="AG1591" s="2" t="e">
        <f>AA1591/Z1591</f>
        <v>#DIV/0!</v>
      </c>
      <c r="AH1591" s="2" t="e">
        <f>AB1591/AA1591</f>
        <v>#DIV/0!</v>
      </c>
    </row>
    <row r="1592" spans="1:34">
      <c r="A1592" s="52" t="s">
        <v>220</v>
      </c>
      <c r="B1592" s="52" t="s">
        <v>221</v>
      </c>
      <c r="C1592" s="48">
        <v>46210</v>
      </c>
      <c r="D1592" s="42">
        <v>0.58333333333333337</v>
      </c>
      <c r="E1592" s="193"/>
      <c r="F1592" s="8" t="s">
        <v>1086</v>
      </c>
      <c r="G1592" s="2">
        <v>1</v>
      </c>
      <c r="H1592" s="2">
        <v>9</v>
      </c>
      <c r="I1592" s="126">
        <v>400</v>
      </c>
      <c r="J1592" s="2" t="s">
        <v>766</v>
      </c>
      <c r="K1592" s="88" t="s">
        <v>783</v>
      </c>
      <c r="L1592" s="91">
        <v>20000</v>
      </c>
      <c r="M1592" s="8">
        <v>20</v>
      </c>
      <c r="N1592" s="39" t="s">
        <v>61</v>
      </c>
      <c r="O1592" s="39" t="s">
        <v>49</v>
      </c>
      <c r="P1592" s="141" t="s">
        <v>225</v>
      </c>
      <c r="Q1592" s="19">
        <v>63</v>
      </c>
      <c r="R1592" s="15">
        <f>Q1592/I1592</f>
        <v>0.1575</v>
      </c>
      <c r="S1592" s="5">
        <f>($AC1592*$AD1592)/(($Z1592/$Y1592)+($AA1592/$Z1592)+($AB1592/$AA1592))</f>
        <v>31.111111111111111</v>
      </c>
      <c r="U1592" s="109" t="s">
        <v>767</v>
      </c>
      <c r="V1592" s="2" t="s">
        <v>738</v>
      </c>
      <c r="Y1592" s="2">
        <v>2</v>
      </c>
      <c r="Z1592" s="2">
        <v>5</v>
      </c>
      <c r="AA1592" s="2">
        <v>20</v>
      </c>
      <c r="AB1592" s="2">
        <v>50</v>
      </c>
      <c r="AC1592" s="2">
        <v>14</v>
      </c>
      <c r="AD1592" s="2">
        <v>20</v>
      </c>
      <c r="AE1592" s="2">
        <f>AC1592*AD1592</f>
        <v>280</v>
      </c>
      <c r="AF1592" s="2">
        <f>Z1592/Y1592</f>
        <v>2.5</v>
      </c>
      <c r="AG1592" s="2">
        <f>AA1592/Z1592</f>
        <v>4</v>
      </c>
      <c r="AH1592" s="2">
        <f>AB1592/AA1592</f>
        <v>2.5</v>
      </c>
    </row>
    <row r="1593" spans="1:34">
      <c r="A1593" s="96" t="s">
        <v>461</v>
      </c>
      <c r="B1593" s="96" t="s">
        <v>462</v>
      </c>
      <c r="C1593" s="192">
        <v>46210</v>
      </c>
      <c r="D1593" s="42">
        <v>0.59027777777777779</v>
      </c>
      <c r="E1593" s="193"/>
      <c r="F1593" s="8" t="s">
        <v>276</v>
      </c>
      <c r="G1593" s="2">
        <v>1</v>
      </c>
      <c r="I1593" s="126">
        <v>120</v>
      </c>
      <c r="J1593" s="2" t="s">
        <v>766</v>
      </c>
      <c r="K1593" s="109" t="s">
        <v>602</v>
      </c>
      <c r="L1593" s="8">
        <v>15000</v>
      </c>
      <c r="M1593" s="54">
        <v>20</v>
      </c>
      <c r="N1593" s="39" t="s">
        <v>48</v>
      </c>
      <c r="O1593" s="39" t="s">
        <v>451</v>
      </c>
      <c r="P1593" s="53">
        <v>6000</v>
      </c>
      <c r="Q1593" s="2">
        <v>24</v>
      </c>
      <c r="R1593" s="15">
        <f>Q1593/I1593</f>
        <v>0.2</v>
      </c>
      <c r="S1593" s="149" t="s">
        <v>110</v>
      </c>
      <c r="T1593" s="149"/>
      <c r="U1593" s="109" t="s">
        <v>767</v>
      </c>
      <c r="V1593" s="2" t="s">
        <v>735</v>
      </c>
      <c r="AE1593" s="2">
        <f>AC1593*AD1593</f>
        <v>0</v>
      </c>
      <c r="AF1593" s="2" t="e">
        <f>Z1593/Y1593</f>
        <v>#DIV/0!</v>
      </c>
      <c r="AG1593" s="2" t="e">
        <f>AA1593/Z1593</f>
        <v>#DIV/0!</v>
      </c>
      <c r="AH1593" s="2" t="e">
        <f>AB1593/AA1593</f>
        <v>#DIV/0!</v>
      </c>
    </row>
    <row r="1594" spans="1:34">
      <c r="A1594" s="165" t="s">
        <v>1383</v>
      </c>
      <c r="B1594" s="39" t="s">
        <v>63</v>
      </c>
      <c r="C1594" s="192">
        <v>46210</v>
      </c>
      <c r="D1594" s="144">
        <v>0.625</v>
      </c>
      <c r="F1594" s="8" t="s">
        <v>127</v>
      </c>
      <c r="G1594" s="2">
        <v>1</v>
      </c>
      <c r="I1594" s="45">
        <v>250</v>
      </c>
      <c r="J1594" s="2" t="s">
        <v>766</v>
      </c>
      <c r="K1594" s="88" t="s">
        <v>785</v>
      </c>
      <c r="L1594" s="89">
        <v>25000</v>
      </c>
      <c r="M1594" s="232" t="s">
        <v>128</v>
      </c>
      <c r="N1594" s="39" t="s">
        <v>818</v>
      </c>
      <c r="O1594" s="39" t="s">
        <v>122</v>
      </c>
      <c r="P1594" s="66"/>
      <c r="Q1594" s="2">
        <v>50</v>
      </c>
      <c r="R1594" s="15">
        <f>Q1594/I1594</f>
        <v>0.2</v>
      </c>
      <c r="S1594" s="149" t="s">
        <v>110</v>
      </c>
      <c r="T1594" s="149"/>
      <c r="U1594" s="109" t="s">
        <v>767</v>
      </c>
      <c r="V1594" s="71" t="s">
        <v>360</v>
      </c>
      <c r="AE1594" s="2">
        <f>AC1594*AD1594</f>
        <v>0</v>
      </c>
      <c r="AF1594" s="2" t="e">
        <f>Z1594/Y1594</f>
        <v>#DIV/0!</v>
      </c>
      <c r="AG1594" s="2" t="e">
        <f>AA1594/Z1594</f>
        <v>#DIV/0!</v>
      </c>
      <c r="AH1594" s="2" t="e">
        <f>AB1594/AA1594</f>
        <v>#DIV/0!</v>
      </c>
    </row>
    <row r="1595" spans="1:34">
      <c r="A1595" s="165" t="s">
        <v>1383</v>
      </c>
      <c r="B1595" s="39" t="s">
        <v>63</v>
      </c>
      <c r="C1595" s="192">
        <v>46210</v>
      </c>
      <c r="D1595" s="144">
        <v>0.625</v>
      </c>
      <c r="E1595" s="193"/>
      <c r="F1595" s="8" t="s">
        <v>912</v>
      </c>
      <c r="G1595" s="2">
        <v>1</v>
      </c>
      <c r="H1595" s="2">
        <v>9</v>
      </c>
      <c r="I1595" s="45">
        <v>240</v>
      </c>
      <c r="J1595" s="2" t="s">
        <v>766</v>
      </c>
      <c r="K1595" s="88" t="s">
        <v>784</v>
      </c>
      <c r="L1595" s="89">
        <v>10000</v>
      </c>
      <c r="M1595" s="202">
        <v>20</v>
      </c>
      <c r="N1595" s="132" t="s">
        <v>821</v>
      </c>
      <c r="O1595" s="39" t="s">
        <v>49</v>
      </c>
      <c r="P1595" s="130"/>
      <c r="Q1595" s="19">
        <v>40</v>
      </c>
      <c r="R1595" s="15">
        <v>0.16666666666666666</v>
      </c>
      <c r="S1595" s="5">
        <v>29</v>
      </c>
      <c r="U1595" s="109" t="s">
        <v>767</v>
      </c>
      <c r="V1595" s="71" t="s">
        <v>362</v>
      </c>
      <c r="W1595" s="8" t="s">
        <v>367</v>
      </c>
      <c r="Y1595" s="175"/>
      <c r="Z1595" s="175"/>
      <c r="AA1595" s="175"/>
      <c r="AB1595" s="175"/>
      <c r="AC1595" s="175"/>
      <c r="AD1595" s="175"/>
      <c r="AE1595" s="175"/>
      <c r="AF1595" s="175"/>
      <c r="AG1595" s="175"/>
      <c r="AH1595" s="175"/>
    </row>
    <row r="1596" spans="1:34">
      <c r="A1596" s="186" t="s">
        <v>1397</v>
      </c>
      <c r="B1596" s="186" t="s">
        <v>1398</v>
      </c>
      <c r="C1596" s="192">
        <v>46210</v>
      </c>
      <c r="D1596" s="42">
        <v>0.625</v>
      </c>
      <c r="F1596" s="186" t="s">
        <v>1405</v>
      </c>
      <c r="G1596" s="2">
        <v>1</v>
      </c>
      <c r="H1596" s="2">
        <v>8</v>
      </c>
      <c r="I1596" s="37">
        <v>15000</v>
      </c>
      <c r="J1596" s="2" t="s">
        <v>766</v>
      </c>
      <c r="K1596" s="56">
        <v>0.8125</v>
      </c>
      <c r="L1596" s="89">
        <v>125000</v>
      </c>
      <c r="M1596" s="202">
        <v>30</v>
      </c>
      <c r="N1596" s="39" t="s">
        <v>48</v>
      </c>
      <c r="O1596" s="187" t="s">
        <v>49</v>
      </c>
      <c r="Q1596" s="19">
        <v>100</v>
      </c>
      <c r="R1596" s="15">
        <f>Q1596/I1596</f>
        <v>6.6666666666666671E-3</v>
      </c>
      <c r="S1596" s="215">
        <f>($AC1596*$AD1596)/(($Z1596/$Y1596)+($AA1596/$Z1596)+($AB1596/$AA1596))</f>
        <v>77.142857142857139</v>
      </c>
      <c r="V1596" s="205" t="s">
        <v>1409</v>
      </c>
      <c r="W1596" s="230" t="s">
        <v>1410</v>
      </c>
      <c r="Y1596" s="2">
        <v>10</v>
      </c>
      <c r="Z1596" s="2">
        <v>20</v>
      </c>
      <c r="AA1596" s="2">
        <v>50</v>
      </c>
      <c r="AB1596" s="2">
        <v>125</v>
      </c>
      <c r="AC1596" s="2">
        <v>18</v>
      </c>
      <c r="AD1596" s="2">
        <v>30</v>
      </c>
      <c r="AE1596" s="2">
        <f>AC1596*AD1596</f>
        <v>540</v>
      </c>
      <c r="AF1596" s="2">
        <f>Z1596/Y1596</f>
        <v>2</v>
      </c>
      <c r="AG1596" s="2">
        <f>AA1596/Z1596</f>
        <v>2.5</v>
      </c>
      <c r="AH1596" s="2">
        <f>AB1596/AA1596</f>
        <v>2.5</v>
      </c>
    </row>
    <row r="1597" spans="1:34">
      <c r="A1597" s="165" t="s">
        <v>1383</v>
      </c>
      <c r="B1597" s="39" t="s">
        <v>63</v>
      </c>
      <c r="C1597" s="192">
        <v>46210</v>
      </c>
      <c r="D1597" s="144">
        <v>0.66666666666666663</v>
      </c>
      <c r="E1597" s="8"/>
      <c r="F1597" s="8" t="s">
        <v>1024</v>
      </c>
      <c r="G1597" s="2">
        <v>1</v>
      </c>
      <c r="H1597" s="2">
        <v>9</v>
      </c>
      <c r="I1597" s="45">
        <v>400</v>
      </c>
      <c r="J1597" s="2" t="s">
        <v>766</v>
      </c>
      <c r="K1597" s="88" t="s">
        <v>794</v>
      </c>
      <c r="L1597" s="89">
        <v>30000</v>
      </c>
      <c r="M1597" s="205">
        <v>20</v>
      </c>
      <c r="N1597" s="39" t="s">
        <v>817</v>
      </c>
      <c r="O1597" s="39" t="s">
        <v>49</v>
      </c>
      <c r="P1597" s="130"/>
      <c r="Q1597" s="19">
        <v>70</v>
      </c>
      <c r="R1597" s="15">
        <f>Q1597/I1597</f>
        <v>0.17499999999999999</v>
      </c>
      <c r="S1597" s="5">
        <v>37</v>
      </c>
      <c r="U1597" s="109" t="s">
        <v>129</v>
      </c>
      <c r="V1597" s="71" t="s">
        <v>360</v>
      </c>
      <c r="Y1597" s="175"/>
      <c r="Z1597" s="175"/>
      <c r="AA1597" s="175"/>
      <c r="AB1597" s="175"/>
      <c r="AC1597" s="175"/>
      <c r="AD1597" s="175"/>
      <c r="AE1597" s="175"/>
      <c r="AF1597" s="175"/>
      <c r="AG1597" s="175"/>
      <c r="AH1597" s="175"/>
    </row>
    <row r="1598" spans="1:34">
      <c r="A1598" s="52" t="s">
        <v>229</v>
      </c>
      <c r="B1598" s="52" t="s">
        <v>230</v>
      </c>
      <c r="C1598" s="40">
        <v>46210</v>
      </c>
      <c r="D1598" s="42">
        <v>0.66666666666666663</v>
      </c>
      <c r="E1598" s="193"/>
      <c r="F1598" s="8" t="s">
        <v>264</v>
      </c>
      <c r="G1598" s="2">
        <v>1</v>
      </c>
      <c r="I1598" s="126">
        <v>240</v>
      </c>
      <c r="J1598" s="2" t="s">
        <v>766</v>
      </c>
      <c r="K1598" s="88" t="s">
        <v>795</v>
      </c>
      <c r="L1598" s="90">
        <v>30000</v>
      </c>
      <c r="M1598" s="8">
        <v>20</v>
      </c>
      <c r="N1598" s="39" t="s">
        <v>48</v>
      </c>
      <c r="O1598" s="39" t="s">
        <v>373</v>
      </c>
      <c r="P1598" s="66">
        <v>10000</v>
      </c>
      <c r="Q1598" s="2">
        <v>40</v>
      </c>
      <c r="R1598" s="15">
        <f>IF(Q1598&gt;0,Q1598/I1598,"")</f>
        <v>0.16666666666666666</v>
      </c>
      <c r="S1598" s="149" t="s">
        <v>110</v>
      </c>
      <c r="T1598" s="149"/>
      <c r="U1598" s="109" t="s">
        <v>767</v>
      </c>
      <c r="V1598" s="2" t="s">
        <v>719</v>
      </c>
      <c r="AE1598" s="2">
        <f>AC1598*AD1598</f>
        <v>0</v>
      </c>
      <c r="AF1598" s="2" t="e">
        <f>Z1598/Y1598</f>
        <v>#DIV/0!</v>
      </c>
      <c r="AG1598" s="2" t="e">
        <f>AA1598/Z1598</f>
        <v>#DIV/0!</v>
      </c>
      <c r="AH1598" s="2" t="e">
        <f>AB1598/AA1598</f>
        <v>#DIV/0!</v>
      </c>
    </row>
    <row r="1599" spans="1:34">
      <c r="A1599" s="102" t="s">
        <v>475</v>
      </c>
      <c r="B1599" s="102" t="s">
        <v>476</v>
      </c>
      <c r="C1599" s="40">
        <v>46210</v>
      </c>
      <c r="D1599" s="42">
        <v>0.75</v>
      </c>
      <c r="E1599" s="8" t="s">
        <v>529</v>
      </c>
      <c r="F1599" s="8" t="s">
        <v>530</v>
      </c>
      <c r="G1599" s="2">
        <v>2</v>
      </c>
      <c r="H1599" s="2">
        <v>9</v>
      </c>
      <c r="I1599" s="126">
        <v>700</v>
      </c>
      <c r="J1599" s="2" t="s">
        <v>766</v>
      </c>
      <c r="K1599" s="109" t="s">
        <v>601</v>
      </c>
      <c r="L1599" s="105">
        <v>50000</v>
      </c>
      <c r="M1599" s="64" t="s">
        <v>22</v>
      </c>
      <c r="N1599" s="39" t="s">
        <v>48</v>
      </c>
      <c r="O1599" s="39" t="s">
        <v>49</v>
      </c>
      <c r="P1599" s="211" t="s">
        <v>842</v>
      </c>
      <c r="Q1599" s="19">
        <v>90</v>
      </c>
      <c r="R1599" s="15">
        <f>Q1599/I1599</f>
        <v>0.12857142857142856</v>
      </c>
      <c r="S1599" s="5">
        <f>($AC1599*$AD1599)/(($Z1599/$Y1599)+($AA1599/$Z1599)+($AB1599/$AA1599))</f>
        <v>66.122448979591837</v>
      </c>
      <c r="U1599" s="109" t="s">
        <v>767</v>
      </c>
      <c r="V1599" s="2" t="s">
        <v>606</v>
      </c>
      <c r="Y1599" s="2">
        <v>2.5</v>
      </c>
      <c r="Z1599" s="2">
        <v>7.5</v>
      </c>
      <c r="AA1599" s="2">
        <v>20</v>
      </c>
      <c r="AB1599" s="2">
        <v>50</v>
      </c>
      <c r="AC1599" s="2">
        <v>30</v>
      </c>
      <c r="AD1599" s="2">
        <v>18</v>
      </c>
      <c r="AE1599" s="2">
        <f>AC1599*AD1599</f>
        <v>540</v>
      </c>
      <c r="AF1599" s="2">
        <f>Z1599/Y1599</f>
        <v>3</v>
      </c>
      <c r="AG1599" s="2">
        <f>AA1599/Z1599</f>
        <v>2.6666666666666665</v>
      </c>
      <c r="AH1599" s="2">
        <f>AB1599/AA1599</f>
        <v>2.5</v>
      </c>
    </row>
    <row r="1600" spans="1:34">
      <c r="A1600" s="52" t="s">
        <v>229</v>
      </c>
      <c r="B1600" s="52" t="s">
        <v>230</v>
      </c>
      <c r="C1600" s="40">
        <v>46210</v>
      </c>
      <c r="D1600" s="42">
        <v>0.75</v>
      </c>
      <c r="E1600" s="193"/>
      <c r="F1600" s="8" t="s">
        <v>244</v>
      </c>
      <c r="G1600" s="2">
        <v>1</v>
      </c>
      <c r="I1600" s="125">
        <v>200</v>
      </c>
      <c r="J1600" s="2" t="s">
        <v>766</v>
      </c>
      <c r="K1600" s="88" t="s">
        <v>804</v>
      </c>
      <c r="L1600" s="90">
        <v>30000</v>
      </c>
      <c r="M1600" s="8">
        <v>20</v>
      </c>
      <c r="N1600" s="39" t="s">
        <v>48</v>
      </c>
      <c r="O1600" s="39" t="s">
        <v>49</v>
      </c>
      <c r="P1600" s="135" t="s">
        <v>832</v>
      </c>
      <c r="Q1600" s="19">
        <v>40</v>
      </c>
      <c r="R1600" s="15">
        <f>IF(Q1600&gt;0,Q1600/I1600,"")</f>
        <v>0.2</v>
      </c>
      <c r="S1600" s="5">
        <f>($AC1600*$AD1600)/(($Z1600/$Y1600)+($AA1600/$Z1600)+($AB1600/$AA1600))</f>
        <v>35.555555555555557</v>
      </c>
      <c r="U1600" s="109" t="s">
        <v>767</v>
      </c>
      <c r="V1600" s="205" t="s">
        <v>719</v>
      </c>
      <c r="Y1600" s="2">
        <v>2</v>
      </c>
      <c r="Z1600" s="2">
        <v>5</v>
      </c>
      <c r="AA1600" s="2">
        <v>20</v>
      </c>
      <c r="AB1600" s="2">
        <v>50</v>
      </c>
      <c r="AC1600" s="2">
        <v>20</v>
      </c>
      <c r="AD1600" s="2">
        <v>16</v>
      </c>
      <c r="AE1600" s="2">
        <f>AC1600*AD1600</f>
        <v>320</v>
      </c>
      <c r="AF1600" s="2">
        <f>Z1600/Y1600</f>
        <v>2.5</v>
      </c>
      <c r="AG1600" s="2">
        <f>AA1600/Z1600</f>
        <v>4</v>
      </c>
      <c r="AH1600" s="2">
        <f>AB1600/AA1600</f>
        <v>2.5</v>
      </c>
    </row>
    <row r="1601" spans="1:34">
      <c r="A1601" s="52" t="s">
        <v>220</v>
      </c>
      <c r="B1601" s="52" t="s">
        <v>221</v>
      </c>
      <c r="C1601" s="48">
        <v>46210</v>
      </c>
      <c r="D1601" s="42">
        <v>0.75</v>
      </c>
      <c r="E1601" s="193"/>
      <c r="F1601" s="8" t="s">
        <v>1073</v>
      </c>
      <c r="G1601" s="2">
        <v>1</v>
      </c>
      <c r="H1601" s="2">
        <v>9</v>
      </c>
      <c r="I1601" s="126">
        <v>1100</v>
      </c>
      <c r="J1601" s="2" t="s">
        <v>766</v>
      </c>
      <c r="K1601" s="88" t="s">
        <v>799</v>
      </c>
      <c r="L1601" s="90">
        <v>30000</v>
      </c>
      <c r="M1601" s="64">
        <v>20</v>
      </c>
      <c r="N1601" s="39" t="s">
        <v>48</v>
      </c>
      <c r="O1601" s="39" t="s">
        <v>49</v>
      </c>
      <c r="P1601" s="140" t="s">
        <v>838</v>
      </c>
      <c r="Q1601" s="19">
        <v>125</v>
      </c>
      <c r="R1601" s="15">
        <f>Q1601/I1601</f>
        <v>0.11363636363636363</v>
      </c>
      <c r="S1601" s="5">
        <f>($AC1601*$AD1601)/(($Z1601/$Y1601)+($AA1601/$Z1601)+($AB1601/$AA1601))</f>
        <v>41.632653061224495</v>
      </c>
      <c r="U1601" s="109" t="s">
        <v>129</v>
      </c>
      <c r="V1601" s="205" t="s">
        <v>738</v>
      </c>
      <c r="W1601" s="205"/>
      <c r="Y1601" s="2">
        <v>2</v>
      </c>
      <c r="Z1601" s="2">
        <v>5</v>
      </c>
      <c r="AA1601" s="2">
        <v>15</v>
      </c>
      <c r="AB1601" s="2">
        <v>40</v>
      </c>
      <c r="AC1601" s="2">
        <v>17</v>
      </c>
      <c r="AD1601" s="115">
        <v>20</v>
      </c>
      <c r="AE1601" s="2">
        <f>AC1601*AD1601</f>
        <v>340</v>
      </c>
      <c r="AF1601" s="2">
        <f>Z1601/Y1601</f>
        <v>2.5</v>
      </c>
      <c r="AG1601" s="2">
        <f>AA1601/Z1601</f>
        <v>3</v>
      </c>
      <c r="AH1601" s="2">
        <f>AB1601/AA1601</f>
        <v>2.6666666666666665</v>
      </c>
    </row>
    <row r="1602" spans="1:34">
      <c r="A1602" s="96" t="s">
        <v>461</v>
      </c>
      <c r="B1602" s="96" t="s">
        <v>462</v>
      </c>
      <c r="C1602" s="192">
        <v>46210</v>
      </c>
      <c r="D1602" s="42">
        <v>0.75694444444444442</v>
      </c>
      <c r="F1602" s="8" t="s">
        <v>470</v>
      </c>
      <c r="G1602" s="2">
        <v>2</v>
      </c>
      <c r="I1602" s="125">
        <v>300</v>
      </c>
      <c r="J1602" s="2" t="s">
        <v>766</v>
      </c>
      <c r="K1602" s="109" t="s">
        <v>598</v>
      </c>
      <c r="L1602" s="8">
        <v>30000</v>
      </c>
      <c r="M1602" s="202">
        <v>30</v>
      </c>
      <c r="N1602" s="39" t="s">
        <v>48</v>
      </c>
      <c r="O1602" s="39" t="s">
        <v>49</v>
      </c>
      <c r="P1602" s="135" t="s">
        <v>842</v>
      </c>
      <c r="Q1602" s="19">
        <v>65</v>
      </c>
      <c r="R1602" s="15">
        <f>Q1602/I1602</f>
        <v>0.21666666666666667</v>
      </c>
      <c r="S1602" s="5">
        <f>($AC1602*$AD1602)/(($Z1602/$Y1602)+($AA1602/$Z1602)+($AB1602/$AA1602))</f>
        <v>53.333333333333336</v>
      </c>
      <c r="U1602" s="109" t="s">
        <v>767</v>
      </c>
      <c r="V1602" s="205" t="s">
        <v>735</v>
      </c>
      <c r="W1602" s="205"/>
      <c r="Y1602" s="2">
        <v>2</v>
      </c>
      <c r="Z1602" s="2">
        <v>5</v>
      </c>
      <c r="AA1602" s="2">
        <v>20</v>
      </c>
      <c r="AB1602" s="2">
        <v>50</v>
      </c>
      <c r="AC1602" s="2">
        <v>16</v>
      </c>
      <c r="AD1602" s="2">
        <v>30</v>
      </c>
      <c r="AE1602" s="2">
        <f>AC1602*AD1602</f>
        <v>480</v>
      </c>
      <c r="AF1602" s="2">
        <f>Z1602/Y1602</f>
        <v>2.5</v>
      </c>
      <c r="AG1602" s="2">
        <f>AA1602/Z1602</f>
        <v>4</v>
      </c>
      <c r="AH1602" s="2">
        <f>AB1602/AA1602</f>
        <v>2.5</v>
      </c>
    </row>
    <row r="1603" spans="1:34">
      <c r="A1603" s="68" t="s">
        <v>357</v>
      </c>
      <c r="B1603" s="68" t="s">
        <v>358</v>
      </c>
      <c r="C1603" s="48">
        <v>46210</v>
      </c>
      <c r="D1603" s="42">
        <v>0.75694444444444442</v>
      </c>
      <c r="E1603" s="8">
        <v>84</v>
      </c>
      <c r="F1603" s="63" t="s">
        <v>290</v>
      </c>
      <c r="G1603" s="2">
        <v>1</v>
      </c>
      <c r="H1603" s="2">
        <v>9</v>
      </c>
      <c r="I1603" s="126">
        <v>600</v>
      </c>
      <c r="J1603" s="2" t="s">
        <v>766</v>
      </c>
      <c r="K1603" s="137" t="s">
        <v>602</v>
      </c>
      <c r="L1603" s="89">
        <v>25000</v>
      </c>
      <c r="M1603" s="202">
        <v>30</v>
      </c>
      <c r="N1603" s="39" t="s">
        <v>48</v>
      </c>
      <c r="O1603" s="39" t="s">
        <v>49</v>
      </c>
      <c r="P1603" s="140" t="s">
        <v>836</v>
      </c>
      <c r="Q1603" s="19">
        <v>80</v>
      </c>
      <c r="R1603" s="15">
        <f>Q1603/I1603</f>
        <v>0.13333333333333333</v>
      </c>
      <c r="S1603" s="5">
        <f>($AC1603*$AD1603)/(($Z1603/$Y1603)+($AA1603/$Z1603)+($AB1603/$AA1603))</f>
        <v>55.03292568203198</v>
      </c>
      <c r="U1603" s="109" t="s">
        <v>219</v>
      </c>
      <c r="V1603" s="2" t="s">
        <v>662</v>
      </c>
      <c r="W1603" s="220" t="s">
        <v>389</v>
      </c>
      <c r="Y1603" s="2">
        <v>2.5</v>
      </c>
      <c r="Z1603" s="2">
        <v>6.5</v>
      </c>
      <c r="AA1603" s="2">
        <v>20</v>
      </c>
      <c r="AB1603" s="2">
        <v>50</v>
      </c>
      <c r="AC1603" s="2">
        <v>30</v>
      </c>
      <c r="AD1603" s="2">
        <v>15</v>
      </c>
      <c r="AE1603" s="2">
        <f>AC1603*AD1603</f>
        <v>450</v>
      </c>
      <c r="AF1603" s="2">
        <f>Z1603/Y1603</f>
        <v>2.6</v>
      </c>
      <c r="AG1603" s="2">
        <f>AA1603/Z1603</f>
        <v>3.0769230769230771</v>
      </c>
      <c r="AH1603" s="2">
        <f>AB1603/AA1603</f>
        <v>2.5</v>
      </c>
    </row>
    <row r="1604" spans="1:34">
      <c r="A1604" s="95" t="s">
        <v>447</v>
      </c>
      <c r="B1604" s="95" t="s">
        <v>448</v>
      </c>
      <c r="C1604" s="40">
        <v>46210</v>
      </c>
      <c r="D1604" s="42">
        <v>0.79166666666666663</v>
      </c>
      <c r="E1604" s="193"/>
      <c r="F1604" s="8" t="s">
        <v>403</v>
      </c>
      <c r="G1604" s="2">
        <v>1</v>
      </c>
      <c r="H1604" s="2">
        <v>9</v>
      </c>
      <c r="I1604" s="126">
        <v>300</v>
      </c>
      <c r="J1604" s="2" t="s">
        <v>766</v>
      </c>
      <c r="K1604" s="109" t="s">
        <v>602</v>
      </c>
      <c r="L1604" s="8">
        <v>25000</v>
      </c>
      <c r="M1604" s="8">
        <v>25</v>
      </c>
      <c r="N1604" s="39" t="s">
        <v>48</v>
      </c>
      <c r="O1604" s="39" t="s">
        <v>49</v>
      </c>
      <c r="P1604" s="212" t="s">
        <v>834</v>
      </c>
      <c r="Q1604" s="19">
        <v>50</v>
      </c>
      <c r="R1604" s="15">
        <f>Q1604/I1604</f>
        <v>0.16666666666666666</v>
      </c>
      <c r="S1604" s="5">
        <f>($AC1604*$AD1604)/(($Z1604/$Y1604)+($AA1604/$Z1604)+($AB1604/$AA1604))</f>
        <v>37.5</v>
      </c>
      <c r="U1604" s="109" t="s">
        <v>767</v>
      </c>
      <c r="V1604" s="2" t="s">
        <v>741</v>
      </c>
      <c r="W1604" s="10"/>
      <c r="Y1604" s="2">
        <v>2.5</v>
      </c>
      <c r="Z1604" s="2">
        <v>7.5</v>
      </c>
      <c r="AA1604" s="2">
        <v>25</v>
      </c>
      <c r="AB1604" s="2">
        <v>75</v>
      </c>
      <c r="AC1604" s="2">
        <v>14</v>
      </c>
      <c r="AD1604" s="2">
        <v>25</v>
      </c>
      <c r="AE1604" s="2">
        <f>AC1604*AD1604</f>
        <v>350</v>
      </c>
      <c r="AF1604" s="2">
        <f>Z1604/Y1604</f>
        <v>3</v>
      </c>
      <c r="AG1604" s="2">
        <f>AA1604/Z1604</f>
        <v>3.3333333333333335</v>
      </c>
      <c r="AH1604" s="2">
        <f>AB1604/AA1604</f>
        <v>3</v>
      </c>
    </row>
    <row r="1605" spans="1:34">
      <c r="A1605" s="165" t="s">
        <v>1383</v>
      </c>
      <c r="B1605" s="39" t="s">
        <v>63</v>
      </c>
      <c r="C1605" s="192">
        <v>46210</v>
      </c>
      <c r="D1605" s="144">
        <v>0.79166666666666663</v>
      </c>
      <c r="E1605" s="193"/>
      <c r="F1605" s="8" t="s">
        <v>917</v>
      </c>
      <c r="G1605" s="2">
        <v>1</v>
      </c>
      <c r="H1605" s="2">
        <v>9</v>
      </c>
      <c r="I1605" s="57">
        <v>585</v>
      </c>
      <c r="J1605" s="2" t="s">
        <v>766</v>
      </c>
      <c r="K1605" s="88" t="s">
        <v>800</v>
      </c>
      <c r="L1605" s="89">
        <v>10000</v>
      </c>
      <c r="M1605" s="54">
        <v>20</v>
      </c>
      <c r="N1605" s="132" t="s">
        <v>821</v>
      </c>
      <c r="O1605" s="39" t="s">
        <v>49</v>
      </c>
      <c r="P1605" s="210"/>
      <c r="Q1605" s="19">
        <v>89</v>
      </c>
      <c r="R1605" s="59">
        <f>Q1605/I1605</f>
        <v>0.15213675213675212</v>
      </c>
      <c r="S1605" s="5">
        <v>29</v>
      </c>
      <c r="U1605" s="109" t="s">
        <v>767</v>
      </c>
      <c r="V1605" s="83" t="s">
        <v>362</v>
      </c>
      <c r="W1605" s="194" t="s">
        <v>368</v>
      </c>
      <c r="Y1605" s="175"/>
      <c r="Z1605" s="175"/>
      <c r="AA1605" s="175"/>
      <c r="AB1605" s="175"/>
      <c r="AC1605" s="175"/>
      <c r="AD1605" s="175"/>
      <c r="AE1605" s="175"/>
      <c r="AF1605" s="175"/>
      <c r="AG1605" s="175"/>
      <c r="AH1605" s="175"/>
    </row>
    <row r="1606" spans="1:34" s="70" customFormat="1">
      <c r="A1606" s="165" t="s">
        <v>1383</v>
      </c>
      <c r="B1606" s="39" t="s">
        <v>63</v>
      </c>
      <c r="C1606" s="192">
        <v>46210</v>
      </c>
      <c r="D1606" s="144">
        <v>0.83333333333333337</v>
      </c>
      <c r="E1606" s="8"/>
      <c r="F1606" s="8" t="s">
        <v>1023</v>
      </c>
      <c r="G1606" s="2">
        <v>1</v>
      </c>
      <c r="H1606" s="2">
        <v>9</v>
      </c>
      <c r="I1606" s="45">
        <v>200</v>
      </c>
      <c r="J1606" s="2" t="s">
        <v>766</v>
      </c>
      <c r="K1606" s="88" t="s">
        <v>806</v>
      </c>
      <c r="L1606" s="89">
        <v>20000</v>
      </c>
      <c r="M1606" s="2">
        <v>20</v>
      </c>
      <c r="N1606" s="39" t="s">
        <v>817</v>
      </c>
      <c r="O1606" s="39" t="s">
        <v>49</v>
      </c>
      <c r="P1606" s="130"/>
      <c r="Q1606" s="19">
        <v>45</v>
      </c>
      <c r="R1606" s="15">
        <f>Q1606/I1606</f>
        <v>0.22500000000000001</v>
      </c>
      <c r="S1606" s="5">
        <v>23</v>
      </c>
      <c r="T1606" s="5"/>
      <c r="U1606" s="109" t="s">
        <v>129</v>
      </c>
      <c r="V1606" s="71" t="s">
        <v>360</v>
      </c>
      <c r="W1606" s="10"/>
      <c r="X1606" s="2"/>
      <c r="Y1606" s="175"/>
      <c r="Z1606" s="175"/>
      <c r="AA1606" s="175"/>
      <c r="AB1606" s="175"/>
      <c r="AC1606" s="175"/>
      <c r="AD1606" s="175"/>
      <c r="AE1606" s="175"/>
      <c r="AF1606" s="175"/>
      <c r="AG1606" s="175"/>
      <c r="AH1606" s="175"/>
    </row>
    <row r="1607" spans="1:34">
      <c r="A1607" s="102" t="s">
        <v>475</v>
      </c>
      <c r="B1607" s="102" t="s">
        <v>476</v>
      </c>
      <c r="C1607" s="192">
        <v>46210</v>
      </c>
      <c r="D1607" s="42">
        <v>0.88194444444444442</v>
      </c>
      <c r="E1607" s="193"/>
      <c r="F1607" s="8" t="s">
        <v>483</v>
      </c>
      <c r="G1607" s="2">
        <v>1</v>
      </c>
      <c r="H1607" s="2">
        <v>9</v>
      </c>
      <c r="I1607" s="126">
        <v>160</v>
      </c>
      <c r="J1607" s="2" t="s">
        <v>766</v>
      </c>
      <c r="K1607" s="109" t="s">
        <v>603</v>
      </c>
      <c r="L1607" s="201">
        <v>20000</v>
      </c>
      <c r="M1607" s="64">
        <v>20</v>
      </c>
      <c r="N1607" s="39" t="s">
        <v>48</v>
      </c>
      <c r="O1607" s="39" t="s">
        <v>49</v>
      </c>
      <c r="P1607" s="211" t="s">
        <v>828</v>
      </c>
      <c r="Q1607" s="19">
        <v>30</v>
      </c>
      <c r="R1607" s="15">
        <f>Q1607/I1607</f>
        <v>0.1875</v>
      </c>
      <c r="S1607" s="5">
        <f>($AC1607*$AD1607)/(($Z1607/$Y1607)+($AA1607/$Z1607)+($AB1607/$AA1607))</f>
        <v>20</v>
      </c>
      <c r="U1607" s="109" t="s">
        <v>767</v>
      </c>
      <c r="V1607" s="71" t="s">
        <v>595</v>
      </c>
      <c r="W1607" s="107" t="s">
        <v>604</v>
      </c>
      <c r="Y1607" s="2">
        <v>2</v>
      </c>
      <c r="Z1607" s="2">
        <v>5</v>
      </c>
      <c r="AA1607" s="2">
        <v>40</v>
      </c>
      <c r="AB1607" s="2">
        <v>100</v>
      </c>
      <c r="AC1607" s="2">
        <v>20</v>
      </c>
      <c r="AD1607" s="2">
        <v>13</v>
      </c>
      <c r="AE1607" s="2">
        <f>AC1607*AD1607</f>
        <v>260</v>
      </c>
      <c r="AF1607" s="2">
        <f>Z1607/Y1607</f>
        <v>2.5</v>
      </c>
      <c r="AG1607" s="2">
        <f>AA1607/Z1607</f>
        <v>8</v>
      </c>
      <c r="AH1607" s="2">
        <f>AB1607/AA1607</f>
        <v>2.5</v>
      </c>
    </row>
    <row r="1608" spans="1:34">
      <c r="A1608" s="165" t="s">
        <v>1383</v>
      </c>
      <c r="B1608" s="39" t="s">
        <v>63</v>
      </c>
      <c r="C1608" s="192">
        <v>46210</v>
      </c>
      <c r="D1608" s="144">
        <v>0.91666666666666663</v>
      </c>
      <c r="E1608" s="193"/>
      <c r="F1608" s="8" t="s">
        <v>909</v>
      </c>
      <c r="G1608" s="2">
        <v>1</v>
      </c>
      <c r="H1608" s="2">
        <v>9</v>
      </c>
      <c r="I1608" s="45">
        <v>135</v>
      </c>
      <c r="J1608" s="2" t="s">
        <v>766</v>
      </c>
      <c r="K1608" s="88" t="s">
        <v>813</v>
      </c>
      <c r="L1608" s="89">
        <v>10000</v>
      </c>
      <c r="M1608" s="54">
        <v>15</v>
      </c>
      <c r="N1608" s="132" t="s">
        <v>821</v>
      </c>
      <c r="O1608" s="39" t="s">
        <v>49</v>
      </c>
      <c r="P1608" s="130"/>
      <c r="Q1608" s="19">
        <v>35</v>
      </c>
      <c r="R1608" s="15">
        <f>Q1608/I1608</f>
        <v>0.25925925925925924</v>
      </c>
      <c r="S1608" s="5">
        <v>22</v>
      </c>
      <c r="U1608" s="109" t="s">
        <v>767</v>
      </c>
      <c r="V1608" s="71" t="s">
        <v>362</v>
      </c>
      <c r="W1608" s="8" t="s">
        <v>369</v>
      </c>
      <c r="Y1608" s="175"/>
      <c r="Z1608" s="175"/>
      <c r="AA1608" s="175"/>
      <c r="AB1608" s="175"/>
      <c r="AC1608" s="175"/>
      <c r="AD1608" s="175"/>
      <c r="AE1608" s="175"/>
      <c r="AF1608" s="175"/>
      <c r="AG1608" s="175"/>
      <c r="AH1608" s="175"/>
    </row>
    <row r="1609" spans="1:34">
      <c r="A1609" s="96" t="s">
        <v>461</v>
      </c>
      <c r="B1609" s="96" t="s">
        <v>462</v>
      </c>
      <c r="C1609" s="192">
        <v>46210</v>
      </c>
      <c r="D1609" s="42">
        <v>0.92361111111111116</v>
      </c>
      <c r="F1609" s="8" t="s">
        <v>456</v>
      </c>
      <c r="G1609" s="2">
        <v>1</v>
      </c>
      <c r="I1609" s="126">
        <v>120</v>
      </c>
      <c r="J1609" s="2" t="s">
        <v>766</v>
      </c>
      <c r="K1609" s="109" t="s">
        <v>737</v>
      </c>
      <c r="L1609" s="8">
        <v>20000</v>
      </c>
      <c r="M1609" s="202">
        <v>15</v>
      </c>
      <c r="N1609" s="39" t="s">
        <v>48</v>
      </c>
      <c r="O1609" s="39" t="s">
        <v>49</v>
      </c>
      <c r="P1609" s="135" t="s">
        <v>827</v>
      </c>
      <c r="Q1609" s="19">
        <v>24</v>
      </c>
      <c r="R1609" s="15">
        <f>Q1609/I1609</f>
        <v>0.2</v>
      </c>
      <c r="S1609" s="5">
        <f>($AC1609*$AD1609)/(($Z1609/$Y1609)+($AA1609/$Z1609)+($AB1609/$AA1609))</f>
        <v>25.161290322580644</v>
      </c>
      <c r="U1609" s="109" t="s">
        <v>463</v>
      </c>
      <c r="V1609" s="2" t="s">
        <v>735</v>
      </c>
      <c r="W1609" s="2" t="s">
        <v>464</v>
      </c>
      <c r="Y1609" s="2">
        <v>2.5</v>
      </c>
      <c r="Z1609" s="2">
        <v>7.5</v>
      </c>
      <c r="AA1609" s="2">
        <v>30</v>
      </c>
      <c r="AB1609" s="2">
        <v>100</v>
      </c>
      <c r="AC1609" s="2">
        <v>13</v>
      </c>
      <c r="AD1609" s="2">
        <v>20</v>
      </c>
      <c r="AE1609" s="2">
        <f>AC1609*AD1609</f>
        <v>260</v>
      </c>
      <c r="AF1609" s="2">
        <f>Z1609/Y1609</f>
        <v>3</v>
      </c>
      <c r="AG1609" s="2">
        <f>AA1609/Z1609</f>
        <v>4</v>
      </c>
      <c r="AH1609" s="2">
        <f>AB1609/AA1609</f>
        <v>3.3333333333333335</v>
      </c>
    </row>
    <row r="1610" spans="1:34">
      <c r="A1610" s="165" t="s">
        <v>1383</v>
      </c>
      <c r="B1610" s="36" t="s">
        <v>63</v>
      </c>
      <c r="C1610" s="192">
        <v>46210</v>
      </c>
      <c r="D1610" s="144" t="s">
        <v>117</v>
      </c>
      <c r="E1610" s="14">
        <v>86</v>
      </c>
      <c r="F1610" s="8" t="s">
        <v>1005</v>
      </c>
      <c r="G1610" s="2">
        <v>3</v>
      </c>
      <c r="H1610" s="2">
        <v>9</v>
      </c>
      <c r="I1610" s="45">
        <v>600</v>
      </c>
      <c r="J1610" s="2" t="s">
        <v>763</v>
      </c>
      <c r="K1610" s="109" t="s">
        <v>601</v>
      </c>
      <c r="L1610" s="89">
        <v>60000</v>
      </c>
      <c r="M1610" s="202" t="s">
        <v>22</v>
      </c>
      <c r="N1610" s="39" t="s">
        <v>48</v>
      </c>
      <c r="O1610" s="39" t="s">
        <v>49</v>
      </c>
      <c r="P1610" s="130"/>
      <c r="Q1610" s="19">
        <f>R1610*I1610</f>
        <v>96</v>
      </c>
      <c r="R1610" s="15">
        <v>0.16</v>
      </c>
      <c r="S1610" s="5">
        <f>($AC1610*$AD1610)/(($Z1610/$Y1610)+($AA1610/$Z1610)+($AB1610/$AA1610))</f>
        <v>85.13513513513513</v>
      </c>
      <c r="U1610" s="109" t="s">
        <v>767</v>
      </c>
      <c r="V1610" s="2" t="s">
        <v>121</v>
      </c>
      <c r="W1610" s="205"/>
      <c r="Y1610" s="2">
        <v>2</v>
      </c>
      <c r="Z1610" s="2">
        <v>5</v>
      </c>
      <c r="AA1610" s="2">
        <v>12.5</v>
      </c>
      <c r="AB1610" s="2">
        <v>30</v>
      </c>
      <c r="AC1610" s="2">
        <v>30</v>
      </c>
      <c r="AD1610" s="2">
        <v>21</v>
      </c>
      <c r="AE1610" s="2">
        <f>AC1610*AD1610</f>
        <v>630</v>
      </c>
      <c r="AF1610" s="2">
        <f>Z1610/Y1610</f>
        <v>2.5</v>
      </c>
      <c r="AG1610" s="2">
        <f>AA1610/Z1610</f>
        <v>2.5</v>
      </c>
      <c r="AH1610" s="2">
        <f>AB1610/AA1610</f>
        <v>2.4</v>
      </c>
    </row>
    <row r="1611" spans="1:34" ht="15" thickBot="1">
      <c r="A1611" s="165" t="s">
        <v>1383</v>
      </c>
      <c r="B1611" s="36" t="s">
        <v>63</v>
      </c>
      <c r="C1611" s="192">
        <v>46210</v>
      </c>
      <c r="D1611" s="144" t="s">
        <v>120</v>
      </c>
      <c r="E1611" s="14">
        <v>82</v>
      </c>
      <c r="F1611" s="8" t="s">
        <v>1156</v>
      </c>
      <c r="G1611" s="2">
        <v>8</v>
      </c>
      <c r="H1611" s="2">
        <v>9</v>
      </c>
      <c r="I1611" s="45">
        <v>10000</v>
      </c>
      <c r="J1611" s="2" t="s">
        <v>110</v>
      </c>
      <c r="K1611" s="109" t="s">
        <v>737</v>
      </c>
      <c r="L1611" s="89">
        <v>60000</v>
      </c>
      <c r="M1611" s="202">
        <v>120</v>
      </c>
      <c r="N1611" s="39" t="s">
        <v>48</v>
      </c>
      <c r="O1611" s="39" t="s">
        <v>49</v>
      </c>
      <c r="P1611" s="210"/>
      <c r="Q1611" s="19">
        <f>R1611*I1611</f>
        <v>700.00000000000011</v>
      </c>
      <c r="R1611" s="15">
        <v>7.0000000000000007E-2</v>
      </c>
      <c r="S1611" s="5">
        <f>($AC1611*$AD1611)/(($Z1611/$Y1611)+($AA1611/$Z1611)+($AB1611/$AA1611))</f>
        <v>340.18691588785049</v>
      </c>
      <c r="U1611" s="109" t="s">
        <v>853</v>
      </c>
      <c r="V1611" s="2" t="s">
        <v>121</v>
      </c>
      <c r="Y1611" s="2">
        <v>2</v>
      </c>
      <c r="Z1611" s="2">
        <v>5</v>
      </c>
      <c r="AA1611" s="2">
        <v>13</v>
      </c>
      <c r="AB1611" s="2">
        <v>30</v>
      </c>
      <c r="AC1611" s="2">
        <v>120</v>
      </c>
      <c r="AD1611" s="2">
        <v>21</v>
      </c>
      <c r="AE1611" s="2">
        <f>AC1611*AD1611</f>
        <v>2520</v>
      </c>
      <c r="AF1611" s="2">
        <f>Z1611/Y1611</f>
        <v>2.5</v>
      </c>
      <c r="AG1611" s="2">
        <f>AA1611/Z1611</f>
        <v>2.6</v>
      </c>
      <c r="AH1611" s="2">
        <f>AB1611/AA1611</f>
        <v>2.3076923076923075</v>
      </c>
    </row>
    <row r="1612" spans="1:34">
      <c r="A1612" s="165" t="s">
        <v>1383</v>
      </c>
      <c r="B1612" s="36" t="s">
        <v>63</v>
      </c>
      <c r="C1612" s="192">
        <v>46210</v>
      </c>
      <c r="D1612" s="144" t="s">
        <v>116</v>
      </c>
      <c r="E1612" s="14">
        <v>87</v>
      </c>
      <c r="F1612" s="8" t="s">
        <v>186</v>
      </c>
      <c r="G1612" s="2">
        <v>2</v>
      </c>
      <c r="H1612" s="2">
        <v>9</v>
      </c>
      <c r="I1612" s="99">
        <v>1000</v>
      </c>
      <c r="J1612" s="2" t="s">
        <v>763</v>
      </c>
      <c r="K1612" s="109" t="s">
        <v>601</v>
      </c>
      <c r="L1612" s="89">
        <v>40000</v>
      </c>
      <c r="M1612" s="106">
        <v>40</v>
      </c>
      <c r="N1612" s="39" t="s">
        <v>48</v>
      </c>
      <c r="O1612" s="39" t="s">
        <v>57</v>
      </c>
      <c r="P1612" s="213"/>
      <c r="Q1612" s="38">
        <f>R1612*I1612</f>
        <v>120</v>
      </c>
      <c r="R1612" s="15">
        <v>0.12</v>
      </c>
      <c r="S1612" s="149" t="s">
        <v>110</v>
      </c>
      <c r="T1612" s="149"/>
      <c r="U1612" s="109" t="s">
        <v>55</v>
      </c>
      <c r="V1612" s="2" t="s">
        <v>121</v>
      </c>
      <c r="W1612" s="205"/>
      <c r="AE1612" s="2">
        <f>AC1612*AD1612</f>
        <v>0</v>
      </c>
      <c r="AF1612" s="2" t="e">
        <f>Z1612/Y1612</f>
        <v>#DIV/0!</v>
      </c>
      <c r="AG1612" s="2" t="e">
        <f>AA1612/Z1612</f>
        <v>#DIV/0!</v>
      </c>
      <c r="AH1612" s="2" t="e">
        <f>AB1612/AA1612</f>
        <v>#DIV/0!</v>
      </c>
    </row>
    <row r="1613" spans="1:34">
      <c r="A1613" s="96" t="s">
        <v>461</v>
      </c>
      <c r="B1613" s="96" t="s">
        <v>462</v>
      </c>
      <c r="C1613" s="192">
        <v>46211</v>
      </c>
      <c r="D1613" s="42">
        <v>0.4236111111111111</v>
      </c>
      <c r="E1613" s="193"/>
      <c r="F1613" s="8" t="s">
        <v>471</v>
      </c>
      <c r="G1613" s="2">
        <v>2</v>
      </c>
      <c r="I1613" s="126">
        <v>300</v>
      </c>
      <c r="J1613" s="2" t="s">
        <v>766</v>
      </c>
      <c r="K1613" s="109" t="s">
        <v>598</v>
      </c>
      <c r="L1613" s="8">
        <v>30000</v>
      </c>
      <c r="M1613" s="202">
        <v>30</v>
      </c>
      <c r="N1613" s="39" t="s">
        <v>48</v>
      </c>
      <c r="O1613" s="39" t="s">
        <v>49</v>
      </c>
      <c r="P1613" s="135" t="s">
        <v>842</v>
      </c>
      <c r="Q1613" s="19">
        <v>65</v>
      </c>
      <c r="R1613" s="15">
        <f>Q1613/I1613</f>
        <v>0.21666666666666667</v>
      </c>
      <c r="S1613" s="5">
        <f>($AC1613*$AD1613)/(($Z1613/$Y1613)+($AA1613/$Z1613)+($AB1613/$AA1613))</f>
        <v>53.333333333333336</v>
      </c>
      <c r="U1613" s="109" t="s">
        <v>767</v>
      </c>
      <c r="V1613" s="205" t="s">
        <v>735</v>
      </c>
      <c r="W1613" s="205"/>
      <c r="Y1613" s="2">
        <v>2</v>
      </c>
      <c r="Z1613" s="2">
        <v>5</v>
      </c>
      <c r="AA1613" s="2">
        <v>20</v>
      </c>
      <c r="AB1613" s="2">
        <v>50</v>
      </c>
      <c r="AC1613" s="2">
        <v>16</v>
      </c>
      <c r="AD1613" s="2">
        <v>30</v>
      </c>
      <c r="AE1613" s="2">
        <f>AC1613*AD1613</f>
        <v>480</v>
      </c>
      <c r="AF1613" s="2">
        <f>Z1613/Y1613</f>
        <v>2.5</v>
      </c>
      <c r="AG1613" s="2">
        <f>AA1613/Z1613</f>
        <v>4</v>
      </c>
      <c r="AH1613" s="2">
        <f>AB1613/AA1613</f>
        <v>2.5</v>
      </c>
    </row>
    <row r="1614" spans="1:34">
      <c r="A1614" s="68" t="s">
        <v>357</v>
      </c>
      <c r="B1614" s="68" t="s">
        <v>358</v>
      </c>
      <c r="C1614" s="48">
        <v>46211</v>
      </c>
      <c r="D1614" s="42">
        <v>0.4236111111111111</v>
      </c>
      <c r="E1614" s="8">
        <v>83</v>
      </c>
      <c r="F1614" s="63" t="s">
        <v>307</v>
      </c>
      <c r="G1614" s="2">
        <v>2</v>
      </c>
      <c r="H1614" s="2">
        <v>9</v>
      </c>
      <c r="I1614" s="126">
        <v>1100</v>
      </c>
      <c r="J1614" s="2" t="s">
        <v>766</v>
      </c>
      <c r="K1614" s="137" t="s">
        <v>598</v>
      </c>
      <c r="L1614" s="89">
        <v>40000</v>
      </c>
      <c r="M1614" s="202">
        <v>40</v>
      </c>
      <c r="N1614" s="39" t="s">
        <v>48</v>
      </c>
      <c r="O1614" s="39" t="s">
        <v>49</v>
      </c>
      <c r="P1614" s="211" t="s">
        <v>848</v>
      </c>
      <c r="Q1614" s="19">
        <v>140</v>
      </c>
      <c r="R1614" s="15">
        <f>Q1614/I1614</f>
        <v>0.12727272727272726</v>
      </c>
      <c r="S1614" s="5">
        <f>($AC1614*$AD1614)/(($Z1614/$Y1614)+($AA1614/$Z1614)+($AB1614/$AA1614))</f>
        <v>102.59605399792316</v>
      </c>
      <c r="U1614" s="109" t="s">
        <v>54</v>
      </c>
      <c r="V1614" s="2" t="s">
        <v>702</v>
      </c>
      <c r="Y1614" s="2">
        <v>2</v>
      </c>
      <c r="Z1614" s="2">
        <v>5</v>
      </c>
      <c r="AA1614" s="2">
        <v>13</v>
      </c>
      <c r="AB1614" s="2">
        <v>30</v>
      </c>
      <c r="AC1614" s="2">
        <v>40</v>
      </c>
      <c r="AD1614" s="2">
        <v>19</v>
      </c>
      <c r="AE1614" s="2">
        <f>AC1614*AD1614</f>
        <v>760</v>
      </c>
      <c r="AF1614" s="2">
        <f>Z1614/Y1614</f>
        <v>2.5</v>
      </c>
      <c r="AG1614" s="2">
        <f>AA1614/Z1614</f>
        <v>2.6</v>
      </c>
      <c r="AH1614" s="2">
        <f>AB1614/AA1614</f>
        <v>2.3076923076923075</v>
      </c>
    </row>
    <row r="1615" spans="1:34">
      <c r="A1615" s="95" t="s">
        <v>447</v>
      </c>
      <c r="B1615" s="95" t="s">
        <v>448</v>
      </c>
      <c r="C1615" s="40">
        <v>46211</v>
      </c>
      <c r="D1615" s="42">
        <v>0.45833333333333331</v>
      </c>
      <c r="E1615" s="193"/>
      <c r="F1615" s="8" t="s">
        <v>440</v>
      </c>
      <c r="G1615" s="2">
        <v>1</v>
      </c>
      <c r="H1615" s="2">
        <v>9</v>
      </c>
      <c r="I1615" s="126">
        <v>1100</v>
      </c>
      <c r="J1615" s="2" t="s">
        <v>766</v>
      </c>
      <c r="K1615" s="109" t="s">
        <v>602</v>
      </c>
      <c r="L1615" s="8">
        <v>30000</v>
      </c>
      <c r="M1615" s="8">
        <v>30</v>
      </c>
      <c r="N1615" s="39" t="s">
        <v>48</v>
      </c>
      <c r="O1615" s="39" t="s">
        <v>49</v>
      </c>
      <c r="P1615" s="135" t="s">
        <v>841</v>
      </c>
      <c r="Q1615" s="19">
        <v>135</v>
      </c>
      <c r="R1615" s="15">
        <f>Q1615/I1615</f>
        <v>0.12272727272727273</v>
      </c>
      <c r="S1615" s="5">
        <f>($AC1615*$AD1615)/(($Z1615/$Y1615)+($AA1615/$Z1615)+($AB1615/$AA1615))</f>
        <v>72.897196261682254</v>
      </c>
      <c r="U1615" s="109" t="s">
        <v>767</v>
      </c>
      <c r="V1615" s="205" t="s">
        <v>741</v>
      </c>
      <c r="Y1615" s="2">
        <v>2</v>
      </c>
      <c r="Z1615" s="2">
        <v>5</v>
      </c>
      <c r="AA1615" s="2">
        <v>13</v>
      </c>
      <c r="AB1615" s="2">
        <v>30</v>
      </c>
      <c r="AC1615" s="2">
        <v>18</v>
      </c>
      <c r="AD1615" s="2">
        <v>30</v>
      </c>
      <c r="AE1615" s="2">
        <f>AC1615*AD1615</f>
        <v>540</v>
      </c>
      <c r="AF1615" s="2">
        <f>Z1615/Y1615</f>
        <v>2.5</v>
      </c>
      <c r="AG1615" s="2">
        <f>AA1615/Z1615</f>
        <v>2.6</v>
      </c>
      <c r="AH1615" s="2">
        <f>AB1615/AA1615</f>
        <v>2.3076923076923075</v>
      </c>
    </row>
    <row r="1616" spans="1:34">
      <c r="A1616" s="102" t="s">
        <v>475</v>
      </c>
      <c r="B1616" s="102" t="s">
        <v>476</v>
      </c>
      <c r="C1616" s="40">
        <v>46211</v>
      </c>
      <c r="D1616" s="42">
        <v>0.45833333333333331</v>
      </c>
      <c r="E1616" s="8" t="s">
        <v>531</v>
      </c>
      <c r="F1616" s="8" t="s">
        <v>530</v>
      </c>
      <c r="G1616" s="2">
        <v>2</v>
      </c>
      <c r="H1616" s="2">
        <v>9</v>
      </c>
      <c r="I1616" s="126">
        <v>700</v>
      </c>
      <c r="J1616" s="2" t="s">
        <v>766</v>
      </c>
      <c r="K1616" s="109" t="s">
        <v>601</v>
      </c>
      <c r="L1616" s="105">
        <v>50000</v>
      </c>
      <c r="M1616" s="64" t="s">
        <v>22</v>
      </c>
      <c r="N1616" s="39" t="s">
        <v>48</v>
      </c>
      <c r="O1616" s="39" t="s">
        <v>49</v>
      </c>
      <c r="P1616" s="135" t="s">
        <v>842</v>
      </c>
      <c r="Q1616" s="19">
        <v>90</v>
      </c>
      <c r="R1616" s="15">
        <f>Q1616/I1616</f>
        <v>0.12857142857142856</v>
      </c>
      <c r="S1616" s="5">
        <f>($AC1616*$AD1616)/(($Z1616/$Y1616)+($AA1616/$Z1616)+($AB1616/$AA1616))</f>
        <v>66.122448979591837</v>
      </c>
      <c r="U1616" s="109" t="s">
        <v>767</v>
      </c>
      <c r="V1616" s="2" t="s">
        <v>606</v>
      </c>
      <c r="Y1616" s="2">
        <v>2.5</v>
      </c>
      <c r="Z1616" s="2">
        <v>7.5</v>
      </c>
      <c r="AA1616" s="2">
        <v>20</v>
      </c>
      <c r="AB1616" s="2">
        <v>50</v>
      </c>
      <c r="AC1616" s="2">
        <v>30</v>
      </c>
      <c r="AD1616" s="2">
        <v>18</v>
      </c>
      <c r="AE1616" s="2">
        <f>AC1616*AD1616</f>
        <v>540</v>
      </c>
      <c r="AF1616" s="2">
        <f>Z1616/Y1616</f>
        <v>3</v>
      </c>
      <c r="AG1616" s="2">
        <f>AA1616/Z1616</f>
        <v>2.6666666666666665</v>
      </c>
      <c r="AH1616" s="2">
        <f>AB1616/AA1616</f>
        <v>2.5</v>
      </c>
    </row>
    <row r="1617" spans="1:34">
      <c r="A1617" s="52" t="s">
        <v>229</v>
      </c>
      <c r="B1617" s="52" t="s">
        <v>230</v>
      </c>
      <c r="C1617" s="40">
        <v>46211</v>
      </c>
      <c r="D1617" s="42">
        <v>0.45833333333333331</v>
      </c>
      <c r="E1617" s="193"/>
      <c r="F1617" s="8" t="s">
        <v>242</v>
      </c>
      <c r="G1617" s="2">
        <v>1</v>
      </c>
      <c r="I1617" s="126">
        <v>200</v>
      </c>
      <c r="J1617" s="2" t="s">
        <v>766</v>
      </c>
      <c r="K1617" s="88" t="s">
        <v>775</v>
      </c>
      <c r="L1617" s="90">
        <v>25000</v>
      </c>
      <c r="M1617" s="46" t="s">
        <v>128</v>
      </c>
      <c r="N1617" s="39" t="s">
        <v>48</v>
      </c>
      <c r="O1617" s="39" t="s">
        <v>49</v>
      </c>
      <c r="P1617" s="211" t="s">
        <v>832</v>
      </c>
      <c r="Q1617" s="19">
        <v>40</v>
      </c>
      <c r="R1617" s="15">
        <f>IF(Q1617&gt;0,Q1617/I1617,"")</f>
        <v>0.2</v>
      </c>
      <c r="S1617" s="5">
        <f>($AC1617*$AD1617)/(($Z1617/$Y1617)+($AA1617/$Z1617)+($AB1617/$AA1617))</f>
        <v>28.333333333333332</v>
      </c>
      <c r="U1617" s="109" t="s">
        <v>767</v>
      </c>
      <c r="V1617" s="205" t="s">
        <v>719</v>
      </c>
      <c r="W1617" s="205"/>
      <c r="Y1617" s="2">
        <v>2</v>
      </c>
      <c r="Z1617" s="2">
        <v>5</v>
      </c>
      <c r="AA1617" s="2">
        <v>20</v>
      </c>
      <c r="AB1617" s="2">
        <v>50</v>
      </c>
      <c r="AC1617" s="2">
        <v>255</v>
      </c>
      <c r="AD1617" s="2">
        <v>1</v>
      </c>
      <c r="AE1617" s="2">
        <f>AC1617*AD1617</f>
        <v>255</v>
      </c>
      <c r="AF1617" s="2">
        <f>Z1617/Y1617</f>
        <v>2.5</v>
      </c>
      <c r="AG1617" s="2">
        <f>AA1617/Z1617</f>
        <v>4</v>
      </c>
      <c r="AH1617" s="2">
        <f>AB1617/AA1617</f>
        <v>2.5</v>
      </c>
    </row>
    <row r="1618" spans="1:34">
      <c r="A1618" s="52" t="s">
        <v>220</v>
      </c>
      <c r="B1618" s="52" t="s">
        <v>221</v>
      </c>
      <c r="C1618" s="48">
        <v>46211</v>
      </c>
      <c r="D1618" s="42">
        <v>0.45833333333333331</v>
      </c>
      <c r="E1618" s="193"/>
      <c r="F1618" s="8" t="s">
        <v>1088</v>
      </c>
      <c r="G1618" s="2">
        <v>1</v>
      </c>
      <c r="H1618" s="2">
        <v>9</v>
      </c>
      <c r="I1618" s="126">
        <v>400</v>
      </c>
      <c r="J1618" s="2" t="s">
        <v>766</v>
      </c>
      <c r="K1618" s="88" t="s">
        <v>769</v>
      </c>
      <c r="L1618" s="91">
        <v>20000</v>
      </c>
      <c r="M1618" s="8">
        <v>15</v>
      </c>
      <c r="N1618" s="39" t="s">
        <v>61</v>
      </c>
      <c r="O1618" s="39" t="s">
        <v>49</v>
      </c>
      <c r="P1618" s="214" t="s">
        <v>228</v>
      </c>
      <c r="Q1618" s="19">
        <v>63</v>
      </c>
      <c r="R1618" s="15">
        <f>Q1618/I1618</f>
        <v>0.1575</v>
      </c>
      <c r="S1618" s="5">
        <f>($AC1618*$AD1618)/(($Z1618/$Y1618)+($AA1618/$Z1618)+($AB1618/$AA1618))</f>
        <v>23.333333333333332</v>
      </c>
      <c r="U1618" s="109" t="s">
        <v>129</v>
      </c>
      <c r="V1618" s="205" t="s">
        <v>738</v>
      </c>
      <c r="W1618" s="205"/>
      <c r="Y1618" s="2">
        <v>2</v>
      </c>
      <c r="Z1618" s="2">
        <v>5</v>
      </c>
      <c r="AA1618" s="2">
        <v>20</v>
      </c>
      <c r="AB1618" s="2">
        <v>50</v>
      </c>
      <c r="AC1618" s="2">
        <v>14</v>
      </c>
      <c r="AD1618" s="2">
        <v>15</v>
      </c>
      <c r="AE1618" s="2">
        <f>AC1618*AD1618</f>
        <v>210</v>
      </c>
      <c r="AF1618" s="2">
        <f>Z1618/Y1618</f>
        <v>2.5</v>
      </c>
      <c r="AG1618" s="2">
        <f>AA1618/Z1618</f>
        <v>4</v>
      </c>
      <c r="AH1618" s="2">
        <f>AB1618/AA1618</f>
        <v>2.5</v>
      </c>
    </row>
    <row r="1619" spans="1:34">
      <c r="A1619" s="165" t="s">
        <v>1383</v>
      </c>
      <c r="B1619" s="39" t="s">
        <v>63</v>
      </c>
      <c r="C1619" s="40">
        <v>46211</v>
      </c>
      <c r="D1619" s="144">
        <v>0.5</v>
      </c>
      <c r="E1619" s="193"/>
      <c r="F1619" s="8" t="s">
        <v>901</v>
      </c>
      <c r="G1619" s="2">
        <v>1</v>
      </c>
      <c r="H1619" s="2">
        <v>9</v>
      </c>
      <c r="I1619" s="126">
        <v>50</v>
      </c>
      <c r="J1619" s="2" t="s">
        <v>766</v>
      </c>
      <c r="K1619" s="88" t="s">
        <v>771</v>
      </c>
      <c r="L1619" s="90">
        <v>10000</v>
      </c>
      <c r="M1619" s="8">
        <v>10</v>
      </c>
      <c r="N1619" s="132" t="s">
        <v>821</v>
      </c>
      <c r="O1619" s="39" t="s">
        <v>49</v>
      </c>
      <c r="P1619" s="130"/>
      <c r="Q1619" s="19">
        <v>15</v>
      </c>
      <c r="R1619" s="15">
        <f>Q1619/I1619</f>
        <v>0.3</v>
      </c>
      <c r="S1619" s="5">
        <v>15</v>
      </c>
      <c r="U1619" s="109" t="s">
        <v>767</v>
      </c>
      <c r="V1619" s="71" t="s">
        <v>362</v>
      </c>
      <c r="W1619" s="8" t="s">
        <v>147</v>
      </c>
      <c r="Y1619" s="175"/>
      <c r="Z1619" s="175"/>
      <c r="AA1619" s="175"/>
      <c r="AB1619" s="175"/>
      <c r="AC1619" s="175"/>
      <c r="AD1619" s="175"/>
      <c r="AE1619" s="175"/>
      <c r="AF1619" s="175"/>
      <c r="AG1619" s="175"/>
      <c r="AH1619" s="175"/>
    </row>
    <row r="1620" spans="1:34">
      <c r="A1620" s="52" t="s">
        <v>229</v>
      </c>
      <c r="B1620" s="52" t="s">
        <v>230</v>
      </c>
      <c r="C1620" s="40">
        <v>46211</v>
      </c>
      <c r="D1620" s="42">
        <v>0.5</v>
      </c>
      <c r="F1620" s="8" t="s">
        <v>222</v>
      </c>
      <c r="G1620" s="2">
        <v>1</v>
      </c>
      <c r="I1620" s="126">
        <v>400</v>
      </c>
      <c r="J1620" s="2" t="s">
        <v>766</v>
      </c>
      <c r="K1620" s="185" t="s">
        <v>601</v>
      </c>
      <c r="L1620" s="90">
        <v>35000</v>
      </c>
      <c r="M1620" s="8">
        <v>30</v>
      </c>
      <c r="N1620" s="39" t="s">
        <v>48</v>
      </c>
      <c r="O1620" s="39" t="s">
        <v>222</v>
      </c>
      <c r="P1620" s="213">
        <v>30000</v>
      </c>
      <c r="Q1620" s="2">
        <v>60</v>
      </c>
      <c r="R1620" s="15">
        <f>IF(Q1620&gt;0,Q1620/I1620,"")</f>
        <v>0.15</v>
      </c>
      <c r="S1620" s="149" t="s">
        <v>110</v>
      </c>
      <c r="T1620" s="149"/>
      <c r="U1620" s="109" t="s">
        <v>767</v>
      </c>
      <c r="V1620" s="2" t="s">
        <v>719</v>
      </c>
      <c r="W1620" s="205"/>
      <c r="AE1620" s="2">
        <f>AC1620*AD1620</f>
        <v>0</v>
      </c>
      <c r="AF1620" s="2" t="e">
        <f>Z1620/Y1620</f>
        <v>#DIV/0!</v>
      </c>
      <c r="AG1620" s="2" t="e">
        <f>AA1620/Z1620</f>
        <v>#DIV/0!</v>
      </c>
      <c r="AH1620" s="2" t="e">
        <f>AB1620/AA1620</f>
        <v>#DIV/0!</v>
      </c>
    </row>
    <row r="1621" spans="1:34">
      <c r="A1621" s="52" t="s">
        <v>220</v>
      </c>
      <c r="B1621" s="52" t="s">
        <v>221</v>
      </c>
      <c r="C1621" s="48">
        <v>46211</v>
      </c>
      <c r="D1621" s="42">
        <v>0.5</v>
      </c>
      <c r="E1621" s="193"/>
      <c r="F1621" s="8" t="s">
        <v>1047</v>
      </c>
      <c r="G1621" s="2">
        <v>2</v>
      </c>
      <c r="H1621" s="2">
        <v>9</v>
      </c>
      <c r="I1621" s="126">
        <v>2200</v>
      </c>
      <c r="J1621" s="2" t="s">
        <v>766</v>
      </c>
      <c r="K1621" s="88" t="s">
        <v>793</v>
      </c>
      <c r="L1621" s="90">
        <v>40000</v>
      </c>
      <c r="M1621" s="64">
        <v>40</v>
      </c>
      <c r="N1621" s="39" t="s">
        <v>48</v>
      </c>
      <c r="O1621" s="39" t="s">
        <v>49</v>
      </c>
      <c r="P1621" s="211" t="s">
        <v>846</v>
      </c>
      <c r="Q1621" s="19">
        <v>215</v>
      </c>
      <c r="R1621" s="15">
        <f>Q1621/I1621</f>
        <v>9.7727272727272732E-2</v>
      </c>
      <c r="S1621" s="5">
        <f>($AC1621*$AD1621)/(($Z1621/$Y1621)+($AA1621/$Z1621)+($AB1621/$AA1621))</f>
        <v>102.59605399792316</v>
      </c>
      <c r="U1621" s="109" t="s">
        <v>767</v>
      </c>
      <c r="V1621" s="205" t="s">
        <v>738</v>
      </c>
      <c r="W1621" s="205"/>
      <c r="Y1621" s="2">
        <v>2</v>
      </c>
      <c r="Z1621" s="2">
        <v>5</v>
      </c>
      <c r="AA1621" s="2">
        <v>13</v>
      </c>
      <c r="AB1621" s="2">
        <v>30</v>
      </c>
      <c r="AC1621" s="2">
        <v>19</v>
      </c>
      <c r="AD1621" s="2">
        <v>40</v>
      </c>
      <c r="AE1621" s="2">
        <f>AC1621*AD1621</f>
        <v>760</v>
      </c>
      <c r="AF1621" s="2">
        <f>Z1621/Y1621</f>
        <v>2.5</v>
      </c>
      <c r="AG1621" s="2">
        <f>AA1621/Z1621</f>
        <v>2.6</v>
      </c>
      <c r="AH1621" s="2">
        <f>AB1621/AA1621</f>
        <v>2.3076923076923075</v>
      </c>
    </row>
    <row r="1622" spans="1:34">
      <c r="A1622" s="165" t="s">
        <v>1383</v>
      </c>
      <c r="B1622" s="36" t="s">
        <v>63</v>
      </c>
      <c r="C1622" s="192">
        <v>46211</v>
      </c>
      <c r="D1622" s="144">
        <v>0.54166666666666663</v>
      </c>
      <c r="E1622" s="14">
        <v>86</v>
      </c>
      <c r="F1622" s="8" t="s">
        <v>1202</v>
      </c>
      <c r="G1622" s="2">
        <v>3</v>
      </c>
      <c r="H1622" s="2">
        <v>9</v>
      </c>
      <c r="I1622" s="37">
        <v>600</v>
      </c>
      <c r="J1622" s="2" t="s">
        <v>763</v>
      </c>
      <c r="K1622" s="109" t="s">
        <v>601</v>
      </c>
      <c r="L1622" s="89">
        <v>60000</v>
      </c>
      <c r="M1622" s="202" t="s">
        <v>22</v>
      </c>
      <c r="N1622" s="39" t="s">
        <v>48</v>
      </c>
      <c r="O1622" s="39" t="s">
        <v>49</v>
      </c>
      <c r="Q1622" s="19">
        <f>R1622*I1622</f>
        <v>96</v>
      </c>
      <c r="R1622" s="15">
        <v>0.16</v>
      </c>
      <c r="S1622" s="5">
        <f>($AC1622*$AD1622)/(($Z1622/$Y1622)+($AA1622/$Z1622)+($AB1622/$AA1622))</f>
        <v>85.13513513513513</v>
      </c>
      <c r="U1622" s="109" t="s">
        <v>767</v>
      </c>
      <c r="V1622" s="2" t="s">
        <v>121</v>
      </c>
      <c r="W1622" s="205"/>
      <c r="Y1622" s="2">
        <v>2</v>
      </c>
      <c r="Z1622" s="2">
        <v>5</v>
      </c>
      <c r="AA1622" s="2">
        <v>12.5</v>
      </c>
      <c r="AB1622" s="2">
        <v>30</v>
      </c>
      <c r="AC1622" s="2">
        <v>30</v>
      </c>
      <c r="AD1622" s="2">
        <v>21</v>
      </c>
      <c r="AE1622" s="2">
        <f>AC1622*AD1622</f>
        <v>630</v>
      </c>
      <c r="AF1622" s="2">
        <f>Z1622/Y1622</f>
        <v>2.5</v>
      </c>
      <c r="AG1622" s="2">
        <f>AA1622/Z1622</f>
        <v>2.5</v>
      </c>
      <c r="AH1622" s="2">
        <f>AB1622/AA1622</f>
        <v>2.4</v>
      </c>
    </row>
    <row r="1623" spans="1:34">
      <c r="A1623" s="165" t="s">
        <v>1383</v>
      </c>
      <c r="B1623" s="39" t="s">
        <v>63</v>
      </c>
      <c r="C1623" s="192">
        <v>46211</v>
      </c>
      <c r="D1623" s="144">
        <v>0.54166666666666663</v>
      </c>
      <c r="E1623" s="8"/>
      <c r="F1623" s="8" t="s">
        <v>881</v>
      </c>
      <c r="G1623" s="2">
        <v>1</v>
      </c>
      <c r="H1623" s="2">
        <v>9</v>
      </c>
      <c r="I1623" s="45">
        <v>250</v>
      </c>
      <c r="J1623" s="2" t="s">
        <v>766</v>
      </c>
      <c r="K1623" s="88" t="s">
        <v>787</v>
      </c>
      <c r="L1623" s="89">
        <v>25000</v>
      </c>
      <c r="M1623" s="205">
        <v>30</v>
      </c>
      <c r="N1623" s="39" t="s">
        <v>817</v>
      </c>
      <c r="O1623" s="39" t="s">
        <v>49</v>
      </c>
      <c r="P1623" s="130"/>
      <c r="Q1623" s="19">
        <v>50</v>
      </c>
      <c r="R1623" s="15">
        <f>Q1623/I1623</f>
        <v>0.2</v>
      </c>
      <c r="S1623" s="5">
        <v>44</v>
      </c>
      <c r="U1623" s="109" t="s">
        <v>767</v>
      </c>
      <c r="V1623" s="71" t="s">
        <v>360</v>
      </c>
      <c r="Y1623" s="175"/>
      <c r="Z1623" s="175"/>
      <c r="AA1623" s="175"/>
      <c r="AB1623" s="175"/>
      <c r="AC1623" s="175"/>
      <c r="AD1623" s="175"/>
      <c r="AE1623" s="175"/>
      <c r="AF1623" s="175"/>
      <c r="AG1623" s="175"/>
      <c r="AH1623" s="175"/>
    </row>
    <row r="1624" spans="1:34">
      <c r="A1624" s="165" t="s">
        <v>1383</v>
      </c>
      <c r="B1624" s="39" t="s">
        <v>63</v>
      </c>
      <c r="C1624" s="40">
        <v>46211</v>
      </c>
      <c r="D1624" s="144">
        <v>0.625</v>
      </c>
      <c r="F1624" s="8" t="s">
        <v>134</v>
      </c>
      <c r="G1624" s="2">
        <v>1</v>
      </c>
      <c r="H1624" s="2">
        <v>8</v>
      </c>
      <c r="I1624" s="126">
        <v>625</v>
      </c>
      <c r="J1624" s="2" t="s">
        <v>766</v>
      </c>
      <c r="K1624" s="152">
        <v>0.69791666666666663</v>
      </c>
      <c r="L1624" s="139">
        <v>10000</v>
      </c>
      <c r="M1624" s="8">
        <v>15</v>
      </c>
      <c r="N1624" s="39" t="s">
        <v>61</v>
      </c>
      <c r="O1624" s="39" t="s">
        <v>49</v>
      </c>
      <c r="P1624" s="130"/>
      <c r="Q1624" s="19">
        <f>66.5+28.5</f>
        <v>95</v>
      </c>
      <c r="R1624" s="59">
        <f>Q1624/I1624</f>
        <v>0.152</v>
      </c>
      <c r="S1624" s="5">
        <f>($AC1624*$AD1624)/(($Z1624/$Y1624)+($AA1624/$Z1624)+($AB1624/$AA1624))</f>
        <v>14.887218045112782</v>
      </c>
      <c r="U1624" s="109" t="s">
        <v>767</v>
      </c>
      <c r="V1624" s="83" t="s">
        <v>362</v>
      </c>
      <c r="W1624" s="8" t="s">
        <v>149</v>
      </c>
      <c r="Y1624" s="2">
        <v>2</v>
      </c>
      <c r="Z1624" s="2">
        <v>7.5</v>
      </c>
      <c r="AA1624" s="2">
        <v>25</v>
      </c>
      <c r="AB1624" s="2">
        <v>100</v>
      </c>
      <c r="AC1624" s="2">
        <v>11</v>
      </c>
      <c r="AD1624" s="2">
        <v>15</v>
      </c>
      <c r="AE1624" s="2">
        <f>AC1624*AD1624</f>
        <v>165</v>
      </c>
      <c r="AF1624" s="2">
        <f>Z1624/Y1624</f>
        <v>3.75</v>
      </c>
      <c r="AG1624" s="2">
        <f>AA1624/Z1624</f>
        <v>3.3333333333333335</v>
      </c>
      <c r="AH1624" s="2">
        <f>AB1624/AA1624</f>
        <v>4</v>
      </c>
    </row>
    <row r="1625" spans="1:34">
      <c r="A1625" s="165" t="s">
        <v>1383</v>
      </c>
      <c r="B1625" s="39" t="s">
        <v>63</v>
      </c>
      <c r="C1625" s="192">
        <v>46211</v>
      </c>
      <c r="D1625" s="144">
        <v>0.625</v>
      </c>
      <c r="E1625" s="8"/>
      <c r="F1625" s="8" t="s">
        <v>126</v>
      </c>
      <c r="G1625" s="2">
        <v>1</v>
      </c>
      <c r="I1625" s="45">
        <v>250</v>
      </c>
      <c r="J1625" s="2" t="s">
        <v>766</v>
      </c>
      <c r="K1625" s="88" t="s">
        <v>793</v>
      </c>
      <c r="L1625" s="89">
        <v>25000</v>
      </c>
      <c r="M1625" s="205">
        <v>30</v>
      </c>
      <c r="N1625" s="39" t="s">
        <v>822</v>
      </c>
      <c r="O1625" s="39" t="s">
        <v>57</v>
      </c>
      <c r="P1625" s="66"/>
      <c r="Q1625" s="2">
        <v>50</v>
      </c>
      <c r="R1625" s="15">
        <f>Q1625/I1625</f>
        <v>0.2</v>
      </c>
      <c r="S1625" s="149" t="s">
        <v>110</v>
      </c>
      <c r="T1625" s="149"/>
      <c r="U1625" s="109" t="s">
        <v>767</v>
      </c>
      <c r="V1625" s="71" t="s">
        <v>360</v>
      </c>
      <c r="AC1625" s="70"/>
      <c r="AD1625" s="70"/>
      <c r="AE1625" s="2">
        <f>AC1625*AD1625</f>
        <v>0</v>
      </c>
      <c r="AF1625" s="2" t="e">
        <f>Z1625/Y1625</f>
        <v>#DIV/0!</v>
      </c>
      <c r="AG1625" s="2" t="e">
        <f>AA1625/Z1625</f>
        <v>#DIV/0!</v>
      </c>
      <c r="AH1625" s="2" t="e">
        <f>AB1625/AA1625</f>
        <v>#DIV/0!</v>
      </c>
    </row>
    <row r="1626" spans="1:34">
      <c r="A1626" s="165" t="s">
        <v>1383</v>
      </c>
      <c r="B1626" s="39" t="s">
        <v>63</v>
      </c>
      <c r="C1626" s="192">
        <v>46211</v>
      </c>
      <c r="D1626" s="144">
        <v>0.625</v>
      </c>
      <c r="E1626" s="193"/>
      <c r="F1626" s="8" t="s">
        <v>912</v>
      </c>
      <c r="G1626" s="2">
        <v>1</v>
      </c>
      <c r="H1626" s="2">
        <v>9</v>
      </c>
      <c r="I1626" s="37">
        <v>240</v>
      </c>
      <c r="J1626" s="2" t="s">
        <v>766</v>
      </c>
      <c r="K1626" s="88" t="s">
        <v>784</v>
      </c>
      <c r="L1626" s="89">
        <v>10000</v>
      </c>
      <c r="M1626" s="202">
        <v>20</v>
      </c>
      <c r="N1626" s="132" t="s">
        <v>821</v>
      </c>
      <c r="O1626" s="39" t="s">
        <v>49</v>
      </c>
      <c r="Q1626" s="19">
        <v>40</v>
      </c>
      <c r="R1626" s="15">
        <v>0.16666666666666666</v>
      </c>
      <c r="S1626" s="5">
        <v>29</v>
      </c>
      <c r="U1626" s="109" t="s">
        <v>767</v>
      </c>
      <c r="V1626" s="71" t="s">
        <v>362</v>
      </c>
      <c r="W1626" s="8" t="s">
        <v>367</v>
      </c>
      <c r="Y1626" s="175"/>
      <c r="Z1626" s="175"/>
      <c r="AA1626" s="175"/>
      <c r="AB1626" s="175"/>
      <c r="AC1626" s="175"/>
      <c r="AD1626" s="175"/>
      <c r="AE1626" s="175"/>
      <c r="AF1626" s="175"/>
      <c r="AG1626" s="175"/>
      <c r="AH1626" s="175"/>
    </row>
    <row r="1627" spans="1:34">
      <c r="A1627" s="186" t="s">
        <v>1397</v>
      </c>
      <c r="B1627" s="186" t="s">
        <v>1398</v>
      </c>
      <c r="C1627" s="192">
        <v>46211</v>
      </c>
      <c r="D1627" s="42">
        <v>0.625</v>
      </c>
      <c r="F1627" s="186" t="s">
        <v>1406</v>
      </c>
      <c r="G1627" s="2">
        <v>1</v>
      </c>
      <c r="H1627" s="2">
        <v>8</v>
      </c>
      <c r="I1627" s="45">
        <v>15000</v>
      </c>
      <c r="J1627" s="2" t="s">
        <v>766</v>
      </c>
      <c r="K1627" s="56">
        <v>0.8125</v>
      </c>
      <c r="L1627" s="89">
        <v>125000</v>
      </c>
      <c r="M1627" s="202">
        <v>30</v>
      </c>
      <c r="N1627" s="39" t="s">
        <v>48</v>
      </c>
      <c r="O1627" s="187" t="s">
        <v>49</v>
      </c>
      <c r="P1627" s="130"/>
      <c r="Q1627" s="19">
        <v>100</v>
      </c>
      <c r="R1627" s="15">
        <f>Q1627/I1627</f>
        <v>6.6666666666666671E-3</v>
      </c>
      <c r="S1627" s="5">
        <f>($AC1627*$AD1627)/(($Z1627/$Y1627)+($AA1627/$Z1627)+($AB1627/$AA1627))</f>
        <v>77.142857142857139</v>
      </c>
      <c r="V1627" s="205" t="s">
        <v>1409</v>
      </c>
      <c r="W1627" s="186" t="s">
        <v>1410</v>
      </c>
      <c r="Y1627" s="2">
        <v>10</v>
      </c>
      <c r="Z1627" s="2">
        <v>20</v>
      </c>
      <c r="AA1627" s="2">
        <v>50</v>
      </c>
      <c r="AB1627" s="2">
        <v>125</v>
      </c>
      <c r="AC1627" s="2">
        <v>18</v>
      </c>
      <c r="AD1627" s="2">
        <v>30</v>
      </c>
      <c r="AE1627" s="2">
        <f>AC1627*AD1627</f>
        <v>540</v>
      </c>
      <c r="AF1627" s="2">
        <f>Z1627/Y1627</f>
        <v>2</v>
      </c>
      <c r="AG1627" s="2">
        <f>AA1627/Z1627</f>
        <v>2.5</v>
      </c>
      <c r="AH1627" s="2">
        <f>AB1627/AA1627</f>
        <v>2.5</v>
      </c>
    </row>
    <row r="1628" spans="1:34">
      <c r="A1628" s="165" t="s">
        <v>1383</v>
      </c>
      <c r="B1628" s="39" t="s">
        <v>63</v>
      </c>
      <c r="C1628" s="192">
        <v>46211</v>
      </c>
      <c r="D1628" s="144">
        <v>0.66666666666666663</v>
      </c>
      <c r="E1628" s="8"/>
      <c r="F1628" s="8" t="s">
        <v>1024</v>
      </c>
      <c r="G1628" s="2">
        <v>1</v>
      </c>
      <c r="H1628" s="2">
        <v>9</v>
      </c>
      <c r="I1628" s="37">
        <v>400</v>
      </c>
      <c r="J1628" s="2" t="s">
        <v>766</v>
      </c>
      <c r="K1628" s="88" t="s">
        <v>794</v>
      </c>
      <c r="L1628" s="89">
        <v>30000</v>
      </c>
      <c r="M1628" s="2">
        <v>20</v>
      </c>
      <c r="N1628" s="39" t="s">
        <v>817</v>
      </c>
      <c r="O1628" s="39" t="s">
        <v>49</v>
      </c>
      <c r="Q1628" s="19">
        <v>70</v>
      </c>
      <c r="R1628" s="15">
        <f>Q1628/I1628</f>
        <v>0.17499999999999999</v>
      </c>
      <c r="S1628" s="5">
        <v>37</v>
      </c>
      <c r="U1628" s="109" t="s">
        <v>129</v>
      </c>
      <c r="V1628" s="71" t="s">
        <v>360</v>
      </c>
      <c r="Y1628" s="175"/>
      <c r="Z1628" s="175"/>
      <c r="AA1628" s="175"/>
      <c r="AB1628" s="175"/>
      <c r="AC1628" s="175"/>
      <c r="AD1628" s="175"/>
      <c r="AE1628" s="175"/>
      <c r="AF1628" s="175"/>
      <c r="AG1628" s="175"/>
      <c r="AH1628" s="175"/>
    </row>
    <row r="1629" spans="1:34">
      <c r="A1629" s="52" t="s">
        <v>229</v>
      </c>
      <c r="B1629" s="52" t="s">
        <v>230</v>
      </c>
      <c r="C1629" s="40">
        <v>46211</v>
      </c>
      <c r="D1629" s="42">
        <v>0.66666666666666663</v>
      </c>
      <c r="E1629" s="193"/>
      <c r="F1629" s="8" t="s">
        <v>275</v>
      </c>
      <c r="G1629" s="2">
        <v>1</v>
      </c>
      <c r="I1629" s="126">
        <v>240</v>
      </c>
      <c r="J1629" s="2" t="s">
        <v>766</v>
      </c>
      <c r="K1629" s="88" t="s">
        <v>795</v>
      </c>
      <c r="L1629" s="90">
        <v>30000</v>
      </c>
      <c r="M1629" s="8">
        <v>20</v>
      </c>
      <c r="N1629" s="39" t="s">
        <v>48</v>
      </c>
      <c r="O1629" s="39" t="s">
        <v>867</v>
      </c>
      <c r="P1629" s="66">
        <v>10000</v>
      </c>
      <c r="Q1629" s="2">
        <v>40</v>
      </c>
      <c r="R1629" s="15">
        <f>IF(Q1629&gt;0,Q1629/I1629,"")</f>
        <v>0.16666666666666666</v>
      </c>
      <c r="S1629" s="149" t="s">
        <v>110</v>
      </c>
      <c r="T1629" s="149"/>
      <c r="U1629" s="109" t="s">
        <v>767</v>
      </c>
      <c r="V1629" s="205" t="s">
        <v>719</v>
      </c>
      <c r="W1629" s="205"/>
      <c r="AE1629" s="2">
        <f>AC1629*AD1629</f>
        <v>0</v>
      </c>
      <c r="AF1629" s="2" t="e">
        <f>Z1629/Y1629</f>
        <v>#DIV/0!</v>
      </c>
      <c r="AG1629" s="2" t="e">
        <f>AA1629/Z1629</f>
        <v>#DIV/0!</v>
      </c>
      <c r="AH1629" s="2" t="e">
        <f>AB1629/AA1629</f>
        <v>#DIV/0!</v>
      </c>
    </row>
    <row r="1630" spans="1:34">
      <c r="A1630" s="165" t="s">
        <v>1383</v>
      </c>
      <c r="B1630" s="39" t="s">
        <v>63</v>
      </c>
      <c r="C1630" s="40">
        <v>46211</v>
      </c>
      <c r="D1630" s="144">
        <v>0.75</v>
      </c>
      <c r="E1630" s="193"/>
      <c r="F1630" s="8" t="s">
        <v>379</v>
      </c>
      <c r="G1630" s="2">
        <v>1</v>
      </c>
      <c r="I1630" s="126">
        <v>5300</v>
      </c>
      <c r="J1630" s="2" t="s">
        <v>766</v>
      </c>
      <c r="K1630" s="88" t="s">
        <v>810</v>
      </c>
      <c r="L1630" s="90">
        <v>25000</v>
      </c>
      <c r="M1630" s="8">
        <v>30</v>
      </c>
      <c r="N1630" s="132" t="s">
        <v>821</v>
      </c>
      <c r="O1630" s="39" t="s">
        <v>49</v>
      </c>
      <c r="Q1630" s="19">
        <v>300</v>
      </c>
      <c r="R1630" s="15">
        <f>Q1630/I1630</f>
        <v>5.6603773584905662E-2</v>
      </c>
      <c r="S1630" s="5">
        <v>48</v>
      </c>
      <c r="U1630" s="109" t="s">
        <v>767</v>
      </c>
      <c r="V1630" s="71" t="s">
        <v>362</v>
      </c>
      <c r="W1630" s="8" t="s">
        <v>146</v>
      </c>
      <c r="Y1630" s="175"/>
      <c r="Z1630" s="175"/>
      <c r="AA1630" s="175"/>
      <c r="AB1630" s="175"/>
      <c r="AC1630" s="175"/>
      <c r="AD1630" s="175"/>
      <c r="AE1630" s="175"/>
      <c r="AF1630" s="175"/>
      <c r="AG1630" s="175"/>
      <c r="AH1630" s="175"/>
    </row>
    <row r="1631" spans="1:34">
      <c r="A1631" s="102" t="s">
        <v>475</v>
      </c>
      <c r="B1631" s="102" t="s">
        <v>476</v>
      </c>
      <c r="C1631" s="40">
        <v>46211</v>
      </c>
      <c r="D1631" s="42">
        <v>0.75</v>
      </c>
      <c r="E1631" s="8" t="s">
        <v>532</v>
      </c>
      <c r="F1631" s="8" t="s">
        <v>530</v>
      </c>
      <c r="G1631" s="2">
        <v>2</v>
      </c>
      <c r="H1631" s="2">
        <v>9</v>
      </c>
      <c r="I1631" s="125">
        <v>700</v>
      </c>
      <c r="J1631" s="2" t="s">
        <v>766</v>
      </c>
      <c r="K1631" s="109" t="s">
        <v>601</v>
      </c>
      <c r="L1631" s="105">
        <v>50000</v>
      </c>
      <c r="M1631" s="64" t="s">
        <v>22</v>
      </c>
      <c r="N1631" s="39" t="s">
        <v>48</v>
      </c>
      <c r="O1631" s="39" t="s">
        <v>49</v>
      </c>
      <c r="P1631" s="135" t="s">
        <v>842</v>
      </c>
      <c r="Q1631" s="19">
        <v>90</v>
      </c>
      <c r="R1631" s="15">
        <f>Q1631/I1631</f>
        <v>0.12857142857142856</v>
      </c>
      <c r="S1631" s="5">
        <f>($AC1631*$AD1631)/(($Z1631/$Y1631)+($AA1631/$Z1631)+($AB1631/$AA1631))</f>
        <v>66.122448979591837</v>
      </c>
      <c r="U1631" s="109" t="s">
        <v>767</v>
      </c>
      <c r="V1631" s="205" t="s">
        <v>606</v>
      </c>
      <c r="Y1631" s="2">
        <v>2.5</v>
      </c>
      <c r="Z1631" s="2">
        <v>7.5</v>
      </c>
      <c r="AA1631" s="2">
        <v>20</v>
      </c>
      <c r="AB1631" s="2">
        <v>50</v>
      </c>
      <c r="AC1631" s="2">
        <v>30</v>
      </c>
      <c r="AD1631" s="2">
        <v>18</v>
      </c>
      <c r="AE1631" s="2">
        <f>AC1631*AD1631</f>
        <v>540</v>
      </c>
      <c r="AF1631" s="2">
        <f>Z1631/Y1631</f>
        <v>3</v>
      </c>
      <c r="AG1631" s="2">
        <f>AA1631/Z1631</f>
        <v>2.6666666666666665</v>
      </c>
      <c r="AH1631" s="2">
        <f>AB1631/AA1631</f>
        <v>2.5</v>
      </c>
    </row>
    <row r="1632" spans="1:34">
      <c r="A1632" s="52" t="s">
        <v>229</v>
      </c>
      <c r="B1632" s="52" t="s">
        <v>230</v>
      </c>
      <c r="C1632" s="40">
        <v>46211</v>
      </c>
      <c r="D1632" s="42">
        <v>0.75</v>
      </c>
      <c r="E1632" s="193"/>
      <c r="F1632" s="194" t="s">
        <v>244</v>
      </c>
      <c r="G1632" s="2">
        <v>1</v>
      </c>
      <c r="I1632" s="126">
        <v>200</v>
      </c>
      <c r="J1632" s="2" t="s">
        <v>766</v>
      </c>
      <c r="K1632" s="88" t="s">
        <v>804</v>
      </c>
      <c r="L1632" s="90">
        <v>30000</v>
      </c>
      <c r="M1632" s="8">
        <v>20</v>
      </c>
      <c r="N1632" s="39" t="s">
        <v>48</v>
      </c>
      <c r="O1632" s="39" t="s">
        <v>49</v>
      </c>
      <c r="P1632" s="211" t="s">
        <v>832</v>
      </c>
      <c r="Q1632" s="19">
        <v>40</v>
      </c>
      <c r="R1632" s="15">
        <f>IF(Q1632&gt;0,Q1632/I1632,"")</f>
        <v>0.2</v>
      </c>
      <c r="S1632" s="5">
        <f>($AC1632*$AD1632)/(($Z1632/$Y1632)+($AA1632/$Z1632)+($AB1632/$AA1632))</f>
        <v>35.555555555555557</v>
      </c>
      <c r="U1632" s="109" t="s">
        <v>767</v>
      </c>
      <c r="V1632" s="205" t="s">
        <v>719</v>
      </c>
      <c r="W1632" s="205"/>
      <c r="Y1632" s="2">
        <v>2</v>
      </c>
      <c r="Z1632" s="2">
        <v>5</v>
      </c>
      <c r="AA1632" s="2">
        <v>20</v>
      </c>
      <c r="AB1632" s="2">
        <v>50</v>
      </c>
      <c r="AC1632" s="2">
        <v>20</v>
      </c>
      <c r="AD1632" s="2">
        <v>16</v>
      </c>
      <c r="AE1632" s="2">
        <f>AC1632*AD1632</f>
        <v>320</v>
      </c>
      <c r="AF1632" s="2">
        <f>Z1632/Y1632</f>
        <v>2.5</v>
      </c>
      <c r="AG1632" s="2">
        <f>AA1632/Z1632</f>
        <v>4</v>
      </c>
      <c r="AH1632" s="2">
        <f>AB1632/AA1632</f>
        <v>2.5</v>
      </c>
    </row>
    <row r="1633" spans="1:34">
      <c r="A1633" s="96" t="s">
        <v>461</v>
      </c>
      <c r="B1633" s="96" t="s">
        <v>462</v>
      </c>
      <c r="C1633" s="41">
        <v>46211</v>
      </c>
      <c r="D1633" s="42">
        <v>0.75694444444444442</v>
      </c>
      <c r="E1633" s="43"/>
      <c r="F1633" s="194" t="s">
        <v>472</v>
      </c>
      <c r="G1633" s="2">
        <v>2</v>
      </c>
      <c r="I1633" s="126">
        <v>300</v>
      </c>
      <c r="J1633" s="2" t="s">
        <v>766</v>
      </c>
      <c r="K1633" s="109" t="s">
        <v>598</v>
      </c>
      <c r="L1633" s="194">
        <v>30000</v>
      </c>
      <c r="M1633" s="69">
        <v>30</v>
      </c>
      <c r="N1633" s="39" t="s">
        <v>48</v>
      </c>
      <c r="O1633" s="39" t="s">
        <v>49</v>
      </c>
      <c r="P1633" s="211" t="s">
        <v>842</v>
      </c>
      <c r="Q1633" s="19">
        <v>65</v>
      </c>
      <c r="R1633" s="15">
        <f>Q1633/I1633</f>
        <v>0.21666666666666667</v>
      </c>
      <c r="S1633" s="5">
        <f>($AC1633*$AD1633)/(($Z1633/$Y1633)+($AA1633/$Z1633)+($AB1633/$AA1633))</f>
        <v>53.333333333333336</v>
      </c>
      <c r="U1633" s="109" t="s">
        <v>767</v>
      </c>
      <c r="V1633" s="205" t="s">
        <v>735</v>
      </c>
      <c r="W1633" s="205"/>
      <c r="Y1633" s="2">
        <v>2</v>
      </c>
      <c r="Z1633" s="2">
        <v>5</v>
      </c>
      <c r="AA1633" s="2">
        <v>20</v>
      </c>
      <c r="AB1633" s="2">
        <v>50</v>
      </c>
      <c r="AC1633" s="2">
        <v>16</v>
      </c>
      <c r="AD1633" s="2">
        <v>30</v>
      </c>
      <c r="AE1633" s="2">
        <f>AC1633*AD1633</f>
        <v>480</v>
      </c>
      <c r="AF1633" s="2">
        <f>Z1633/Y1633</f>
        <v>2.5</v>
      </c>
      <c r="AG1633" s="2">
        <f>AA1633/Z1633</f>
        <v>4</v>
      </c>
      <c r="AH1633" s="2">
        <f>AB1633/AA1633</f>
        <v>2.5</v>
      </c>
    </row>
    <row r="1634" spans="1:34">
      <c r="A1634" s="68" t="s">
        <v>357</v>
      </c>
      <c r="B1634" s="68" t="s">
        <v>358</v>
      </c>
      <c r="C1634" s="191">
        <v>46211</v>
      </c>
      <c r="D1634" s="42">
        <v>0.75694444444444442</v>
      </c>
      <c r="E1634" s="194">
        <v>85</v>
      </c>
      <c r="F1634" s="197" t="s">
        <v>290</v>
      </c>
      <c r="G1634" s="2">
        <v>1</v>
      </c>
      <c r="H1634" s="2">
        <v>9</v>
      </c>
      <c r="I1634" s="126">
        <v>600</v>
      </c>
      <c r="J1634" s="2" t="s">
        <v>766</v>
      </c>
      <c r="K1634" s="137" t="s">
        <v>602</v>
      </c>
      <c r="L1634" s="92">
        <v>25000</v>
      </c>
      <c r="M1634" s="69">
        <v>30</v>
      </c>
      <c r="N1634" s="39" t="s">
        <v>48</v>
      </c>
      <c r="O1634" s="39" t="s">
        <v>49</v>
      </c>
      <c r="P1634" s="140" t="s">
        <v>836</v>
      </c>
      <c r="Q1634" s="19">
        <v>80</v>
      </c>
      <c r="R1634" s="15">
        <f>Q1634/I1634</f>
        <v>0.13333333333333333</v>
      </c>
      <c r="S1634" s="5">
        <f>($AC1634*$AD1634)/(($Z1634/$Y1634)+($AA1634/$Z1634)+($AB1634/$AA1634))</f>
        <v>55.03292568203198</v>
      </c>
      <c r="U1634" s="109" t="s">
        <v>219</v>
      </c>
      <c r="V1634" s="2" t="s">
        <v>662</v>
      </c>
      <c r="W1634" s="87" t="s">
        <v>389</v>
      </c>
      <c r="Y1634" s="2">
        <v>2.5</v>
      </c>
      <c r="Z1634" s="2">
        <v>6.5</v>
      </c>
      <c r="AA1634" s="2">
        <v>20</v>
      </c>
      <c r="AB1634" s="2">
        <v>50</v>
      </c>
      <c r="AC1634" s="2">
        <v>30</v>
      </c>
      <c r="AD1634" s="2">
        <v>15</v>
      </c>
      <c r="AE1634" s="2">
        <f>AC1634*AD1634</f>
        <v>450</v>
      </c>
      <c r="AF1634" s="2">
        <f>Z1634/Y1634</f>
        <v>2.6</v>
      </c>
      <c r="AG1634" s="2">
        <f>AA1634/Z1634</f>
        <v>3.0769230769230771</v>
      </c>
      <c r="AH1634" s="2">
        <f>AB1634/AA1634</f>
        <v>2.5</v>
      </c>
    </row>
    <row r="1635" spans="1:34">
      <c r="A1635" s="95" t="s">
        <v>447</v>
      </c>
      <c r="B1635" s="95" t="s">
        <v>448</v>
      </c>
      <c r="C1635" s="190">
        <v>46211</v>
      </c>
      <c r="D1635" s="42">
        <v>0.79166666666666663</v>
      </c>
      <c r="E1635" s="43"/>
      <c r="F1635" s="194" t="s">
        <v>403</v>
      </c>
      <c r="G1635" s="2">
        <v>1</v>
      </c>
      <c r="H1635" s="2">
        <v>9</v>
      </c>
      <c r="I1635" s="126">
        <v>300</v>
      </c>
      <c r="J1635" s="2" t="s">
        <v>766</v>
      </c>
      <c r="K1635" s="109" t="s">
        <v>602</v>
      </c>
      <c r="L1635" s="8">
        <v>25000</v>
      </c>
      <c r="M1635" s="8">
        <v>25</v>
      </c>
      <c r="N1635" s="39" t="s">
        <v>48</v>
      </c>
      <c r="O1635" s="39" t="s">
        <v>49</v>
      </c>
      <c r="P1635" s="212" t="s">
        <v>834</v>
      </c>
      <c r="Q1635" s="19">
        <v>50</v>
      </c>
      <c r="R1635" s="15">
        <f>Q1635/I1635</f>
        <v>0.16666666666666666</v>
      </c>
      <c r="S1635" s="5">
        <f>($AC1635*$AD1635)/(($Z1635/$Y1635)+($AA1635/$Z1635)+($AB1635/$AA1635))</f>
        <v>37.5</v>
      </c>
      <c r="U1635" s="109" t="s">
        <v>767</v>
      </c>
      <c r="V1635" s="205" t="s">
        <v>741</v>
      </c>
      <c r="Y1635" s="2">
        <v>2.5</v>
      </c>
      <c r="Z1635" s="2">
        <v>7.5</v>
      </c>
      <c r="AA1635" s="2">
        <v>25</v>
      </c>
      <c r="AB1635" s="2">
        <v>75</v>
      </c>
      <c r="AC1635" s="2">
        <v>14</v>
      </c>
      <c r="AD1635" s="2">
        <v>25</v>
      </c>
      <c r="AE1635" s="2">
        <f>AC1635*AD1635</f>
        <v>350</v>
      </c>
      <c r="AF1635" s="2">
        <f>Z1635/Y1635</f>
        <v>3</v>
      </c>
      <c r="AG1635" s="2">
        <f>AA1635/Z1635</f>
        <v>3.3333333333333335</v>
      </c>
      <c r="AH1635" s="2">
        <f>AB1635/AA1635</f>
        <v>3</v>
      </c>
    </row>
    <row r="1636" spans="1:34">
      <c r="A1636" s="165" t="s">
        <v>1383</v>
      </c>
      <c r="B1636" s="39" t="s">
        <v>63</v>
      </c>
      <c r="C1636" s="41">
        <v>46211</v>
      </c>
      <c r="D1636" s="144">
        <v>0.79166666666666663</v>
      </c>
      <c r="E1636" s="43"/>
      <c r="F1636" s="194" t="s">
        <v>917</v>
      </c>
      <c r="G1636" s="2">
        <v>1</v>
      </c>
      <c r="H1636" s="2">
        <v>9</v>
      </c>
      <c r="I1636" s="81">
        <v>585</v>
      </c>
      <c r="J1636" s="2" t="s">
        <v>766</v>
      </c>
      <c r="K1636" s="88" t="s">
        <v>800</v>
      </c>
      <c r="L1636" s="92">
        <v>10000</v>
      </c>
      <c r="M1636" s="69">
        <v>20</v>
      </c>
      <c r="N1636" s="132" t="s">
        <v>821</v>
      </c>
      <c r="O1636" s="39" t="s">
        <v>49</v>
      </c>
      <c r="P1636" s="130"/>
      <c r="Q1636" s="19">
        <v>89</v>
      </c>
      <c r="R1636" s="59">
        <f>Q1636/I1636</f>
        <v>0.15213675213675212</v>
      </c>
      <c r="S1636" s="5">
        <v>29</v>
      </c>
      <c r="U1636" s="109" t="s">
        <v>767</v>
      </c>
      <c r="V1636" s="83" t="s">
        <v>362</v>
      </c>
      <c r="W1636" s="8" t="s">
        <v>368</v>
      </c>
      <c r="Y1636" s="175"/>
      <c r="Z1636" s="175"/>
      <c r="AA1636" s="175"/>
      <c r="AB1636" s="175"/>
      <c r="AC1636" s="175"/>
      <c r="AD1636" s="175"/>
      <c r="AE1636" s="175"/>
      <c r="AF1636" s="175"/>
      <c r="AG1636" s="175"/>
      <c r="AH1636" s="175"/>
    </row>
    <row r="1637" spans="1:34">
      <c r="A1637" s="165" t="s">
        <v>1383</v>
      </c>
      <c r="B1637" s="39" t="s">
        <v>63</v>
      </c>
      <c r="C1637" s="41">
        <v>46211</v>
      </c>
      <c r="D1637" s="144">
        <v>0.83333333333333337</v>
      </c>
      <c r="E1637" s="194"/>
      <c r="F1637" s="194" t="s">
        <v>1023</v>
      </c>
      <c r="G1637" s="2">
        <v>1</v>
      </c>
      <c r="H1637" s="2">
        <v>9</v>
      </c>
      <c r="I1637" s="45">
        <v>200</v>
      </c>
      <c r="J1637" s="2" t="s">
        <v>766</v>
      </c>
      <c r="K1637" s="88" t="s">
        <v>806</v>
      </c>
      <c r="L1637" s="92">
        <v>20000</v>
      </c>
      <c r="M1637" s="10">
        <v>20</v>
      </c>
      <c r="N1637" s="39" t="s">
        <v>817</v>
      </c>
      <c r="O1637" s="39" t="s">
        <v>49</v>
      </c>
      <c r="P1637" s="130"/>
      <c r="Q1637" s="19">
        <v>45</v>
      </c>
      <c r="R1637" s="15">
        <f>Q1637/I1637</f>
        <v>0.22500000000000001</v>
      </c>
      <c r="S1637" s="5">
        <v>23</v>
      </c>
      <c r="U1637" s="109" t="s">
        <v>129</v>
      </c>
      <c r="V1637" s="71" t="s">
        <v>360</v>
      </c>
      <c r="Y1637" s="175"/>
      <c r="Z1637" s="175"/>
      <c r="AA1637" s="175"/>
      <c r="AB1637" s="175"/>
      <c r="AC1637" s="175"/>
      <c r="AD1637" s="175"/>
      <c r="AE1637" s="175"/>
      <c r="AF1637" s="175"/>
      <c r="AG1637" s="175"/>
      <c r="AH1637" s="175"/>
    </row>
    <row r="1638" spans="1:34">
      <c r="A1638" s="165" t="s">
        <v>1383</v>
      </c>
      <c r="B1638" s="39" t="s">
        <v>63</v>
      </c>
      <c r="C1638" s="41">
        <v>46211</v>
      </c>
      <c r="D1638" s="144">
        <v>0.91666666666666663</v>
      </c>
      <c r="E1638" s="43"/>
      <c r="F1638" s="194" t="s">
        <v>909</v>
      </c>
      <c r="G1638" s="2">
        <v>1</v>
      </c>
      <c r="H1638" s="2">
        <v>9</v>
      </c>
      <c r="I1638" s="45">
        <v>135</v>
      </c>
      <c r="J1638" s="2" t="s">
        <v>766</v>
      </c>
      <c r="K1638" s="88" t="s">
        <v>813</v>
      </c>
      <c r="L1638" s="92">
        <v>10000</v>
      </c>
      <c r="M1638" s="69">
        <v>15</v>
      </c>
      <c r="N1638" s="132" t="s">
        <v>821</v>
      </c>
      <c r="O1638" s="39" t="s">
        <v>49</v>
      </c>
      <c r="P1638" s="130"/>
      <c r="Q1638" s="19">
        <v>35</v>
      </c>
      <c r="R1638" s="15">
        <f>Q1638/I1638</f>
        <v>0.25925925925925924</v>
      </c>
      <c r="S1638" s="5">
        <v>22</v>
      </c>
      <c r="U1638" s="109" t="s">
        <v>767</v>
      </c>
      <c r="V1638" s="71" t="s">
        <v>362</v>
      </c>
      <c r="W1638" s="8" t="s">
        <v>369</v>
      </c>
      <c r="Y1638" s="175"/>
      <c r="Z1638" s="175"/>
      <c r="AA1638" s="175"/>
      <c r="AB1638" s="175"/>
      <c r="AC1638" s="175"/>
      <c r="AD1638" s="175"/>
      <c r="AE1638" s="175"/>
      <c r="AF1638" s="175"/>
      <c r="AG1638" s="175"/>
      <c r="AH1638" s="175"/>
    </row>
    <row r="1639" spans="1:34">
      <c r="A1639" s="165" t="s">
        <v>1383</v>
      </c>
      <c r="B1639" s="36" t="s">
        <v>63</v>
      </c>
      <c r="C1639" s="41">
        <v>46211</v>
      </c>
      <c r="D1639" s="144" t="s">
        <v>117</v>
      </c>
      <c r="E1639" s="228">
        <v>88</v>
      </c>
      <c r="F1639" s="194" t="s">
        <v>1006</v>
      </c>
      <c r="G1639" s="2">
        <v>3</v>
      </c>
      <c r="H1639" s="2">
        <v>9</v>
      </c>
      <c r="I1639" s="45">
        <v>300</v>
      </c>
      <c r="J1639" s="2" t="s">
        <v>763</v>
      </c>
      <c r="K1639" s="109" t="s">
        <v>816</v>
      </c>
      <c r="L1639" s="92">
        <v>30000</v>
      </c>
      <c r="M1639" s="69" t="s">
        <v>22</v>
      </c>
      <c r="N1639" s="39" t="s">
        <v>48</v>
      </c>
      <c r="O1639" s="39" t="s">
        <v>49</v>
      </c>
      <c r="P1639" s="130"/>
      <c r="Q1639" s="19">
        <f>R1639*I1639</f>
        <v>0</v>
      </c>
      <c r="R1639" s="15">
        <v>0</v>
      </c>
      <c r="S1639" s="5">
        <f>($AC1639*$AD1639)/(($Z1639/$Y1639)+($AA1639/$Z1639)+($AB1639/$AA1639))</f>
        <v>62.448979591836739</v>
      </c>
      <c r="U1639" s="109" t="s">
        <v>767</v>
      </c>
      <c r="V1639" s="205" t="s">
        <v>121</v>
      </c>
      <c r="W1639" s="205"/>
      <c r="Y1639" s="2">
        <v>2</v>
      </c>
      <c r="Z1639" s="2">
        <v>5</v>
      </c>
      <c r="AA1639" s="2">
        <v>15</v>
      </c>
      <c r="AB1639" s="2">
        <v>40</v>
      </c>
      <c r="AC1639" s="2">
        <v>30</v>
      </c>
      <c r="AD1639" s="2">
        <v>17</v>
      </c>
      <c r="AE1639" s="2">
        <f>AC1639*AD1639</f>
        <v>510</v>
      </c>
      <c r="AF1639" s="2">
        <f>Z1639/Y1639</f>
        <v>2.5</v>
      </c>
      <c r="AG1639" s="2">
        <f>AA1639/Z1639</f>
        <v>3</v>
      </c>
      <c r="AH1639" s="2">
        <f>AB1639/AA1639</f>
        <v>2.6666666666666665</v>
      </c>
    </row>
    <row r="1640" spans="1:34">
      <c r="A1640" s="165" t="s">
        <v>1383</v>
      </c>
      <c r="B1640" s="36" t="s">
        <v>63</v>
      </c>
      <c r="C1640" s="41">
        <v>46211</v>
      </c>
      <c r="D1640" s="144" t="s">
        <v>120</v>
      </c>
      <c r="E1640" s="228">
        <v>82</v>
      </c>
      <c r="F1640" t="s">
        <v>1256</v>
      </c>
      <c r="G1640" s="2">
        <v>8</v>
      </c>
      <c r="H1640" s="2">
        <v>9</v>
      </c>
      <c r="I1640" s="45">
        <v>10000</v>
      </c>
      <c r="J1640" s="2" t="s">
        <v>110</v>
      </c>
      <c r="K1640" s="109" t="s">
        <v>737</v>
      </c>
      <c r="L1640" s="92">
        <v>60000</v>
      </c>
      <c r="M1640" s="69">
        <v>120</v>
      </c>
      <c r="N1640" s="39" t="s">
        <v>48</v>
      </c>
      <c r="O1640" s="39" t="s">
        <v>49</v>
      </c>
      <c r="P1640" s="130"/>
      <c r="Q1640" s="19">
        <f>R1640*I1640</f>
        <v>700.00000000000011</v>
      </c>
      <c r="R1640" s="15">
        <v>7.0000000000000007E-2</v>
      </c>
      <c r="S1640" s="5">
        <f>($AC1640*$AD1640)/(($Z1640/$Y1640)+($AA1640/$Z1640)+($AB1640/$AA1640))</f>
        <v>340.18691588785049</v>
      </c>
      <c r="U1640" s="109" t="s">
        <v>853</v>
      </c>
      <c r="V1640" s="2" t="s">
        <v>121</v>
      </c>
      <c r="W1640" s="205"/>
      <c r="Y1640" s="2">
        <v>2</v>
      </c>
      <c r="Z1640" s="2">
        <v>5</v>
      </c>
      <c r="AA1640" s="2">
        <v>13</v>
      </c>
      <c r="AB1640" s="2">
        <v>30</v>
      </c>
      <c r="AC1640" s="2">
        <v>120</v>
      </c>
      <c r="AD1640" s="2">
        <v>21</v>
      </c>
      <c r="AE1640" s="2">
        <f>AC1640*AD1640</f>
        <v>2520</v>
      </c>
      <c r="AF1640" s="2">
        <f>Z1640/Y1640</f>
        <v>2.5</v>
      </c>
      <c r="AG1640" s="2">
        <f>AA1640/Z1640</f>
        <v>2.6</v>
      </c>
      <c r="AH1640" s="2">
        <f>AB1640/AA1640</f>
        <v>2.3076923076923075</v>
      </c>
    </row>
    <row r="1641" spans="1:34">
      <c r="A1641" s="165" t="s">
        <v>1383</v>
      </c>
      <c r="B1641" s="36" t="s">
        <v>63</v>
      </c>
      <c r="C1641" s="41">
        <v>46211</v>
      </c>
      <c r="D1641" s="144" t="s">
        <v>115</v>
      </c>
      <c r="E1641" s="228">
        <v>89</v>
      </c>
      <c r="F1641" s="194" t="s">
        <v>1010</v>
      </c>
      <c r="G1641" s="2">
        <v>4</v>
      </c>
      <c r="H1641" s="2">
        <v>9</v>
      </c>
      <c r="I1641" s="45">
        <v>3000</v>
      </c>
      <c r="J1641" s="2" t="s">
        <v>761</v>
      </c>
      <c r="K1641" s="109" t="s">
        <v>816</v>
      </c>
      <c r="L1641" s="92">
        <v>40000</v>
      </c>
      <c r="M1641" s="69">
        <v>60</v>
      </c>
      <c r="N1641" s="39" t="s">
        <v>48</v>
      </c>
      <c r="O1641" s="39" t="s">
        <v>49</v>
      </c>
      <c r="P1641" s="130"/>
      <c r="Q1641" s="19">
        <f>R1641*I1641</f>
        <v>330</v>
      </c>
      <c r="R1641" s="15">
        <v>0.11</v>
      </c>
      <c r="S1641" s="5">
        <f>($AC1641*$AD1641)/(($Z1641/$Y1641)+($AA1641/$Z1641)+($AB1641/$AA1641))</f>
        <v>153.89408099688475</v>
      </c>
      <c r="U1641" s="109" t="s">
        <v>767</v>
      </c>
      <c r="V1641" s="2" t="s">
        <v>121</v>
      </c>
      <c r="W1641" s="205"/>
      <c r="Y1641" s="2">
        <v>2</v>
      </c>
      <c r="Z1641" s="2">
        <v>5</v>
      </c>
      <c r="AA1641" s="2">
        <v>13</v>
      </c>
      <c r="AB1641" s="2">
        <v>30</v>
      </c>
      <c r="AC1641" s="2">
        <v>60</v>
      </c>
      <c r="AD1641" s="2">
        <v>19</v>
      </c>
      <c r="AE1641" s="2">
        <f>AC1641*AD1641</f>
        <v>1140</v>
      </c>
      <c r="AF1641" s="2">
        <f>Z1641/Y1641</f>
        <v>2.5</v>
      </c>
      <c r="AG1641" s="2">
        <f>AA1641/Z1641</f>
        <v>2.6</v>
      </c>
      <c r="AH1641" s="2">
        <f>AB1641/AA1641</f>
        <v>2.3076923076923075</v>
      </c>
    </row>
    <row r="1642" spans="1:34">
      <c r="A1642" s="165" t="s">
        <v>1383</v>
      </c>
      <c r="B1642" s="36" t="s">
        <v>63</v>
      </c>
      <c r="C1642" s="41">
        <v>46211</v>
      </c>
      <c r="D1642" s="144" t="s">
        <v>116</v>
      </c>
      <c r="E1642" s="228">
        <v>87</v>
      </c>
      <c r="F1642" s="194" t="s">
        <v>187</v>
      </c>
      <c r="G1642" s="2">
        <v>2</v>
      </c>
      <c r="H1642" s="2">
        <v>9</v>
      </c>
      <c r="I1642" s="45">
        <v>1000</v>
      </c>
      <c r="J1642" s="2" t="s">
        <v>763</v>
      </c>
      <c r="K1642" s="109" t="s">
        <v>601</v>
      </c>
      <c r="L1642" s="92">
        <v>40000</v>
      </c>
      <c r="M1642" s="69">
        <v>40</v>
      </c>
      <c r="N1642" s="39" t="s">
        <v>48</v>
      </c>
      <c r="O1642" s="39" t="s">
        <v>57</v>
      </c>
      <c r="P1642" s="66"/>
      <c r="Q1642" s="38">
        <f>R1642*I1642</f>
        <v>120</v>
      </c>
      <c r="R1642" s="15">
        <v>0.12</v>
      </c>
      <c r="S1642" s="149" t="s">
        <v>110</v>
      </c>
      <c r="T1642" s="149"/>
      <c r="U1642" s="109" t="s">
        <v>55</v>
      </c>
      <c r="V1642" s="2" t="s">
        <v>121</v>
      </c>
      <c r="W1642" s="205"/>
      <c r="AE1642" s="2">
        <f>AC1642*AD1642</f>
        <v>0</v>
      </c>
      <c r="AF1642" s="2" t="e">
        <f>Z1642/Y1642</f>
        <v>#DIV/0!</v>
      </c>
      <c r="AG1642" s="2" t="e">
        <f>AA1642/Z1642</f>
        <v>#DIV/0!</v>
      </c>
      <c r="AH1642" s="2" t="e">
        <f>AB1642/AA1642</f>
        <v>#DIV/0!</v>
      </c>
    </row>
    <row r="1643" spans="1:34">
      <c r="A1643" s="95" t="s">
        <v>447</v>
      </c>
      <c r="B1643" s="95" t="s">
        <v>448</v>
      </c>
      <c r="C1643" s="190">
        <v>46212</v>
      </c>
      <c r="D1643" s="42">
        <v>0.375</v>
      </c>
      <c r="E1643" s="43"/>
      <c r="F1643" s="8" t="s">
        <v>415</v>
      </c>
      <c r="G1643" s="2">
        <v>1</v>
      </c>
      <c r="H1643" s="2">
        <v>9</v>
      </c>
      <c r="I1643" s="126">
        <v>240</v>
      </c>
      <c r="J1643" s="2" t="s">
        <v>766</v>
      </c>
      <c r="K1643" s="109" t="s">
        <v>602</v>
      </c>
      <c r="L1643" s="194">
        <v>20000</v>
      </c>
      <c r="M1643" s="194">
        <v>15</v>
      </c>
      <c r="N1643" s="39" t="s">
        <v>61</v>
      </c>
      <c r="O1643" s="39" t="s">
        <v>49</v>
      </c>
      <c r="P1643" s="214" t="s">
        <v>228</v>
      </c>
      <c r="Q1643" s="19">
        <v>40</v>
      </c>
      <c r="R1643" s="15">
        <f>Q1643/I1643</f>
        <v>0.16666666666666666</v>
      </c>
      <c r="S1643" s="5">
        <f>($AC1643*$AD1643)/(($Z1643/$Y1643)+($AA1643/$Z1643)+($AB1643/$AA1643))</f>
        <v>23.333333333333332</v>
      </c>
      <c r="U1643" s="109" t="s">
        <v>129</v>
      </c>
      <c r="V1643" s="2" t="s">
        <v>741</v>
      </c>
      <c r="W1643" s="116" t="s">
        <v>745</v>
      </c>
      <c r="Y1643" s="2">
        <v>2</v>
      </c>
      <c r="Z1643" s="2">
        <v>5</v>
      </c>
      <c r="AA1643" s="2">
        <v>20</v>
      </c>
      <c r="AB1643" s="2">
        <v>50</v>
      </c>
      <c r="AC1643" s="2">
        <v>14</v>
      </c>
      <c r="AD1643" s="2">
        <v>15</v>
      </c>
      <c r="AE1643" s="2">
        <f>AC1643*AD1643</f>
        <v>210</v>
      </c>
      <c r="AF1643" s="2">
        <f>Z1643/Y1643</f>
        <v>2.5</v>
      </c>
      <c r="AG1643" s="2">
        <f>AA1643/Z1643</f>
        <v>4</v>
      </c>
      <c r="AH1643" s="2">
        <f>AB1643/AA1643</f>
        <v>2.5</v>
      </c>
    </row>
    <row r="1644" spans="1:34">
      <c r="A1644" s="165" t="s">
        <v>1383</v>
      </c>
      <c r="B1644" s="39" t="s">
        <v>63</v>
      </c>
      <c r="C1644" s="41">
        <v>46212</v>
      </c>
      <c r="D1644" s="144">
        <v>0.375</v>
      </c>
      <c r="E1644"/>
      <c r="F1644" s="8" t="s">
        <v>925</v>
      </c>
      <c r="G1644" s="2">
        <v>1</v>
      </c>
      <c r="H1644" s="2">
        <v>9</v>
      </c>
      <c r="I1644" s="45">
        <v>250</v>
      </c>
      <c r="J1644" s="2" t="s">
        <v>766</v>
      </c>
      <c r="K1644" s="88" t="s">
        <v>772</v>
      </c>
      <c r="L1644" s="92">
        <v>25000</v>
      </c>
      <c r="M1644" s="10">
        <v>30</v>
      </c>
      <c r="N1644" s="39" t="s">
        <v>823</v>
      </c>
      <c r="O1644" s="39" t="s">
        <v>49</v>
      </c>
      <c r="P1644" s="130"/>
      <c r="Q1644" s="19">
        <v>50</v>
      </c>
      <c r="R1644" s="15">
        <v>0.2</v>
      </c>
      <c r="S1644" s="5">
        <v>44</v>
      </c>
      <c r="U1644" s="109" t="s">
        <v>54</v>
      </c>
      <c r="V1644" s="71" t="s">
        <v>360</v>
      </c>
      <c r="Y1644" s="175"/>
      <c r="Z1644" s="175"/>
      <c r="AA1644" s="175"/>
      <c r="AB1644" s="175"/>
      <c r="AC1644" s="175"/>
      <c r="AD1644" s="175"/>
      <c r="AE1644" s="175"/>
      <c r="AF1644" s="175"/>
      <c r="AG1644" s="175"/>
      <c r="AH1644" s="175"/>
    </row>
    <row r="1645" spans="1:34">
      <c r="A1645" s="96" t="s">
        <v>461</v>
      </c>
      <c r="B1645" s="96" t="s">
        <v>462</v>
      </c>
      <c r="C1645" s="41">
        <v>46212</v>
      </c>
      <c r="D1645" s="42">
        <v>0.4236111111111111</v>
      </c>
      <c r="E1645" s="43"/>
      <c r="F1645" s="8" t="s">
        <v>457</v>
      </c>
      <c r="G1645" s="2">
        <v>1</v>
      </c>
      <c r="I1645" s="126">
        <v>120</v>
      </c>
      <c r="J1645" s="2" t="s">
        <v>766</v>
      </c>
      <c r="K1645" s="109" t="s">
        <v>602</v>
      </c>
      <c r="L1645" s="194">
        <v>20000</v>
      </c>
      <c r="M1645" s="69">
        <v>20</v>
      </c>
      <c r="N1645" s="39" t="s">
        <v>48</v>
      </c>
      <c r="O1645" s="39" t="s">
        <v>49</v>
      </c>
      <c r="P1645" s="211" t="s">
        <v>832</v>
      </c>
      <c r="Q1645" s="19">
        <v>24</v>
      </c>
      <c r="R1645" s="15">
        <f>Q1645/I1645</f>
        <v>0.2</v>
      </c>
      <c r="S1645" s="5">
        <f>($AC1645*$AD1645)/(($Z1645/$Y1645)+($AA1645/$Z1645)+($AB1645/$AA1645))</f>
        <v>25.161290322580644</v>
      </c>
      <c r="U1645" s="109" t="s">
        <v>767</v>
      </c>
      <c r="V1645" s="2" t="s">
        <v>735</v>
      </c>
      <c r="Y1645" s="2">
        <v>2.5</v>
      </c>
      <c r="Z1645" s="2">
        <v>7.5</v>
      </c>
      <c r="AA1645" s="2">
        <v>30</v>
      </c>
      <c r="AB1645" s="2">
        <v>100</v>
      </c>
      <c r="AC1645" s="2">
        <v>13</v>
      </c>
      <c r="AD1645" s="2">
        <v>20</v>
      </c>
      <c r="AE1645" s="2">
        <f>AC1645*AD1645</f>
        <v>260</v>
      </c>
      <c r="AF1645" s="2">
        <f>Z1645/Y1645</f>
        <v>3</v>
      </c>
      <c r="AG1645" s="2">
        <f>AA1645/Z1645</f>
        <v>4</v>
      </c>
      <c r="AH1645" s="2">
        <f>AB1645/AA1645</f>
        <v>3.3333333333333335</v>
      </c>
    </row>
    <row r="1646" spans="1:34">
      <c r="A1646" s="68" t="s">
        <v>357</v>
      </c>
      <c r="B1646" s="68" t="s">
        <v>358</v>
      </c>
      <c r="C1646" s="191">
        <v>46212</v>
      </c>
      <c r="D1646" s="42">
        <v>0.4236111111111111</v>
      </c>
      <c r="E1646">
        <v>83</v>
      </c>
      <c r="F1646" s="63" t="s">
        <v>308</v>
      </c>
      <c r="G1646" s="2">
        <v>2</v>
      </c>
      <c r="H1646" s="2">
        <v>9</v>
      </c>
      <c r="I1646" s="126">
        <v>1100</v>
      </c>
      <c r="J1646" s="2" t="s">
        <v>766</v>
      </c>
      <c r="K1646" s="137" t="s">
        <v>598</v>
      </c>
      <c r="L1646" s="92">
        <v>40000</v>
      </c>
      <c r="M1646" s="69">
        <v>40</v>
      </c>
      <c r="N1646" s="39" t="s">
        <v>48</v>
      </c>
      <c r="O1646" s="39" t="s">
        <v>49</v>
      </c>
      <c r="P1646" s="211" t="s">
        <v>848</v>
      </c>
      <c r="Q1646" s="19">
        <v>140</v>
      </c>
      <c r="R1646" s="15">
        <f>Q1646/I1646</f>
        <v>0.12727272727272726</v>
      </c>
      <c r="S1646" s="5">
        <f>($AC1646*$AD1646)/(($Z1646/$Y1646)+($AA1646/$Z1646)+($AB1646/$AA1646))</f>
        <v>102.59605399792316</v>
      </c>
      <c r="U1646" s="109" t="s">
        <v>54</v>
      </c>
      <c r="V1646" s="2" t="s">
        <v>702</v>
      </c>
      <c r="Y1646" s="2">
        <v>2</v>
      </c>
      <c r="Z1646" s="2">
        <v>5</v>
      </c>
      <c r="AA1646" s="2">
        <v>13</v>
      </c>
      <c r="AB1646" s="2">
        <v>30</v>
      </c>
      <c r="AC1646" s="2">
        <v>40</v>
      </c>
      <c r="AD1646" s="2">
        <v>19</v>
      </c>
      <c r="AE1646" s="2">
        <f>AC1646*AD1646</f>
        <v>760</v>
      </c>
      <c r="AF1646" s="2">
        <f>Z1646/Y1646</f>
        <v>2.5</v>
      </c>
      <c r="AG1646" s="2">
        <f>AA1646/Z1646</f>
        <v>2.6</v>
      </c>
      <c r="AH1646" s="2">
        <f>AB1646/AA1646</f>
        <v>2.3076923076923075</v>
      </c>
    </row>
    <row r="1647" spans="1:34">
      <c r="A1647" s="165" t="s">
        <v>1383</v>
      </c>
      <c r="B1647" s="36" t="s">
        <v>63</v>
      </c>
      <c r="C1647" s="41">
        <v>46212</v>
      </c>
      <c r="D1647" s="144">
        <v>0.45833333333333331</v>
      </c>
      <c r="E1647" s="228">
        <v>87</v>
      </c>
      <c r="F1647" s="194" t="s">
        <v>1117</v>
      </c>
      <c r="G1647" s="2">
        <v>2</v>
      </c>
      <c r="H1647" s="2">
        <v>9</v>
      </c>
      <c r="I1647" s="45">
        <v>1000</v>
      </c>
      <c r="J1647" s="2" t="s">
        <v>763</v>
      </c>
      <c r="K1647" s="109" t="s">
        <v>601</v>
      </c>
      <c r="L1647" s="92">
        <v>40000</v>
      </c>
      <c r="M1647" s="69">
        <v>40</v>
      </c>
      <c r="N1647" s="39" t="s">
        <v>48</v>
      </c>
      <c r="O1647" s="39" t="s">
        <v>57</v>
      </c>
      <c r="P1647" s="66"/>
      <c r="Q1647" s="38">
        <f>R1647*I1647</f>
        <v>120</v>
      </c>
      <c r="R1647" s="15">
        <v>0.12</v>
      </c>
      <c r="S1647" s="149" t="s">
        <v>110</v>
      </c>
      <c r="T1647" s="149"/>
      <c r="U1647" s="109" t="s">
        <v>55</v>
      </c>
      <c r="V1647" s="2" t="s">
        <v>121</v>
      </c>
      <c r="W1647" s="205"/>
      <c r="AE1647" s="2">
        <f>AC1647*AD1647</f>
        <v>0</v>
      </c>
      <c r="AF1647" s="2" t="e">
        <f>Z1647/Y1647</f>
        <v>#DIV/0!</v>
      </c>
      <c r="AG1647" s="2" t="e">
        <f>AA1647/Z1647</f>
        <v>#DIV/0!</v>
      </c>
      <c r="AH1647" s="2" t="e">
        <f>AB1647/AA1647</f>
        <v>#DIV/0!</v>
      </c>
    </row>
    <row r="1648" spans="1:34">
      <c r="A1648" s="102" t="s">
        <v>475</v>
      </c>
      <c r="B1648" s="102" t="s">
        <v>476</v>
      </c>
      <c r="C1648" s="190">
        <v>46212</v>
      </c>
      <c r="D1648" s="42">
        <v>0.45833333333333331</v>
      </c>
      <c r="E1648" s="194" t="s">
        <v>533</v>
      </c>
      <c r="F1648" s="8" t="s">
        <v>530</v>
      </c>
      <c r="G1648" s="2">
        <v>2</v>
      </c>
      <c r="H1648" s="2">
        <v>9</v>
      </c>
      <c r="I1648" s="126">
        <v>700</v>
      </c>
      <c r="J1648" s="2" t="s">
        <v>766</v>
      </c>
      <c r="K1648" s="109" t="s">
        <v>601</v>
      </c>
      <c r="L1648" s="201">
        <v>50000</v>
      </c>
      <c r="M1648" s="203" t="s">
        <v>22</v>
      </c>
      <c r="N1648" s="39" t="s">
        <v>48</v>
      </c>
      <c r="O1648" s="39" t="s">
        <v>49</v>
      </c>
      <c r="P1648" s="211" t="s">
        <v>842</v>
      </c>
      <c r="Q1648" s="19">
        <v>90</v>
      </c>
      <c r="R1648" s="15">
        <f>Q1648/I1648</f>
        <v>0.12857142857142856</v>
      </c>
      <c r="S1648" s="5">
        <f>($AC1648*$AD1648)/(($Z1648/$Y1648)+($AA1648/$Z1648)+($AB1648/$AA1648))</f>
        <v>66.122448979591837</v>
      </c>
      <c r="U1648" s="109" t="s">
        <v>767</v>
      </c>
      <c r="V1648" s="2" t="s">
        <v>606</v>
      </c>
      <c r="Y1648" s="2">
        <v>2.5</v>
      </c>
      <c r="Z1648" s="2">
        <v>7.5</v>
      </c>
      <c r="AA1648" s="2">
        <v>20</v>
      </c>
      <c r="AB1648" s="2">
        <v>50</v>
      </c>
      <c r="AC1648" s="2">
        <v>30</v>
      </c>
      <c r="AD1648" s="2">
        <v>18</v>
      </c>
      <c r="AE1648" s="2">
        <f>AC1648*AD1648</f>
        <v>540</v>
      </c>
      <c r="AF1648" s="2">
        <f>Z1648/Y1648</f>
        <v>3</v>
      </c>
      <c r="AG1648" s="2">
        <f>AA1648/Z1648</f>
        <v>2.6666666666666665</v>
      </c>
      <c r="AH1648" s="2">
        <f>AB1648/AA1648</f>
        <v>2.5</v>
      </c>
    </row>
    <row r="1649" spans="1:34">
      <c r="A1649" s="52" t="s">
        <v>229</v>
      </c>
      <c r="B1649" s="52" t="s">
        <v>230</v>
      </c>
      <c r="C1649" s="190">
        <v>46212</v>
      </c>
      <c r="D1649" s="42">
        <v>0.45833333333333331</v>
      </c>
      <c r="E1649" s="43"/>
      <c r="F1649" s="8" t="s">
        <v>242</v>
      </c>
      <c r="G1649" s="2">
        <v>1</v>
      </c>
      <c r="I1649" s="126">
        <v>200</v>
      </c>
      <c r="J1649" s="2" t="s">
        <v>766</v>
      </c>
      <c r="K1649" s="88" t="s">
        <v>775</v>
      </c>
      <c r="L1649" s="91">
        <v>25000</v>
      </c>
      <c r="M1649" s="195" t="s">
        <v>128</v>
      </c>
      <c r="N1649" s="39" t="s">
        <v>48</v>
      </c>
      <c r="O1649" s="39" t="s">
        <v>49</v>
      </c>
      <c r="P1649" s="211" t="s">
        <v>832</v>
      </c>
      <c r="Q1649" s="19">
        <v>40</v>
      </c>
      <c r="R1649" s="15">
        <f>IF(Q1649&gt;0,Q1649/I1649,"")</f>
        <v>0.2</v>
      </c>
      <c r="S1649" s="5">
        <f>($AC1649*$AD1649)/(($Z1649/$Y1649)+($AA1649/$Z1649)+($AB1649/$AA1649))</f>
        <v>28.333333333333332</v>
      </c>
      <c r="U1649" s="109" t="s">
        <v>767</v>
      </c>
      <c r="V1649" s="205" t="s">
        <v>719</v>
      </c>
      <c r="W1649" s="205"/>
      <c r="Y1649" s="2">
        <v>2</v>
      </c>
      <c r="Z1649" s="2">
        <v>5</v>
      </c>
      <c r="AA1649" s="2">
        <v>20</v>
      </c>
      <c r="AB1649" s="2">
        <v>50</v>
      </c>
      <c r="AC1649" s="2">
        <v>255</v>
      </c>
      <c r="AD1649" s="2">
        <v>1</v>
      </c>
      <c r="AE1649" s="2">
        <f>AC1649*AD1649</f>
        <v>255</v>
      </c>
      <c r="AF1649" s="2">
        <f>Z1649/Y1649</f>
        <v>2.5</v>
      </c>
      <c r="AG1649" s="2">
        <f>AA1649/Z1649</f>
        <v>4</v>
      </c>
      <c r="AH1649" s="2">
        <f>AB1649/AA1649</f>
        <v>2.5</v>
      </c>
    </row>
    <row r="1650" spans="1:34">
      <c r="A1650" s="95" t="s">
        <v>447</v>
      </c>
      <c r="B1650" s="95" t="s">
        <v>448</v>
      </c>
      <c r="C1650" s="190">
        <v>46212</v>
      </c>
      <c r="D1650" s="42">
        <v>0.5</v>
      </c>
      <c r="E1650" s="43"/>
      <c r="F1650" s="8" t="s">
        <v>435</v>
      </c>
      <c r="G1650" s="2">
        <v>1</v>
      </c>
      <c r="H1650" s="2">
        <v>8</v>
      </c>
      <c r="I1650" s="126">
        <v>1600</v>
      </c>
      <c r="J1650" s="2" t="s">
        <v>766</v>
      </c>
      <c r="K1650" s="109" t="s">
        <v>598</v>
      </c>
      <c r="L1650" s="194">
        <v>40000</v>
      </c>
      <c r="M1650" s="194">
        <v>30</v>
      </c>
      <c r="N1650" s="39" t="s">
        <v>48</v>
      </c>
      <c r="O1650" s="39" t="s">
        <v>49</v>
      </c>
      <c r="P1650" s="211" t="s">
        <v>843</v>
      </c>
      <c r="Q1650" s="19">
        <v>180</v>
      </c>
      <c r="R1650" s="15">
        <f>Q1650/I1650</f>
        <v>0.1125</v>
      </c>
      <c r="S1650" s="5">
        <f>($AC1650*$AD1650)/(($Z1650/$Y1650)+($AA1650/$Z1650)+($AB1650/$AA1650))</f>
        <v>76.947040498442377</v>
      </c>
      <c r="U1650" s="109" t="s">
        <v>767</v>
      </c>
      <c r="V1650" s="2" t="s">
        <v>741</v>
      </c>
      <c r="W1650" s="205"/>
      <c r="Y1650" s="2">
        <v>2</v>
      </c>
      <c r="Z1650" s="2">
        <v>5</v>
      </c>
      <c r="AA1650" s="2">
        <v>13</v>
      </c>
      <c r="AB1650" s="2">
        <v>30</v>
      </c>
      <c r="AC1650" s="2">
        <v>19</v>
      </c>
      <c r="AD1650" s="2">
        <v>30</v>
      </c>
      <c r="AE1650" s="2">
        <f>AC1650*AD1650</f>
        <v>570</v>
      </c>
      <c r="AF1650" s="2">
        <f>Z1650/Y1650</f>
        <v>2.5</v>
      </c>
      <c r="AG1650" s="2">
        <f>AA1650/Z1650</f>
        <v>2.6</v>
      </c>
      <c r="AH1650" s="2">
        <f>AB1650/AA1650</f>
        <v>2.3076923076923075</v>
      </c>
    </row>
    <row r="1651" spans="1:34">
      <c r="A1651" s="165" t="s">
        <v>1383</v>
      </c>
      <c r="B1651" s="39" t="s">
        <v>63</v>
      </c>
      <c r="C1651" s="47">
        <v>46212</v>
      </c>
      <c r="D1651" s="144">
        <v>0.5</v>
      </c>
      <c r="E1651" s="43"/>
      <c r="F1651" s="8" t="s">
        <v>901</v>
      </c>
      <c r="G1651" s="2">
        <v>1</v>
      </c>
      <c r="H1651" s="2">
        <v>9</v>
      </c>
      <c r="I1651" s="126">
        <v>50</v>
      </c>
      <c r="J1651" s="2" t="s">
        <v>766</v>
      </c>
      <c r="K1651" s="88" t="s">
        <v>771</v>
      </c>
      <c r="L1651" s="91">
        <v>10000</v>
      </c>
      <c r="M1651" s="194">
        <v>10</v>
      </c>
      <c r="N1651" s="132" t="s">
        <v>821</v>
      </c>
      <c r="O1651" s="39" t="s">
        <v>49</v>
      </c>
      <c r="P1651" s="130"/>
      <c r="Q1651" s="19">
        <v>15</v>
      </c>
      <c r="R1651" s="15">
        <f>Q1651/I1651</f>
        <v>0.3</v>
      </c>
      <c r="S1651" s="5">
        <v>15</v>
      </c>
      <c r="U1651" s="109" t="s">
        <v>767</v>
      </c>
      <c r="V1651" s="71" t="s">
        <v>362</v>
      </c>
      <c r="W1651" s="8" t="s">
        <v>147</v>
      </c>
      <c r="Y1651" s="175"/>
      <c r="Z1651" s="175"/>
      <c r="AA1651" s="175"/>
      <c r="AB1651" s="175"/>
      <c r="AC1651" s="175"/>
      <c r="AD1651" s="175"/>
      <c r="AE1651" s="175"/>
      <c r="AF1651" s="175"/>
      <c r="AG1651" s="175"/>
      <c r="AH1651" s="175"/>
    </row>
    <row r="1652" spans="1:34">
      <c r="A1652" s="52" t="s">
        <v>220</v>
      </c>
      <c r="B1652" s="52" t="s">
        <v>221</v>
      </c>
      <c r="C1652" s="191">
        <v>46212</v>
      </c>
      <c r="D1652" s="42">
        <v>0.5</v>
      </c>
      <c r="E1652" s="43"/>
      <c r="F1652" s="8" t="s">
        <v>1300</v>
      </c>
      <c r="G1652" s="2">
        <v>2</v>
      </c>
      <c r="H1652" s="2">
        <v>9</v>
      </c>
      <c r="I1652" s="126">
        <v>2200</v>
      </c>
      <c r="J1652" s="2" t="s">
        <v>766</v>
      </c>
      <c r="K1652" s="109" t="s">
        <v>767</v>
      </c>
      <c r="L1652" s="91">
        <v>40000</v>
      </c>
      <c r="M1652" s="203">
        <v>40</v>
      </c>
      <c r="N1652" s="39" t="s">
        <v>48</v>
      </c>
      <c r="O1652" s="39" t="s">
        <v>49</v>
      </c>
      <c r="P1652" s="211" t="s">
        <v>846</v>
      </c>
      <c r="Q1652" s="19">
        <v>215</v>
      </c>
      <c r="R1652" s="15">
        <f>Q1652/I1652</f>
        <v>9.7727272727272732E-2</v>
      </c>
      <c r="S1652" s="5">
        <f>($AC1652*$AD1652)/(($Z1652/$Y1652)+($AA1652/$Z1652)+($AB1652/$AA1652))</f>
        <v>102.59605399792316</v>
      </c>
      <c r="U1652" s="109" t="s">
        <v>767</v>
      </c>
      <c r="V1652" s="2" t="s">
        <v>738</v>
      </c>
      <c r="W1652" s="205"/>
      <c r="Y1652" s="2">
        <v>2</v>
      </c>
      <c r="Z1652" s="2">
        <v>5</v>
      </c>
      <c r="AA1652" s="2">
        <v>13</v>
      </c>
      <c r="AB1652" s="2">
        <v>30</v>
      </c>
      <c r="AC1652" s="2">
        <v>19</v>
      </c>
      <c r="AD1652" s="2">
        <v>40</v>
      </c>
      <c r="AE1652" s="2">
        <f>AC1652*AD1652</f>
        <v>760</v>
      </c>
      <c r="AF1652" s="2">
        <f>Z1652/Y1652</f>
        <v>2.5</v>
      </c>
      <c r="AG1652" s="2">
        <f>AA1652/Z1652</f>
        <v>2.6</v>
      </c>
      <c r="AH1652" s="2">
        <f>AB1652/AA1652</f>
        <v>2.3076923076923075</v>
      </c>
    </row>
    <row r="1653" spans="1:34">
      <c r="A1653" s="52" t="s">
        <v>220</v>
      </c>
      <c r="B1653" s="52" t="s">
        <v>221</v>
      </c>
      <c r="C1653" s="191">
        <v>46212</v>
      </c>
      <c r="D1653" s="42">
        <v>0.5</v>
      </c>
      <c r="E1653" s="43"/>
      <c r="F1653" s="8" t="s">
        <v>1053</v>
      </c>
      <c r="G1653" s="2">
        <v>1</v>
      </c>
      <c r="H1653" s="2">
        <v>9</v>
      </c>
      <c r="I1653" s="126">
        <v>1100</v>
      </c>
      <c r="J1653" s="2" t="s">
        <v>766</v>
      </c>
      <c r="K1653" s="88" t="s">
        <v>780</v>
      </c>
      <c r="L1653" s="91">
        <v>30000</v>
      </c>
      <c r="M1653" s="203">
        <v>30</v>
      </c>
      <c r="N1653" s="39" t="s">
        <v>48</v>
      </c>
      <c r="O1653" s="39" t="s">
        <v>49</v>
      </c>
      <c r="P1653" s="211" t="s">
        <v>841</v>
      </c>
      <c r="Q1653" s="19">
        <v>125</v>
      </c>
      <c r="R1653" s="15">
        <f>Q1653/I1653</f>
        <v>0.11363636363636363</v>
      </c>
      <c r="S1653" s="5">
        <f>($AC1653*$AD1653)/(($Z1653/$Y1653)+($AA1653/$Z1653)+($AB1653/$AA1653))</f>
        <v>62.448979591836739</v>
      </c>
      <c r="U1653" s="109" t="s">
        <v>767</v>
      </c>
      <c r="V1653" s="205" t="s">
        <v>738</v>
      </c>
      <c r="W1653" s="205"/>
      <c r="Y1653" s="2">
        <v>2</v>
      </c>
      <c r="Z1653" s="2">
        <v>5</v>
      </c>
      <c r="AA1653" s="2">
        <v>15</v>
      </c>
      <c r="AB1653" s="2">
        <v>40</v>
      </c>
      <c r="AC1653" s="2">
        <v>17</v>
      </c>
      <c r="AD1653" s="2">
        <v>30</v>
      </c>
      <c r="AE1653" s="2">
        <f>AC1653*AD1653</f>
        <v>510</v>
      </c>
      <c r="AF1653" s="2">
        <f>Z1653/Y1653</f>
        <v>2.5</v>
      </c>
      <c r="AG1653" s="2">
        <f>AA1653/Z1653</f>
        <v>3</v>
      </c>
      <c r="AH1653" s="2">
        <f>AB1653/AA1653</f>
        <v>2.6666666666666665</v>
      </c>
    </row>
    <row r="1654" spans="1:34">
      <c r="A1654" s="165" t="s">
        <v>1383</v>
      </c>
      <c r="B1654" s="39" t="s">
        <v>63</v>
      </c>
      <c r="C1654" s="41">
        <v>46212</v>
      </c>
      <c r="D1654" s="144">
        <v>0.54166666666666663</v>
      </c>
      <c r="E1654" s="194"/>
      <c r="F1654" s="8" t="s">
        <v>881</v>
      </c>
      <c r="G1654" s="2">
        <v>1</v>
      </c>
      <c r="H1654" s="2">
        <v>9</v>
      </c>
      <c r="I1654" s="45">
        <v>250</v>
      </c>
      <c r="J1654" s="2" t="s">
        <v>766</v>
      </c>
      <c r="K1654" s="88" t="s">
        <v>787</v>
      </c>
      <c r="L1654" s="92">
        <v>25000</v>
      </c>
      <c r="M1654" s="10">
        <v>30</v>
      </c>
      <c r="N1654" s="39" t="s">
        <v>817</v>
      </c>
      <c r="O1654" s="39" t="s">
        <v>49</v>
      </c>
      <c r="P1654" s="130"/>
      <c r="Q1654" s="19">
        <v>50</v>
      </c>
      <c r="R1654" s="15">
        <f>Q1654/I1654</f>
        <v>0.2</v>
      </c>
      <c r="S1654" s="5">
        <v>44</v>
      </c>
      <c r="U1654" s="109" t="s">
        <v>767</v>
      </c>
      <c r="V1654" s="71" t="s">
        <v>360</v>
      </c>
      <c r="Y1654" s="175"/>
      <c r="Z1654" s="175"/>
      <c r="AA1654" s="175"/>
      <c r="AB1654" s="175"/>
      <c r="AC1654" s="175"/>
      <c r="AD1654" s="175"/>
      <c r="AE1654" s="175"/>
      <c r="AF1654" s="175"/>
      <c r="AG1654" s="175"/>
      <c r="AH1654" s="175"/>
    </row>
    <row r="1655" spans="1:34">
      <c r="A1655" s="96" t="s">
        <v>461</v>
      </c>
      <c r="B1655" s="96" t="s">
        <v>462</v>
      </c>
      <c r="C1655" s="41">
        <v>46212</v>
      </c>
      <c r="D1655" s="42">
        <v>0.59027777777777779</v>
      </c>
      <c r="E1655" s="43"/>
      <c r="F1655" s="8" t="s">
        <v>1334</v>
      </c>
      <c r="G1655" s="2">
        <v>2</v>
      </c>
      <c r="I1655" s="126">
        <v>300</v>
      </c>
      <c r="J1655" s="2" t="s">
        <v>766</v>
      </c>
      <c r="K1655" s="109" t="s">
        <v>598</v>
      </c>
      <c r="L1655" s="194">
        <v>30000</v>
      </c>
      <c r="M1655" s="69">
        <v>30</v>
      </c>
      <c r="N1655" s="39" t="s">
        <v>48</v>
      </c>
      <c r="O1655" s="39" t="s">
        <v>49</v>
      </c>
      <c r="P1655" s="211" t="s">
        <v>842</v>
      </c>
      <c r="Q1655" s="19">
        <v>65</v>
      </c>
      <c r="R1655" s="15">
        <f>Q1655/I1655</f>
        <v>0.21666666666666667</v>
      </c>
      <c r="S1655" s="5">
        <f>($AC1655*$AD1655)/(($Z1655/$Y1655)+($AA1655/$Z1655)+($AB1655/$AA1655))</f>
        <v>53.333333333333336</v>
      </c>
      <c r="U1655" s="109" t="s">
        <v>767</v>
      </c>
      <c r="V1655" s="205" t="s">
        <v>735</v>
      </c>
      <c r="Y1655" s="2">
        <v>2</v>
      </c>
      <c r="Z1655" s="2">
        <v>5</v>
      </c>
      <c r="AA1655" s="2">
        <v>20</v>
      </c>
      <c r="AB1655" s="2">
        <v>50</v>
      </c>
      <c r="AC1655" s="2">
        <v>16</v>
      </c>
      <c r="AD1655" s="2">
        <v>30</v>
      </c>
      <c r="AE1655" s="2">
        <f>AC1655*AD1655</f>
        <v>480</v>
      </c>
      <c r="AF1655" s="2">
        <f>Z1655/Y1655</f>
        <v>2.5</v>
      </c>
      <c r="AG1655" s="2">
        <f>AA1655/Z1655</f>
        <v>4</v>
      </c>
      <c r="AH1655" s="2">
        <f>AB1655/AA1655</f>
        <v>2.5</v>
      </c>
    </row>
    <row r="1656" spans="1:34">
      <c r="A1656" s="165" t="s">
        <v>1383</v>
      </c>
      <c r="B1656" s="39" t="s">
        <v>63</v>
      </c>
      <c r="C1656" s="47">
        <v>46212</v>
      </c>
      <c r="D1656" s="144">
        <v>0.625</v>
      </c>
      <c r="E1656" s="43"/>
      <c r="F1656" s="8" t="s">
        <v>134</v>
      </c>
      <c r="G1656" s="2">
        <v>1</v>
      </c>
      <c r="H1656" s="2">
        <v>8</v>
      </c>
      <c r="I1656" s="126">
        <v>625</v>
      </c>
      <c r="J1656" s="2" t="s">
        <v>766</v>
      </c>
      <c r="K1656" s="152">
        <v>0.69791666666666663</v>
      </c>
      <c r="L1656" s="113">
        <v>10000</v>
      </c>
      <c r="M1656">
        <v>15</v>
      </c>
      <c r="N1656" s="39" t="s">
        <v>61</v>
      </c>
      <c r="O1656" s="39" t="s">
        <v>49</v>
      </c>
      <c r="P1656" s="130"/>
      <c r="Q1656" s="19">
        <f>66.5+28.5</f>
        <v>95</v>
      </c>
      <c r="R1656" s="59">
        <f>Q1656/I1656</f>
        <v>0.152</v>
      </c>
      <c r="S1656" s="5">
        <f>($AC1656*$AD1656)/(($Z1656/$Y1656)+($AA1656/$Z1656)+($AB1656/$AA1656))</f>
        <v>14.887218045112782</v>
      </c>
      <c r="U1656" s="109" t="s">
        <v>767</v>
      </c>
      <c r="V1656" s="83" t="s">
        <v>362</v>
      </c>
      <c r="W1656" s="8" t="s">
        <v>149</v>
      </c>
      <c r="Y1656" s="2">
        <v>2</v>
      </c>
      <c r="Z1656" s="2">
        <v>7.5</v>
      </c>
      <c r="AA1656" s="2">
        <v>25</v>
      </c>
      <c r="AB1656" s="2">
        <v>100</v>
      </c>
      <c r="AC1656" s="2">
        <v>11</v>
      </c>
      <c r="AD1656" s="2">
        <v>15</v>
      </c>
      <c r="AE1656" s="2">
        <f>AC1656*AD1656</f>
        <v>165</v>
      </c>
      <c r="AF1656" s="2">
        <f>Z1656/Y1656</f>
        <v>3.75</v>
      </c>
      <c r="AG1656" s="2">
        <f>AA1656/Z1656</f>
        <v>3.3333333333333335</v>
      </c>
      <c r="AH1656" s="2">
        <f>AB1656/AA1656</f>
        <v>4</v>
      </c>
    </row>
    <row r="1657" spans="1:34">
      <c r="A1657" s="165" t="s">
        <v>1383</v>
      </c>
      <c r="B1657" s="39" t="s">
        <v>63</v>
      </c>
      <c r="C1657" s="41">
        <v>46212</v>
      </c>
      <c r="D1657" s="144">
        <v>0.625</v>
      </c>
      <c r="E1657" s="43"/>
      <c r="F1657" s="8" t="s">
        <v>912</v>
      </c>
      <c r="G1657" s="2">
        <v>1</v>
      </c>
      <c r="H1657" s="2">
        <v>9</v>
      </c>
      <c r="I1657" s="45">
        <v>240</v>
      </c>
      <c r="J1657" s="2" t="s">
        <v>766</v>
      </c>
      <c r="K1657" s="88" t="s">
        <v>784</v>
      </c>
      <c r="L1657" s="92">
        <v>10000</v>
      </c>
      <c r="M1657" s="69">
        <v>20</v>
      </c>
      <c r="N1657" s="132" t="s">
        <v>821</v>
      </c>
      <c r="O1657" s="39" t="s">
        <v>49</v>
      </c>
      <c r="P1657" s="130"/>
      <c r="Q1657" s="19">
        <v>40</v>
      </c>
      <c r="R1657" s="15">
        <v>0.16666666666666666</v>
      </c>
      <c r="S1657" s="5">
        <v>29</v>
      </c>
      <c r="U1657" s="109" t="s">
        <v>767</v>
      </c>
      <c r="V1657" s="71" t="s">
        <v>362</v>
      </c>
      <c r="W1657" s="8" t="s">
        <v>367</v>
      </c>
      <c r="Y1657" s="175"/>
      <c r="Z1657" s="175"/>
      <c r="AA1657" s="175"/>
      <c r="AB1657" s="175"/>
      <c r="AC1657" s="175"/>
      <c r="AD1657" s="175"/>
      <c r="AE1657" s="175"/>
      <c r="AF1657" s="175"/>
      <c r="AG1657" s="175"/>
      <c r="AH1657" s="175"/>
    </row>
    <row r="1658" spans="1:34">
      <c r="A1658" s="52" t="s">
        <v>229</v>
      </c>
      <c r="B1658" s="52" t="s">
        <v>230</v>
      </c>
      <c r="C1658" s="190">
        <v>46212</v>
      </c>
      <c r="D1658" s="42">
        <v>0.66666666666666663</v>
      </c>
      <c r="E1658" s="43"/>
      <c r="F1658" s="8" t="s">
        <v>123</v>
      </c>
      <c r="G1658" s="2">
        <v>1</v>
      </c>
      <c r="I1658" s="126">
        <v>240</v>
      </c>
      <c r="J1658" s="2" t="s">
        <v>766</v>
      </c>
      <c r="K1658" s="88" t="s">
        <v>795</v>
      </c>
      <c r="L1658" s="91">
        <v>30000</v>
      </c>
      <c r="M1658" s="194">
        <v>20</v>
      </c>
      <c r="N1658" s="39" t="s">
        <v>48</v>
      </c>
      <c r="O1658" s="39" t="s">
        <v>123</v>
      </c>
      <c r="P1658" s="66">
        <v>10000</v>
      </c>
      <c r="Q1658" s="2">
        <v>40</v>
      </c>
      <c r="R1658" s="15">
        <f>IF(Q1658&gt;0,Q1658/I1658,"")</f>
        <v>0.16666666666666666</v>
      </c>
      <c r="S1658" s="149" t="s">
        <v>110</v>
      </c>
      <c r="T1658" s="149"/>
      <c r="U1658" s="109" t="s">
        <v>767</v>
      </c>
      <c r="V1658" s="205" t="s">
        <v>719</v>
      </c>
      <c r="W1658" s="205"/>
      <c r="AE1658" s="2">
        <f>AC1658*AD1658</f>
        <v>0</v>
      </c>
      <c r="AF1658" s="2" t="e">
        <f>Z1658/Y1658</f>
        <v>#DIV/0!</v>
      </c>
      <c r="AG1658" s="2" t="e">
        <f>AA1658/Z1658</f>
        <v>#DIV/0!</v>
      </c>
      <c r="AH1658" s="2" t="e">
        <f>AB1658/AA1658</f>
        <v>#DIV/0!</v>
      </c>
    </row>
    <row r="1659" spans="1:34">
      <c r="A1659" s="165" t="s">
        <v>1383</v>
      </c>
      <c r="B1659" s="39" t="s">
        <v>63</v>
      </c>
      <c r="C1659" s="47">
        <v>46212</v>
      </c>
      <c r="D1659" s="144">
        <v>0.75</v>
      </c>
      <c r="E1659" s="43"/>
      <c r="F1659" s="8" t="s">
        <v>379</v>
      </c>
      <c r="G1659" s="2">
        <v>1</v>
      </c>
      <c r="I1659" s="126">
        <v>5300</v>
      </c>
      <c r="J1659" s="2" t="s">
        <v>766</v>
      </c>
      <c r="K1659" s="88" t="s">
        <v>810</v>
      </c>
      <c r="L1659" s="91">
        <v>25000</v>
      </c>
      <c r="M1659" s="194">
        <v>30</v>
      </c>
      <c r="N1659" s="132" t="s">
        <v>821</v>
      </c>
      <c r="O1659" s="39" t="s">
        <v>49</v>
      </c>
      <c r="P1659" s="130"/>
      <c r="Q1659" s="19">
        <v>300</v>
      </c>
      <c r="R1659" s="15">
        <f>Q1659/I1659</f>
        <v>5.6603773584905662E-2</v>
      </c>
      <c r="S1659" s="5">
        <v>48</v>
      </c>
      <c r="U1659" s="109" t="s">
        <v>767</v>
      </c>
      <c r="V1659" s="71" t="s">
        <v>362</v>
      </c>
      <c r="W1659" s="8" t="s">
        <v>146</v>
      </c>
      <c r="Y1659" s="175"/>
      <c r="Z1659" s="175"/>
      <c r="AA1659" s="175"/>
      <c r="AB1659" s="175"/>
      <c r="AC1659" s="175"/>
      <c r="AD1659" s="175"/>
      <c r="AE1659" s="175"/>
      <c r="AF1659" s="175"/>
      <c r="AG1659" s="175"/>
      <c r="AH1659" s="175"/>
    </row>
    <row r="1660" spans="1:34">
      <c r="A1660" s="102" t="s">
        <v>475</v>
      </c>
      <c r="B1660" s="102" t="s">
        <v>476</v>
      </c>
      <c r="C1660" s="190">
        <v>46212</v>
      </c>
      <c r="D1660" s="42">
        <v>0.75</v>
      </c>
      <c r="E1660" s="194" t="s">
        <v>534</v>
      </c>
      <c r="F1660" s="194" t="s">
        <v>530</v>
      </c>
      <c r="G1660" s="2">
        <v>2</v>
      </c>
      <c r="H1660" s="2">
        <v>9</v>
      </c>
      <c r="I1660" s="126">
        <v>700</v>
      </c>
      <c r="J1660" s="2" t="s">
        <v>766</v>
      </c>
      <c r="K1660" s="109" t="s">
        <v>601</v>
      </c>
      <c r="L1660" s="201">
        <v>50000</v>
      </c>
      <c r="M1660" s="203" t="s">
        <v>22</v>
      </c>
      <c r="N1660" s="39" t="s">
        <v>48</v>
      </c>
      <c r="O1660" s="39" t="s">
        <v>49</v>
      </c>
      <c r="P1660" s="211" t="s">
        <v>842</v>
      </c>
      <c r="Q1660" s="19">
        <v>90</v>
      </c>
      <c r="R1660" s="15">
        <f>Q1660/I1660</f>
        <v>0.12857142857142856</v>
      </c>
      <c r="S1660" s="5">
        <f>($AC1660*$AD1660)/(($Z1660/$Y1660)+($AA1660/$Z1660)+($AB1660/$AA1660))</f>
        <v>66.122448979591837</v>
      </c>
      <c r="U1660" s="109" t="s">
        <v>767</v>
      </c>
      <c r="V1660" s="2" t="s">
        <v>606</v>
      </c>
      <c r="Y1660" s="2">
        <v>2.5</v>
      </c>
      <c r="Z1660" s="2">
        <v>7.5</v>
      </c>
      <c r="AA1660" s="2">
        <v>20</v>
      </c>
      <c r="AB1660" s="2">
        <v>50</v>
      </c>
      <c r="AC1660" s="2">
        <v>30</v>
      </c>
      <c r="AD1660" s="2">
        <v>18</v>
      </c>
      <c r="AE1660" s="2">
        <f>AC1660*AD1660</f>
        <v>540</v>
      </c>
      <c r="AF1660" s="2">
        <f>Z1660/Y1660</f>
        <v>3</v>
      </c>
      <c r="AG1660" s="2">
        <f>AA1660/Z1660</f>
        <v>2.6666666666666665</v>
      </c>
      <c r="AH1660" s="2">
        <f>AB1660/AA1660</f>
        <v>2.5</v>
      </c>
    </row>
    <row r="1661" spans="1:34">
      <c r="A1661" s="52" t="s">
        <v>229</v>
      </c>
      <c r="B1661" s="52" t="s">
        <v>230</v>
      </c>
      <c r="C1661" s="190">
        <v>46212</v>
      </c>
      <c r="D1661" s="42">
        <v>0.75</v>
      </c>
      <c r="E1661" s="43"/>
      <c r="F1661" s="194" t="s">
        <v>244</v>
      </c>
      <c r="G1661" s="2">
        <v>1</v>
      </c>
      <c r="I1661" s="126">
        <v>200</v>
      </c>
      <c r="J1661" s="2" t="s">
        <v>766</v>
      </c>
      <c r="K1661" s="88" t="s">
        <v>804</v>
      </c>
      <c r="L1661" s="91">
        <v>30000</v>
      </c>
      <c r="M1661" s="194">
        <v>20</v>
      </c>
      <c r="N1661" s="39" t="s">
        <v>48</v>
      </c>
      <c r="O1661" s="39" t="s">
        <v>49</v>
      </c>
      <c r="P1661" s="211" t="s">
        <v>832</v>
      </c>
      <c r="Q1661" s="19">
        <v>40</v>
      </c>
      <c r="R1661" s="15">
        <f>IF(Q1661&gt;0,Q1661/I1661,"")</f>
        <v>0.2</v>
      </c>
      <c r="S1661" s="5">
        <f>($AC1661*$AD1661)/(($Z1661/$Y1661)+($AA1661/$Z1661)+($AB1661/$AA1661))</f>
        <v>35.555555555555557</v>
      </c>
      <c r="U1661" s="109" t="s">
        <v>767</v>
      </c>
      <c r="V1661" s="205" t="s">
        <v>719</v>
      </c>
      <c r="W1661" s="205"/>
      <c r="Y1661" s="2">
        <v>2</v>
      </c>
      <c r="Z1661" s="2">
        <v>5</v>
      </c>
      <c r="AA1661" s="2">
        <v>20</v>
      </c>
      <c r="AB1661" s="2">
        <v>50</v>
      </c>
      <c r="AC1661" s="2">
        <v>20</v>
      </c>
      <c r="AD1661" s="2">
        <v>16</v>
      </c>
      <c r="AE1661" s="2">
        <f>AC1661*AD1661</f>
        <v>320</v>
      </c>
      <c r="AF1661" s="2">
        <f>Z1661/Y1661</f>
        <v>2.5</v>
      </c>
      <c r="AG1661" s="2">
        <f>AA1661/Z1661</f>
        <v>4</v>
      </c>
      <c r="AH1661" s="2">
        <f>AB1661/AA1661</f>
        <v>2.5</v>
      </c>
    </row>
    <row r="1662" spans="1:34">
      <c r="A1662" s="52" t="s">
        <v>220</v>
      </c>
      <c r="B1662" s="52" t="s">
        <v>221</v>
      </c>
      <c r="C1662" s="191">
        <v>46212</v>
      </c>
      <c r="D1662" s="42">
        <v>0.75</v>
      </c>
      <c r="E1662" s="43"/>
      <c r="F1662" s="194" t="s">
        <v>1073</v>
      </c>
      <c r="G1662" s="2">
        <v>1</v>
      </c>
      <c r="H1662" s="2">
        <v>9</v>
      </c>
      <c r="I1662" s="126">
        <v>1100</v>
      </c>
      <c r="J1662" s="2" t="s">
        <v>766</v>
      </c>
      <c r="K1662" s="88" t="s">
        <v>799</v>
      </c>
      <c r="L1662" s="91">
        <v>30000</v>
      </c>
      <c r="M1662" s="203">
        <v>20</v>
      </c>
      <c r="N1662" s="39" t="s">
        <v>48</v>
      </c>
      <c r="O1662" s="39" t="s">
        <v>49</v>
      </c>
      <c r="P1662" s="140" t="s">
        <v>838</v>
      </c>
      <c r="Q1662" s="19">
        <v>125</v>
      </c>
      <c r="R1662" s="15">
        <f>Q1662/I1662</f>
        <v>0.11363636363636363</v>
      </c>
      <c r="S1662" s="5">
        <f>($AC1662*$AD1662)/(($Z1662/$Y1662)+($AA1662/$Z1662)+($AB1662/$AA1662))</f>
        <v>41.632653061224495</v>
      </c>
      <c r="U1662" s="109" t="s">
        <v>129</v>
      </c>
      <c r="V1662" s="205" t="s">
        <v>738</v>
      </c>
      <c r="W1662" s="205"/>
      <c r="Y1662" s="2">
        <v>2</v>
      </c>
      <c r="Z1662" s="2">
        <v>5</v>
      </c>
      <c r="AA1662" s="2">
        <v>15</v>
      </c>
      <c r="AB1662" s="2">
        <v>40</v>
      </c>
      <c r="AC1662" s="2">
        <v>17</v>
      </c>
      <c r="AD1662" s="115">
        <v>20</v>
      </c>
      <c r="AE1662" s="2">
        <f>AC1662*AD1662</f>
        <v>340</v>
      </c>
      <c r="AF1662" s="2">
        <f>Z1662/Y1662</f>
        <v>2.5</v>
      </c>
      <c r="AG1662" s="2">
        <f>AA1662/Z1662</f>
        <v>3</v>
      </c>
      <c r="AH1662" s="2">
        <f>AB1662/AA1662</f>
        <v>2.6666666666666665</v>
      </c>
    </row>
    <row r="1663" spans="1:34">
      <c r="A1663" s="96" t="s">
        <v>461</v>
      </c>
      <c r="B1663" s="96" t="s">
        <v>462</v>
      </c>
      <c r="C1663" s="41">
        <v>46212</v>
      </c>
      <c r="D1663" s="42">
        <v>0.75694444444444442</v>
      </c>
      <c r="E1663" s="43"/>
      <c r="F1663" s="194" t="s">
        <v>458</v>
      </c>
      <c r="G1663" s="2">
        <v>1</v>
      </c>
      <c r="I1663" s="126">
        <v>200</v>
      </c>
      <c r="J1663" s="2" t="s">
        <v>766</v>
      </c>
      <c r="K1663" s="109" t="s">
        <v>602</v>
      </c>
      <c r="L1663" s="194">
        <v>30000</v>
      </c>
      <c r="M1663" s="69">
        <v>20</v>
      </c>
      <c r="N1663" s="39" t="s">
        <v>48</v>
      </c>
      <c r="O1663" s="39" t="s">
        <v>49</v>
      </c>
      <c r="P1663" s="140" t="s">
        <v>833</v>
      </c>
      <c r="Q1663" s="19">
        <v>40</v>
      </c>
      <c r="R1663" s="15">
        <f>Q1663/I1663</f>
        <v>0.2</v>
      </c>
      <c r="S1663" s="5">
        <f>($AC1663*$AD1663)/(($Z1663/$Y1663)+($AA1663/$Z1663)+($AB1663/$AA1663))</f>
        <v>41.632653061224495</v>
      </c>
      <c r="U1663" s="109" t="s">
        <v>767</v>
      </c>
      <c r="V1663" s="205" t="s">
        <v>735</v>
      </c>
      <c r="W1663" s="205"/>
      <c r="Y1663" s="2">
        <v>2</v>
      </c>
      <c r="Z1663" s="2">
        <v>5</v>
      </c>
      <c r="AA1663" s="2">
        <v>15</v>
      </c>
      <c r="AB1663" s="2">
        <v>40</v>
      </c>
      <c r="AC1663" s="2">
        <v>17</v>
      </c>
      <c r="AD1663" s="2">
        <v>20</v>
      </c>
      <c r="AE1663" s="2">
        <f>AC1663*AD1663</f>
        <v>340</v>
      </c>
      <c r="AF1663" s="2">
        <f>Z1663/Y1663</f>
        <v>2.5</v>
      </c>
      <c r="AG1663" s="2">
        <f>AA1663/Z1663</f>
        <v>3</v>
      </c>
      <c r="AH1663" s="2">
        <f>AB1663/AA1663</f>
        <v>2.6666666666666665</v>
      </c>
    </row>
    <row r="1664" spans="1:34">
      <c r="A1664" s="68" t="s">
        <v>357</v>
      </c>
      <c r="B1664" s="68" t="s">
        <v>358</v>
      </c>
      <c r="C1664" s="191">
        <v>46212</v>
      </c>
      <c r="D1664" s="42">
        <v>0.75694444444444442</v>
      </c>
      <c r="E1664" s="194">
        <v>86</v>
      </c>
      <c r="F1664" s="197" t="s">
        <v>290</v>
      </c>
      <c r="G1664" s="2">
        <v>1</v>
      </c>
      <c r="H1664" s="2">
        <v>9</v>
      </c>
      <c r="I1664" s="126">
        <v>600</v>
      </c>
      <c r="J1664" s="2" t="s">
        <v>766</v>
      </c>
      <c r="K1664" s="137" t="s">
        <v>602</v>
      </c>
      <c r="L1664" s="92">
        <v>25000</v>
      </c>
      <c r="M1664" s="69">
        <v>30</v>
      </c>
      <c r="N1664" s="39" t="s">
        <v>48</v>
      </c>
      <c r="O1664" s="39" t="s">
        <v>49</v>
      </c>
      <c r="P1664" s="140" t="s">
        <v>836</v>
      </c>
      <c r="Q1664" s="19">
        <v>80</v>
      </c>
      <c r="R1664" s="15">
        <f>Q1664/I1664</f>
        <v>0.13333333333333333</v>
      </c>
      <c r="S1664" s="5">
        <f>($AC1664*$AD1664)/(($Z1664/$Y1664)+($AA1664/$Z1664)+($AB1664/$AA1664))</f>
        <v>55.03292568203198</v>
      </c>
      <c r="U1664" s="109" t="s">
        <v>219</v>
      </c>
      <c r="V1664" s="2" t="s">
        <v>662</v>
      </c>
      <c r="W1664" s="87" t="s">
        <v>389</v>
      </c>
      <c r="Y1664" s="2">
        <v>2.5</v>
      </c>
      <c r="Z1664" s="2">
        <v>6.5</v>
      </c>
      <c r="AA1664" s="2">
        <v>20</v>
      </c>
      <c r="AB1664" s="2">
        <v>50</v>
      </c>
      <c r="AC1664" s="2">
        <v>30</v>
      </c>
      <c r="AD1664" s="2">
        <v>15</v>
      </c>
      <c r="AE1664" s="2">
        <f>AC1664*AD1664</f>
        <v>450</v>
      </c>
      <c r="AF1664" s="2">
        <f>Z1664/Y1664</f>
        <v>2.6</v>
      </c>
      <c r="AG1664" s="2">
        <f>AA1664/Z1664</f>
        <v>3.0769230769230771</v>
      </c>
      <c r="AH1664" s="2">
        <f>AB1664/AA1664</f>
        <v>2.5</v>
      </c>
    </row>
    <row r="1665" spans="1:34">
      <c r="A1665" s="95" t="s">
        <v>447</v>
      </c>
      <c r="B1665" s="95" t="s">
        <v>448</v>
      </c>
      <c r="C1665" s="190">
        <v>46212</v>
      </c>
      <c r="D1665" s="42">
        <v>0.79166666666666663</v>
      </c>
      <c r="E1665" s="43"/>
      <c r="F1665" s="194" t="s">
        <v>403</v>
      </c>
      <c r="G1665" s="2">
        <v>1</v>
      </c>
      <c r="H1665" s="2">
        <v>9</v>
      </c>
      <c r="I1665" s="126">
        <v>300</v>
      </c>
      <c r="J1665" s="2" t="s">
        <v>766</v>
      </c>
      <c r="K1665" s="109" t="s">
        <v>602</v>
      </c>
      <c r="L1665" s="194">
        <v>25000</v>
      </c>
      <c r="M1665" s="194">
        <v>25</v>
      </c>
      <c r="N1665" s="39" t="s">
        <v>48</v>
      </c>
      <c r="O1665" s="39" t="s">
        <v>49</v>
      </c>
      <c r="P1665" s="140" t="s">
        <v>834</v>
      </c>
      <c r="Q1665" s="19">
        <v>50</v>
      </c>
      <c r="R1665" s="15">
        <f>Q1665/I1665</f>
        <v>0.16666666666666666</v>
      </c>
      <c r="S1665" s="5">
        <f>($AC1665*$AD1665)/(($Z1665/$Y1665)+($AA1665/$Z1665)+($AB1665/$AA1665))</f>
        <v>37.5</v>
      </c>
      <c r="U1665" s="109" t="s">
        <v>767</v>
      </c>
      <c r="V1665" s="205" t="s">
        <v>741</v>
      </c>
      <c r="Y1665" s="2">
        <v>2.5</v>
      </c>
      <c r="Z1665" s="2">
        <v>7.5</v>
      </c>
      <c r="AA1665" s="2">
        <v>25</v>
      </c>
      <c r="AB1665" s="2">
        <v>75</v>
      </c>
      <c r="AC1665" s="2">
        <v>14</v>
      </c>
      <c r="AD1665" s="2">
        <v>25</v>
      </c>
      <c r="AE1665" s="2">
        <f>AC1665*AD1665</f>
        <v>350</v>
      </c>
      <c r="AF1665" s="2">
        <f>Z1665/Y1665</f>
        <v>3</v>
      </c>
      <c r="AG1665" s="2">
        <f>AA1665/Z1665</f>
        <v>3.3333333333333335</v>
      </c>
      <c r="AH1665" s="2">
        <f>AB1665/AA1665</f>
        <v>3</v>
      </c>
    </row>
    <row r="1666" spans="1:34">
      <c r="A1666" s="165" t="s">
        <v>1383</v>
      </c>
      <c r="B1666" s="39" t="s">
        <v>63</v>
      </c>
      <c r="C1666" s="41">
        <v>46212</v>
      </c>
      <c r="D1666" s="144">
        <v>0.79166666666666663</v>
      </c>
      <c r="E1666" s="43"/>
      <c r="F1666" s="194" t="s">
        <v>917</v>
      </c>
      <c r="G1666" s="2">
        <v>1</v>
      </c>
      <c r="H1666" s="2">
        <v>9</v>
      </c>
      <c r="I1666" s="81">
        <v>585</v>
      </c>
      <c r="J1666" s="2" t="s">
        <v>766</v>
      </c>
      <c r="K1666" s="88" t="s">
        <v>800</v>
      </c>
      <c r="L1666" s="89">
        <v>10000</v>
      </c>
      <c r="M1666" s="202">
        <v>20</v>
      </c>
      <c r="N1666" s="132" t="s">
        <v>821</v>
      </c>
      <c r="O1666" s="39" t="s">
        <v>49</v>
      </c>
      <c r="P1666" s="130"/>
      <c r="Q1666" s="19">
        <v>89</v>
      </c>
      <c r="R1666" s="59">
        <f>Q1666/I1666</f>
        <v>0.15213675213675212</v>
      </c>
      <c r="S1666" s="5">
        <v>29</v>
      </c>
      <c r="U1666" s="109" t="s">
        <v>767</v>
      </c>
      <c r="V1666" s="83" t="s">
        <v>362</v>
      </c>
      <c r="W1666" s="8" t="s">
        <v>368</v>
      </c>
      <c r="Y1666" s="175"/>
      <c r="Z1666" s="175"/>
      <c r="AA1666" s="175"/>
      <c r="AB1666" s="175"/>
      <c r="AC1666" s="175"/>
      <c r="AD1666" s="175"/>
      <c r="AE1666" s="175"/>
      <c r="AF1666" s="175"/>
      <c r="AG1666" s="175"/>
      <c r="AH1666" s="175"/>
    </row>
    <row r="1667" spans="1:34">
      <c r="A1667" s="165" t="s">
        <v>1383</v>
      </c>
      <c r="B1667" s="39" t="s">
        <v>63</v>
      </c>
      <c r="C1667" s="41">
        <v>46212</v>
      </c>
      <c r="D1667" s="144">
        <v>0.83333333333333337</v>
      </c>
      <c r="E1667" s="194"/>
      <c r="F1667" s="194" t="s">
        <v>1023</v>
      </c>
      <c r="G1667" s="2">
        <v>1</v>
      </c>
      <c r="H1667" s="2">
        <v>9</v>
      </c>
      <c r="I1667" s="45">
        <v>200</v>
      </c>
      <c r="J1667" s="2" t="s">
        <v>766</v>
      </c>
      <c r="K1667" s="88" t="s">
        <v>806</v>
      </c>
      <c r="L1667" s="89">
        <v>20000</v>
      </c>
      <c r="M1667" s="2">
        <v>20</v>
      </c>
      <c r="N1667" s="39" t="s">
        <v>817</v>
      </c>
      <c r="O1667" s="39" t="s">
        <v>49</v>
      </c>
      <c r="P1667" s="130"/>
      <c r="Q1667" s="19">
        <v>45</v>
      </c>
      <c r="R1667" s="15">
        <f>Q1667/I1667</f>
        <v>0.22500000000000001</v>
      </c>
      <c r="S1667" s="5">
        <v>23</v>
      </c>
      <c r="U1667" s="109" t="s">
        <v>129</v>
      </c>
      <c r="V1667" s="71" t="s">
        <v>360</v>
      </c>
      <c r="Y1667" s="175"/>
      <c r="Z1667" s="175"/>
      <c r="AA1667" s="175"/>
      <c r="AB1667" s="175"/>
      <c r="AC1667" s="175"/>
      <c r="AD1667" s="175"/>
      <c r="AE1667" s="175"/>
      <c r="AF1667" s="175"/>
      <c r="AG1667" s="175"/>
      <c r="AH1667" s="175"/>
    </row>
    <row r="1668" spans="1:34">
      <c r="A1668" s="165" t="s">
        <v>1383</v>
      </c>
      <c r="B1668" s="39" t="s">
        <v>63</v>
      </c>
      <c r="C1668" s="41">
        <v>46212</v>
      </c>
      <c r="D1668" s="144">
        <v>0.91666666666666663</v>
      </c>
      <c r="E1668" s="43"/>
      <c r="F1668" s="194" t="s">
        <v>909</v>
      </c>
      <c r="G1668" s="2">
        <v>1</v>
      </c>
      <c r="H1668" s="2">
        <v>9</v>
      </c>
      <c r="I1668" s="45">
        <v>135</v>
      </c>
      <c r="J1668" s="2" t="s">
        <v>766</v>
      </c>
      <c r="K1668" s="88" t="s">
        <v>813</v>
      </c>
      <c r="L1668" s="92">
        <v>10000</v>
      </c>
      <c r="M1668" s="69">
        <v>15</v>
      </c>
      <c r="N1668" s="132" t="s">
        <v>821</v>
      </c>
      <c r="O1668" s="39" t="s">
        <v>49</v>
      </c>
      <c r="P1668" s="130"/>
      <c r="Q1668" s="19">
        <v>35</v>
      </c>
      <c r="R1668" s="15">
        <f>Q1668/I1668</f>
        <v>0.25925925925925924</v>
      </c>
      <c r="S1668" s="5">
        <v>22</v>
      </c>
      <c r="U1668" s="109" t="s">
        <v>767</v>
      </c>
      <c r="V1668" s="71" t="s">
        <v>362</v>
      </c>
      <c r="W1668" s="8" t="s">
        <v>369</v>
      </c>
      <c r="Y1668" s="175"/>
      <c r="Z1668" s="175"/>
      <c r="AA1668" s="175"/>
      <c r="AB1668" s="175"/>
      <c r="AC1668" s="175"/>
      <c r="AD1668" s="175"/>
      <c r="AE1668" s="175"/>
      <c r="AF1668" s="175"/>
      <c r="AG1668" s="175"/>
      <c r="AH1668" s="175"/>
    </row>
    <row r="1669" spans="1:34">
      <c r="A1669" s="96" t="s">
        <v>461</v>
      </c>
      <c r="B1669" s="96" t="s">
        <v>462</v>
      </c>
      <c r="C1669" s="41">
        <v>46212</v>
      </c>
      <c r="D1669" s="42">
        <v>0.92361111111111116</v>
      </c>
      <c r="E1669" s="43"/>
      <c r="F1669" s="194" t="s">
        <v>456</v>
      </c>
      <c r="G1669" s="2">
        <v>1</v>
      </c>
      <c r="I1669" s="126">
        <v>120</v>
      </c>
      <c r="J1669" s="2" t="s">
        <v>766</v>
      </c>
      <c r="K1669" s="109" t="s">
        <v>737</v>
      </c>
      <c r="L1669" s="194">
        <v>20000</v>
      </c>
      <c r="M1669" s="69">
        <v>15</v>
      </c>
      <c r="N1669" s="39" t="s">
        <v>48</v>
      </c>
      <c r="O1669" s="39" t="s">
        <v>49</v>
      </c>
      <c r="P1669" s="136" t="s">
        <v>827</v>
      </c>
      <c r="Q1669" s="19">
        <v>24</v>
      </c>
      <c r="R1669" s="15">
        <f>Q1669/I1669</f>
        <v>0.2</v>
      </c>
      <c r="S1669" s="5">
        <f>($AC1669*$AD1669)/(($Z1669/$Y1669)+($AA1669/$Z1669)+($AB1669/$AA1669))</f>
        <v>25.161290322580644</v>
      </c>
      <c r="U1669" s="109" t="s">
        <v>463</v>
      </c>
      <c r="V1669" s="2" t="s">
        <v>735</v>
      </c>
      <c r="W1669" s="2" t="s">
        <v>464</v>
      </c>
      <c r="Y1669" s="2">
        <v>2.5</v>
      </c>
      <c r="Z1669" s="2">
        <v>7.5</v>
      </c>
      <c r="AA1669" s="2">
        <v>30</v>
      </c>
      <c r="AB1669" s="2">
        <v>100</v>
      </c>
      <c r="AC1669" s="2">
        <v>13</v>
      </c>
      <c r="AD1669" s="2">
        <v>20</v>
      </c>
      <c r="AE1669" s="2">
        <f>AC1669*AD1669</f>
        <v>260</v>
      </c>
      <c r="AF1669" s="2">
        <f>Z1669/Y1669</f>
        <v>3</v>
      </c>
      <c r="AG1669" s="2">
        <f>AA1669/Z1669</f>
        <v>4</v>
      </c>
      <c r="AH1669" s="2">
        <f>AB1669/AA1669</f>
        <v>3.3333333333333335</v>
      </c>
    </row>
    <row r="1670" spans="1:34">
      <c r="A1670" s="165" t="s">
        <v>1383</v>
      </c>
      <c r="B1670" s="36" t="s">
        <v>63</v>
      </c>
      <c r="C1670" s="41">
        <v>46212</v>
      </c>
      <c r="D1670" s="144" t="s">
        <v>117</v>
      </c>
      <c r="E1670" s="228">
        <v>88</v>
      </c>
      <c r="F1670" s="194" t="s">
        <v>1007</v>
      </c>
      <c r="G1670" s="2">
        <v>3</v>
      </c>
      <c r="H1670" s="2">
        <v>9</v>
      </c>
      <c r="I1670" s="45">
        <v>300</v>
      </c>
      <c r="J1670" s="2" t="s">
        <v>763</v>
      </c>
      <c r="K1670" s="109" t="s">
        <v>816</v>
      </c>
      <c r="L1670" s="92">
        <v>30000</v>
      </c>
      <c r="M1670" s="69" t="s">
        <v>22</v>
      </c>
      <c r="N1670" s="39" t="s">
        <v>48</v>
      </c>
      <c r="O1670" s="39" t="s">
        <v>49</v>
      </c>
      <c r="P1670" s="130"/>
      <c r="Q1670" s="19">
        <f>R1670*I1670</f>
        <v>0</v>
      </c>
      <c r="R1670" s="15">
        <v>0</v>
      </c>
      <c r="S1670" s="5">
        <f>($AC1670*$AD1670)/(($Z1670/$Y1670)+($AA1670/$Z1670)+($AB1670/$AA1670))</f>
        <v>62.448979591836739</v>
      </c>
      <c r="U1670" s="109" t="s">
        <v>767</v>
      </c>
      <c r="V1670" s="205" t="s">
        <v>121</v>
      </c>
      <c r="W1670" s="205"/>
      <c r="Y1670" s="2">
        <v>2</v>
      </c>
      <c r="Z1670" s="2">
        <v>5</v>
      </c>
      <c r="AA1670" s="2">
        <v>15</v>
      </c>
      <c r="AB1670" s="2">
        <v>40</v>
      </c>
      <c r="AC1670" s="2">
        <v>30</v>
      </c>
      <c r="AD1670" s="2">
        <v>17</v>
      </c>
      <c r="AE1670" s="2">
        <f>AC1670*AD1670</f>
        <v>510</v>
      </c>
      <c r="AF1670" s="2">
        <f>Z1670/Y1670</f>
        <v>2.5</v>
      </c>
      <c r="AG1670" s="2">
        <f>AA1670/Z1670</f>
        <v>3</v>
      </c>
      <c r="AH1670" s="2">
        <f>AB1670/AA1670</f>
        <v>2.6666666666666665</v>
      </c>
    </row>
    <row r="1671" spans="1:34">
      <c r="A1671" s="165" t="s">
        <v>1383</v>
      </c>
      <c r="B1671" s="36" t="s">
        <v>63</v>
      </c>
      <c r="C1671" s="41">
        <v>46212</v>
      </c>
      <c r="D1671" s="144" t="s">
        <v>120</v>
      </c>
      <c r="E1671" s="35">
        <v>82</v>
      </c>
      <c r="F1671" s="194" t="s">
        <v>1157</v>
      </c>
      <c r="G1671" s="2">
        <v>8</v>
      </c>
      <c r="H1671" s="2">
        <v>9</v>
      </c>
      <c r="I1671" s="45">
        <v>10000</v>
      </c>
      <c r="J1671" s="2" t="s">
        <v>110</v>
      </c>
      <c r="K1671" s="109" t="s">
        <v>737</v>
      </c>
      <c r="L1671" s="92">
        <v>60000</v>
      </c>
      <c r="M1671" s="69">
        <v>120</v>
      </c>
      <c r="N1671" s="39" t="s">
        <v>48</v>
      </c>
      <c r="O1671" s="39" t="s">
        <v>49</v>
      </c>
      <c r="P1671" s="130"/>
      <c r="Q1671" s="19">
        <f>R1671*I1671</f>
        <v>700.00000000000011</v>
      </c>
      <c r="R1671" s="15">
        <v>7.0000000000000007E-2</v>
      </c>
      <c r="S1671" s="5">
        <f>($AC1671*$AD1671)/(($Z1671/$Y1671)+($AA1671/$Z1671)+($AB1671/$AA1671))</f>
        <v>340.18691588785049</v>
      </c>
      <c r="U1671" s="109" t="s">
        <v>853</v>
      </c>
      <c r="V1671" s="205" t="s">
        <v>121</v>
      </c>
      <c r="Y1671" s="2">
        <v>2</v>
      </c>
      <c r="Z1671" s="2">
        <v>5</v>
      </c>
      <c r="AA1671" s="2">
        <v>13</v>
      </c>
      <c r="AB1671" s="2">
        <v>30</v>
      </c>
      <c r="AC1671" s="2">
        <v>120</v>
      </c>
      <c r="AD1671" s="2">
        <v>21</v>
      </c>
      <c r="AE1671" s="2">
        <f>AC1671*AD1671</f>
        <v>2520</v>
      </c>
      <c r="AF1671" s="2">
        <f>Z1671/Y1671</f>
        <v>2.5</v>
      </c>
      <c r="AG1671" s="2">
        <f>AA1671/Z1671</f>
        <v>2.6</v>
      </c>
      <c r="AH1671" s="2">
        <f>AB1671/AA1671</f>
        <v>2.3076923076923075</v>
      </c>
    </row>
    <row r="1672" spans="1:34">
      <c r="A1672" s="165" t="s">
        <v>1383</v>
      </c>
      <c r="B1672" s="36" t="s">
        <v>63</v>
      </c>
      <c r="C1672" s="41">
        <v>46212</v>
      </c>
      <c r="D1672" s="144" t="s">
        <v>115</v>
      </c>
      <c r="E1672" s="228">
        <v>89</v>
      </c>
      <c r="F1672" s="194" t="s">
        <v>1011</v>
      </c>
      <c r="G1672" s="2">
        <v>4</v>
      </c>
      <c r="H1672" s="2">
        <v>9</v>
      </c>
      <c r="I1672" s="45">
        <v>3000</v>
      </c>
      <c r="J1672" s="2" t="s">
        <v>761</v>
      </c>
      <c r="K1672" s="109" t="s">
        <v>816</v>
      </c>
      <c r="L1672" s="92">
        <v>40000</v>
      </c>
      <c r="M1672" s="69">
        <v>60</v>
      </c>
      <c r="N1672" s="39" t="s">
        <v>48</v>
      </c>
      <c r="O1672" s="39" t="s">
        <v>49</v>
      </c>
      <c r="P1672" s="130"/>
      <c r="Q1672" s="19">
        <f>R1672*I1672</f>
        <v>330</v>
      </c>
      <c r="R1672" s="15">
        <v>0.11</v>
      </c>
      <c r="S1672" s="5">
        <f>($AC1672*$AD1672)/(($Z1672/$Y1672)+($AA1672/$Z1672)+($AB1672/$AA1672))</f>
        <v>153.89408099688475</v>
      </c>
      <c r="U1672" s="109" t="s">
        <v>767</v>
      </c>
      <c r="V1672" s="2" t="s">
        <v>121</v>
      </c>
      <c r="W1672" s="205"/>
      <c r="Y1672" s="2">
        <v>2</v>
      </c>
      <c r="Z1672" s="2">
        <v>5</v>
      </c>
      <c r="AA1672" s="2">
        <v>13</v>
      </c>
      <c r="AB1672" s="2">
        <v>30</v>
      </c>
      <c r="AC1672" s="2">
        <v>60</v>
      </c>
      <c r="AD1672" s="2">
        <v>19</v>
      </c>
      <c r="AE1672" s="2">
        <f>AC1672*AD1672</f>
        <v>1140</v>
      </c>
      <c r="AF1672" s="2">
        <f>Z1672/Y1672</f>
        <v>2.5</v>
      </c>
      <c r="AG1672" s="2">
        <f>AA1672/Z1672</f>
        <v>2.6</v>
      </c>
      <c r="AH1672" s="2">
        <f>AB1672/AA1672</f>
        <v>2.3076923076923075</v>
      </c>
    </row>
    <row r="1673" spans="1:34">
      <c r="A1673" s="165" t="s">
        <v>1383</v>
      </c>
      <c r="B1673" s="36" t="s">
        <v>63</v>
      </c>
      <c r="C1673" s="41">
        <v>46212</v>
      </c>
      <c r="D1673" s="144" t="s">
        <v>119</v>
      </c>
      <c r="E1673" s="194">
        <v>90</v>
      </c>
      <c r="F1673" s="194" t="s">
        <v>952</v>
      </c>
      <c r="G1673" s="2">
        <v>3</v>
      </c>
      <c r="H1673" s="2">
        <v>8</v>
      </c>
      <c r="I1673" s="45">
        <v>50000</v>
      </c>
      <c r="J1673" s="2" t="s">
        <v>760</v>
      </c>
      <c r="K1673" s="109" t="s">
        <v>815</v>
      </c>
      <c r="L1673" s="92">
        <v>300000</v>
      </c>
      <c r="M1673" s="69">
        <v>60</v>
      </c>
      <c r="N1673" s="39" t="s">
        <v>48</v>
      </c>
      <c r="O1673" s="39" t="s">
        <v>49</v>
      </c>
      <c r="P1673" s="130"/>
      <c r="Q1673" s="19">
        <f>R1673*I1673</f>
        <v>2500</v>
      </c>
      <c r="R1673" s="15">
        <v>0.05</v>
      </c>
      <c r="S1673" s="5">
        <f>($AC1673*$AD1673)/(($Z1673/$Y1673)+($AA1673/$Z1673)+($AB1673/$AA1673))</f>
        <v>182.60869565217391</v>
      </c>
      <c r="U1673" s="109" t="s">
        <v>767</v>
      </c>
      <c r="V1673" s="205" t="s">
        <v>121</v>
      </c>
      <c r="W1673" s="205"/>
      <c r="Y1673" s="2">
        <v>12.5</v>
      </c>
      <c r="Z1673" s="2">
        <v>30</v>
      </c>
      <c r="AA1673" s="2">
        <v>60</v>
      </c>
      <c r="AB1673" s="2">
        <v>150</v>
      </c>
      <c r="AC1673" s="2">
        <v>60</v>
      </c>
      <c r="AD1673" s="2">
        <v>21</v>
      </c>
      <c r="AE1673" s="2">
        <f>AC1673*AD1673</f>
        <v>1260</v>
      </c>
      <c r="AF1673" s="2">
        <f>Z1673/Y1673</f>
        <v>2.4</v>
      </c>
      <c r="AG1673" s="2">
        <f>AA1673/Z1673</f>
        <v>2</v>
      </c>
      <c r="AH1673" s="2">
        <f>AB1673/AA1673</f>
        <v>2.5</v>
      </c>
    </row>
    <row r="1674" spans="1:34">
      <c r="A1674" s="165" t="s">
        <v>1383</v>
      </c>
      <c r="B1674" s="36" t="s">
        <v>63</v>
      </c>
      <c r="C1674" s="41">
        <v>46212</v>
      </c>
      <c r="D1674" s="144" t="s">
        <v>116</v>
      </c>
      <c r="E1674" s="194">
        <v>91</v>
      </c>
      <c r="F1674" s="194" t="s">
        <v>180</v>
      </c>
      <c r="G1674" s="2">
        <v>3</v>
      </c>
      <c r="H1674" s="2">
        <v>8</v>
      </c>
      <c r="I1674" s="45">
        <v>1500</v>
      </c>
      <c r="J1674" s="2" t="s">
        <v>762</v>
      </c>
      <c r="K1674" s="109" t="s">
        <v>598</v>
      </c>
      <c r="L1674" s="92">
        <v>25000</v>
      </c>
      <c r="M1674" s="69" t="s">
        <v>97</v>
      </c>
      <c r="N1674" s="39" t="s">
        <v>48</v>
      </c>
      <c r="O1674" s="39" t="s">
        <v>57</v>
      </c>
      <c r="P1674" s="66"/>
      <c r="Q1674" s="38">
        <f>R1674*I1674</f>
        <v>172.5</v>
      </c>
      <c r="R1674" s="15">
        <v>0.115</v>
      </c>
      <c r="S1674" s="149" t="s">
        <v>110</v>
      </c>
      <c r="T1674" s="149"/>
      <c r="U1674" s="109" t="s">
        <v>767</v>
      </c>
      <c r="V1674" s="2" t="s">
        <v>121</v>
      </c>
      <c r="W1674" s="205"/>
      <c r="AE1674" s="2">
        <f>AC1674*AD1674</f>
        <v>0</v>
      </c>
      <c r="AF1674" s="2" t="e">
        <f>Z1674/Y1674</f>
        <v>#DIV/0!</v>
      </c>
      <c r="AG1674" s="2" t="e">
        <f>AA1674/Z1674</f>
        <v>#DIV/0!</v>
      </c>
      <c r="AH1674" s="2" t="e">
        <f>AB1674/AA1674</f>
        <v>#DIV/0!</v>
      </c>
    </row>
    <row r="1675" spans="1:34">
      <c r="A1675" s="165" t="s">
        <v>1383</v>
      </c>
      <c r="B1675" s="36" t="s">
        <v>63</v>
      </c>
      <c r="C1675" s="41">
        <v>46212</v>
      </c>
      <c r="D1675" s="144" t="s">
        <v>876</v>
      </c>
      <c r="E1675" s="228">
        <v>86</v>
      </c>
      <c r="F1675" s="194" t="s">
        <v>1295</v>
      </c>
      <c r="G1675" s="2">
        <v>3</v>
      </c>
      <c r="H1675" s="2">
        <v>9</v>
      </c>
      <c r="I1675" s="45">
        <v>600</v>
      </c>
      <c r="J1675" s="2" t="s">
        <v>763</v>
      </c>
      <c r="K1675" s="109" t="s">
        <v>601</v>
      </c>
      <c r="L1675" s="92">
        <v>60000</v>
      </c>
      <c r="M1675" s="69" t="s">
        <v>22</v>
      </c>
      <c r="N1675" s="39" t="s">
        <v>48</v>
      </c>
      <c r="O1675" s="39" t="s">
        <v>49</v>
      </c>
      <c r="P1675" s="130"/>
      <c r="Q1675" s="19">
        <f>R1675*I1675</f>
        <v>96</v>
      </c>
      <c r="R1675" s="15">
        <v>0.16</v>
      </c>
      <c r="S1675" s="5">
        <f>($AC1675*$AD1675)/(($Z1675/$Y1675)+($AA1675/$Z1675)+($AB1675/$AA1675))</f>
        <v>85.13513513513513</v>
      </c>
      <c r="U1675" s="109" t="s">
        <v>767</v>
      </c>
      <c r="V1675" s="205" t="s">
        <v>121</v>
      </c>
      <c r="W1675" s="205"/>
      <c r="Y1675" s="2">
        <v>2</v>
      </c>
      <c r="Z1675" s="2">
        <v>5</v>
      </c>
      <c r="AA1675" s="2">
        <v>12.5</v>
      </c>
      <c r="AB1675" s="2">
        <v>30</v>
      </c>
      <c r="AC1675" s="2">
        <v>30</v>
      </c>
      <c r="AD1675" s="2">
        <v>21</v>
      </c>
      <c r="AE1675" s="2">
        <f>AC1675*AD1675</f>
        <v>630</v>
      </c>
      <c r="AF1675" s="2">
        <f>Z1675/Y1675</f>
        <v>2.5</v>
      </c>
      <c r="AG1675" s="2">
        <f>AA1675/Z1675</f>
        <v>2.5</v>
      </c>
      <c r="AH1675" s="2">
        <f>AB1675/AA1675</f>
        <v>2.4</v>
      </c>
    </row>
    <row r="1676" spans="1:34">
      <c r="A1676" s="96" t="s">
        <v>461</v>
      </c>
      <c r="B1676" s="96" t="s">
        <v>462</v>
      </c>
      <c r="C1676" s="41">
        <v>46213</v>
      </c>
      <c r="D1676" s="42">
        <v>0.4236111111111111</v>
      </c>
      <c r="E1676" s="43"/>
      <c r="F1676" s="194" t="s">
        <v>457</v>
      </c>
      <c r="G1676" s="2">
        <v>1</v>
      </c>
      <c r="I1676" s="126">
        <v>120</v>
      </c>
      <c r="J1676" s="2" t="s">
        <v>766</v>
      </c>
      <c r="K1676" s="109" t="s">
        <v>602</v>
      </c>
      <c r="L1676" s="194">
        <v>20000</v>
      </c>
      <c r="M1676" s="69">
        <v>20</v>
      </c>
      <c r="N1676" s="39" t="s">
        <v>48</v>
      </c>
      <c r="O1676" s="39" t="s">
        <v>49</v>
      </c>
      <c r="P1676" s="211" t="s">
        <v>832</v>
      </c>
      <c r="Q1676" s="19">
        <v>24</v>
      </c>
      <c r="R1676" s="15">
        <f>Q1676/I1676</f>
        <v>0.2</v>
      </c>
      <c r="S1676" s="5">
        <f>($AC1676*$AD1676)/(($Z1676/$Y1676)+($AA1676/$Z1676)+($AB1676/$AA1676))</f>
        <v>25.161290322580644</v>
      </c>
      <c r="U1676" s="109" t="s">
        <v>767</v>
      </c>
      <c r="V1676" s="2" t="s">
        <v>735</v>
      </c>
      <c r="Y1676" s="2">
        <v>2.5</v>
      </c>
      <c r="Z1676" s="2">
        <v>7.5</v>
      </c>
      <c r="AA1676" s="2">
        <v>30</v>
      </c>
      <c r="AB1676" s="2">
        <v>100</v>
      </c>
      <c r="AC1676" s="2">
        <v>13</v>
      </c>
      <c r="AD1676" s="2">
        <v>20</v>
      </c>
      <c r="AE1676" s="2">
        <f>AC1676*AD1676</f>
        <v>260</v>
      </c>
      <c r="AF1676" s="2">
        <f>Z1676/Y1676</f>
        <v>3</v>
      </c>
      <c r="AG1676" s="2">
        <f>AA1676/Z1676</f>
        <v>4</v>
      </c>
      <c r="AH1676" s="2">
        <f>AB1676/AA1676</f>
        <v>3.3333333333333335</v>
      </c>
    </row>
    <row r="1677" spans="1:34">
      <c r="A1677" s="68" t="s">
        <v>357</v>
      </c>
      <c r="B1677" s="68" t="s">
        <v>358</v>
      </c>
      <c r="C1677" s="191">
        <v>46213</v>
      </c>
      <c r="D1677" s="42">
        <v>0.4236111111111111</v>
      </c>
      <c r="E1677">
        <v>83</v>
      </c>
      <c r="F1677" s="197" t="s">
        <v>332</v>
      </c>
      <c r="G1677" s="2">
        <v>2</v>
      </c>
      <c r="H1677" s="2">
        <v>9</v>
      </c>
      <c r="I1677" s="126">
        <v>1100</v>
      </c>
      <c r="J1677" s="2" t="s">
        <v>766</v>
      </c>
      <c r="K1677" s="137" t="s">
        <v>598</v>
      </c>
      <c r="L1677" s="92">
        <v>40000</v>
      </c>
      <c r="M1677" s="69">
        <v>40</v>
      </c>
      <c r="N1677" s="39" t="s">
        <v>48</v>
      </c>
      <c r="O1677" s="39" t="s">
        <v>49</v>
      </c>
      <c r="P1677" s="211" t="s">
        <v>848</v>
      </c>
      <c r="Q1677" s="19">
        <v>140</v>
      </c>
      <c r="R1677" s="15">
        <f>Q1677/I1677</f>
        <v>0.12727272727272726</v>
      </c>
      <c r="S1677" s="5">
        <f>($AC1677*$AD1677)/(($Z1677/$Y1677)+($AA1677/$Z1677)+($AB1677/$AA1677))</f>
        <v>102.59605399792316</v>
      </c>
      <c r="U1677" s="109" t="s">
        <v>54</v>
      </c>
      <c r="V1677" s="205" t="s">
        <v>702</v>
      </c>
      <c r="Y1677" s="2">
        <v>2</v>
      </c>
      <c r="Z1677" s="2">
        <v>5</v>
      </c>
      <c r="AA1677" s="2">
        <v>13</v>
      </c>
      <c r="AB1677" s="2">
        <v>30</v>
      </c>
      <c r="AC1677" s="2">
        <v>40</v>
      </c>
      <c r="AD1677" s="2">
        <v>19</v>
      </c>
      <c r="AE1677" s="2">
        <f>AC1677*AD1677</f>
        <v>760</v>
      </c>
      <c r="AF1677" s="2">
        <f>Z1677/Y1677</f>
        <v>2.5</v>
      </c>
      <c r="AG1677" s="2">
        <f>AA1677/Z1677</f>
        <v>2.6</v>
      </c>
      <c r="AH1677" s="2">
        <f>AB1677/AA1677</f>
        <v>2.3076923076923075</v>
      </c>
    </row>
    <row r="1678" spans="1:34">
      <c r="A1678" s="95" t="s">
        <v>447</v>
      </c>
      <c r="B1678" s="95" t="s">
        <v>448</v>
      </c>
      <c r="C1678" s="190">
        <v>46213</v>
      </c>
      <c r="D1678" s="42">
        <v>0.45833333333333331</v>
      </c>
      <c r="E1678" s="43"/>
      <c r="F1678" s="194" t="s">
        <v>440</v>
      </c>
      <c r="G1678" s="2">
        <v>1</v>
      </c>
      <c r="H1678" s="2">
        <v>9</v>
      </c>
      <c r="I1678" s="126">
        <v>1100</v>
      </c>
      <c r="J1678" s="2" t="s">
        <v>766</v>
      </c>
      <c r="K1678" s="109" t="s">
        <v>602</v>
      </c>
      <c r="L1678" s="194">
        <v>30000</v>
      </c>
      <c r="M1678" s="194">
        <v>30</v>
      </c>
      <c r="N1678" s="39" t="s">
        <v>48</v>
      </c>
      <c r="O1678" s="39" t="s">
        <v>49</v>
      </c>
      <c r="P1678" s="211" t="s">
        <v>841</v>
      </c>
      <c r="Q1678" s="19">
        <v>135</v>
      </c>
      <c r="R1678" s="15">
        <f>Q1678/I1678</f>
        <v>0.12272727272727273</v>
      </c>
      <c r="S1678" s="5">
        <f>($AC1678*$AD1678)/(($Z1678/$Y1678)+($AA1678/$Z1678)+($AB1678/$AA1678))</f>
        <v>72.897196261682254</v>
      </c>
      <c r="U1678" s="109" t="s">
        <v>767</v>
      </c>
      <c r="V1678" s="205" t="s">
        <v>741</v>
      </c>
      <c r="Y1678" s="2">
        <v>2</v>
      </c>
      <c r="Z1678" s="2">
        <v>5</v>
      </c>
      <c r="AA1678" s="2">
        <v>13</v>
      </c>
      <c r="AB1678" s="2">
        <v>30</v>
      </c>
      <c r="AC1678" s="2">
        <v>18</v>
      </c>
      <c r="AD1678" s="2">
        <v>30</v>
      </c>
      <c r="AE1678" s="2">
        <f>AC1678*AD1678</f>
        <v>540</v>
      </c>
      <c r="AF1678" s="2">
        <f>Z1678/Y1678</f>
        <v>2.5</v>
      </c>
      <c r="AG1678" s="2">
        <f>AA1678/Z1678</f>
        <v>2.6</v>
      </c>
      <c r="AH1678" s="2">
        <f>AB1678/AA1678</f>
        <v>2.3076923076923075</v>
      </c>
    </row>
    <row r="1679" spans="1:34">
      <c r="A1679" s="52" t="s">
        <v>229</v>
      </c>
      <c r="B1679" s="52" t="s">
        <v>230</v>
      </c>
      <c r="C1679" s="190">
        <v>46213</v>
      </c>
      <c r="D1679" s="42">
        <v>0.45833333333333331</v>
      </c>
      <c r="E1679" s="43"/>
      <c r="F1679" s="8" t="s">
        <v>240</v>
      </c>
      <c r="G1679" s="2">
        <v>1</v>
      </c>
      <c r="I1679" s="151">
        <v>400</v>
      </c>
      <c r="J1679" s="2" t="s">
        <v>766</v>
      </c>
      <c r="K1679" s="88" t="s">
        <v>775</v>
      </c>
      <c r="L1679" s="91">
        <v>40000</v>
      </c>
      <c r="M1679" s="195" t="s">
        <v>22</v>
      </c>
      <c r="N1679" s="39" t="s">
        <v>48</v>
      </c>
      <c r="O1679" s="39" t="s">
        <v>49</v>
      </c>
      <c r="P1679" s="140" t="s">
        <v>836</v>
      </c>
      <c r="Q1679" s="19">
        <v>60</v>
      </c>
      <c r="R1679" s="15">
        <f>IF(Q1679&gt;0,Q1679/I1679,"")</f>
        <v>0.15</v>
      </c>
      <c r="S1679" s="5">
        <f>($AC1679*$AD1679)/(($Z1679/$Y1679)+($AA1679/$Z1679)+($AB1679/$AA1679))</f>
        <v>76.947040498442377</v>
      </c>
      <c r="U1679" s="109" t="s">
        <v>767</v>
      </c>
      <c r="V1679" s="205" t="s">
        <v>719</v>
      </c>
      <c r="W1679" s="205"/>
      <c r="Y1679" s="2">
        <v>2</v>
      </c>
      <c r="Z1679" s="2">
        <v>5</v>
      </c>
      <c r="AA1679" s="2">
        <v>13</v>
      </c>
      <c r="AB1679" s="2">
        <v>30</v>
      </c>
      <c r="AC1679" s="2">
        <v>19</v>
      </c>
      <c r="AD1679" s="2">
        <v>30</v>
      </c>
      <c r="AE1679" s="2">
        <f>AC1679*AD1679</f>
        <v>570</v>
      </c>
      <c r="AF1679" s="2">
        <f>Z1679/Y1679</f>
        <v>2.5</v>
      </c>
      <c r="AG1679" s="2">
        <f>AA1679/Z1679</f>
        <v>2.6</v>
      </c>
      <c r="AH1679" s="2">
        <f>AB1679/AA1679</f>
        <v>2.3076923076923075</v>
      </c>
    </row>
    <row r="1680" spans="1:34">
      <c r="A1680" s="165" t="s">
        <v>1383</v>
      </c>
      <c r="B1680" s="39" t="s">
        <v>63</v>
      </c>
      <c r="C1680" s="47">
        <v>46213</v>
      </c>
      <c r="D1680" s="144">
        <v>0.5</v>
      </c>
      <c r="E1680" s="43"/>
      <c r="F1680" s="8" t="s">
        <v>901</v>
      </c>
      <c r="G1680" s="2">
        <v>1</v>
      </c>
      <c r="H1680" s="2">
        <v>9</v>
      </c>
      <c r="I1680" s="126">
        <v>50</v>
      </c>
      <c r="J1680" s="2" t="s">
        <v>766</v>
      </c>
      <c r="K1680" s="88" t="s">
        <v>771</v>
      </c>
      <c r="L1680" s="91">
        <v>10000</v>
      </c>
      <c r="M1680" s="194">
        <v>10</v>
      </c>
      <c r="N1680" s="132" t="s">
        <v>821</v>
      </c>
      <c r="O1680" s="39" t="s">
        <v>49</v>
      </c>
      <c r="P1680" s="130"/>
      <c r="Q1680" s="19">
        <v>15</v>
      </c>
      <c r="R1680" s="15">
        <f>Q1680/I1680</f>
        <v>0.3</v>
      </c>
      <c r="S1680" s="5">
        <v>15</v>
      </c>
      <c r="U1680" s="109" t="s">
        <v>767</v>
      </c>
      <c r="V1680" s="71" t="s">
        <v>362</v>
      </c>
      <c r="W1680" s="8" t="s">
        <v>147</v>
      </c>
      <c r="Y1680" s="175"/>
      <c r="Z1680" s="175"/>
      <c r="AA1680" s="175"/>
      <c r="AB1680" s="175"/>
      <c r="AC1680" s="175"/>
      <c r="AD1680" s="175"/>
      <c r="AE1680" s="175"/>
      <c r="AF1680" s="175"/>
      <c r="AG1680" s="175"/>
      <c r="AH1680" s="175"/>
    </row>
    <row r="1681" spans="1:34">
      <c r="A1681" s="102" t="s">
        <v>475</v>
      </c>
      <c r="B1681" s="102" t="s">
        <v>476</v>
      </c>
      <c r="C1681" s="47">
        <v>46213</v>
      </c>
      <c r="D1681" s="42">
        <v>0.5</v>
      </c>
      <c r="E1681" s="194">
        <v>51</v>
      </c>
      <c r="F1681" s="8" t="s">
        <v>1338</v>
      </c>
      <c r="G1681" s="2">
        <v>2</v>
      </c>
      <c r="H1681" s="2">
        <v>9</v>
      </c>
      <c r="I1681" s="126">
        <v>700</v>
      </c>
      <c r="J1681" s="2" t="s">
        <v>766</v>
      </c>
      <c r="K1681" s="109" t="s">
        <v>601</v>
      </c>
      <c r="L1681" s="201">
        <v>50000</v>
      </c>
      <c r="M1681" s="203" t="s">
        <v>22</v>
      </c>
      <c r="N1681" s="39" t="s">
        <v>48</v>
      </c>
      <c r="O1681" s="39" t="s">
        <v>49</v>
      </c>
      <c r="P1681" s="211" t="s">
        <v>842</v>
      </c>
      <c r="Q1681" s="19">
        <v>90</v>
      </c>
      <c r="R1681" s="15">
        <f>Q1681/I1681</f>
        <v>0.12857142857142856</v>
      </c>
      <c r="S1681" s="5">
        <f>($AC1681*$AD1681)/(($Z1681/$Y1681)+($AA1681/$Z1681)+($AB1681/$AA1681))</f>
        <v>66.122448979591837</v>
      </c>
      <c r="U1681" s="109" t="s">
        <v>767</v>
      </c>
      <c r="V1681" s="2" t="s">
        <v>606</v>
      </c>
      <c r="W1681" s="205"/>
      <c r="Y1681" s="2">
        <v>2.5</v>
      </c>
      <c r="Z1681" s="2">
        <v>7.5</v>
      </c>
      <c r="AA1681" s="2">
        <v>20</v>
      </c>
      <c r="AB1681" s="2">
        <v>50</v>
      </c>
      <c r="AC1681" s="2">
        <v>30</v>
      </c>
      <c r="AD1681" s="2">
        <v>18</v>
      </c>
      <c r="AE1681" s="2">
        <f>AC1681*AD1681</f>
        <v>540</v>
      </c>
      <c r="AF1681" s="2">
        <f>Z1681/Y1681</f>
        <v>3</v>
      </c>
      <c r="AG1681" s="2">
        <f>AA1681/Z1681</f>
        <v>2.6666666666666665</v>
      </c>
      <c r="AH1681" s="2">
        <f>AB1681/AA1681</f>
        <v>2.5</v>
      </c>
    </row>
    <row r="1682" spans="1:34">
      <c r="A1682" s="52" t="s">
        <v>220</v>
      </c>
      <c r="B1682" s="52" t="s">
        <v>221</v>
      </c>
      <c r="C1682" s="191">
        <v>46213</v>
      </c>
      <c r="D1682" s="42">
        <v>0.5</v>
      </c>
      <c r="E1682" s="43"/>
      <c r="F1682" s="8" t="s">
        <v>57</v>
      </c>
      <c r="G1682" s="2">
        <v>1</v>
      </c>
      <c r="H1682" s="2">
        <v>8</v>
      </c>
      <c r="I1682" s="126">
        <v>1100</v>
      </c>
      <c r="J1682" s="2" t="s">
        <v>766</v>
      </c>
      <c r="K1682" s="88" t="s">
        <v>780</v>
      </c>
      <c r="L1682" s="91">
        <v>30000</v>
      </c>
      <c r="M1682" s="203">
        <v>30</v>
      </c>
      <c r="N1682" s="39" t="s">
        <v>48</v>
      </c>
      <c r="O1682" s="39" t="s">
        <v>57</v>
      </c>
      <c r="P1682" s="197">
        <v>200000</v>
      </c>
      <c r="Q1682" s="2">
        <v>125</v>
      </c>
      <c r="R1682" s="15">
        <f>Q1682/I1682</f>
        <v>0.11363636363636363</v>
      </c>
      <c r="S1682" s="149" t="s">
        <v>110</v>
      </c>
      <c r="T1682" s="149"/>
      <c r="U1682" s="109" t="s">
        <v>767</v>
      </c>
      <c r="V1682" s="2" t="s">
        <v>738</v>
      </c>
      <c r="W1682" s="205"/>
      <c r="Y1682" s="70"/>
      <c r="Z1682" s="70"/>
      <c r="AA1682" s="70"/>
      <c r="AB1682" s="70"/>
      <c r="AC1682" s="70"/>
      <c r="AD1682" s="70"/>
      <c r="AE1682" s="2">
        <f>AC1682*AD1682</f>
        <v>0</v>
      </c>
      <c r="AF1682" s="2" t="e">
        <f>Z1682/Y1682</f>
        <v>#DIV/0!</v>
      </c>
      <c r="AG1682" s="2" t="e">
        <f>AA1682/Z1682</f>
        <v>#DIV/0!</v>
      </c>
      <c r="AH1682" s="2" t="e">
        <f>AB1682/AA1682</f>
        <v>#DIV/0!</v>
      </c>
    </row>
    <row r="1683" spans="1:34">
      <c r="A1683" s="165" t="s">
        <v>1383</v>
      </c>
      <c r="B1683" s="36" t="s">
        <v>63</v>
      </c>
      <c r="C1683" s="41">
        <v>46213</v>
      </c>
      <c r="D1683" s="144">
        <v>0.54166666666666663</v>
      </c>
      <c r="E1683" s="194">
        <v>91</v>
      </c>
      <c r="F1683" s="8" t="s">
        <v>1134</v>
      </c>
      <c r="G1683" s="2">
        <v>3</v>
      </c>
      <c r="H1683" s="2">
        <v>8</v>
      </c>
      <c r="I1683" s="45">
        <v>1500</v>
      </c>
      <c r="J1683" s="2" t="s">
        <v>762</v>
      </c>
      <c r="K1683" s="109" t="s">
        <v>598</v>
      </c>
      <c r="L1683" s="92">
        <v>25000</v>
      </c>
      <c r="M1683" s="69" t="s">
        <v>97</v>
      </c>
      <c r="N1683" s="39" t="s">
        <v>48</v>
      </c>
      <c r="O1683" s="39" t="s">
        <v>57</v>
      </c>
      <c r="P1683" s="66"/>
      <c r="Q1683" s="38">
        <f>R1683*I1683</f>
        <v>172.5</v>
      </c>
      <c r="R1683" s="15">
        <v>0.115</v>
      </c>
      <c r="S1683" s="149" t="s">
        <v>110</v>
      </c>
      <c r="T1683" s="149"/>
      <c r="U1683" s="109" t="s">
        <v>767</v>
      </c>
      <c r="V1683" s="2" t="s">
        <v>121</v>
      </c>
      <c r="W1683" s="205"/>
      <c r="AE1683" s="2">
        <f>AC1683*AD1683</f>
        <v>0</v>
      </c>
      <c r="AF1683" s="2" t="e">
        <f>Z1683/Y1683</f>
        <v>#DIV/0!</v>
      </c>
      <c r="AG1683" s="2" t="e">
        <f>AA1683/Z1683</f>
        <v>#DIV/0!</v>
      </c>
      <c r="AH1683" s="2" t="e">
        <f>AB1683/AA1683</f>
        <v>#DIV/0!</v>
      </c>
    </row>
    <row r="1684" spans="1:34">
      <c r="A1684" s="165" t="s">
        <v>1383</v>
      </c>
      <c r="B1684" s="39" t="s">
        <v>63</v>
      </c>
      <c r="C1684" s="41">
        <v>46213</v>
      </c>
      <c r="D1684" s="144">
        <v>0.54166666666666663</v>
      </c>
      <c r="E1684" s="194"/>
      <c r="F1684" s="8" t="s">
        <v>881</v>
      </c>
      <c r="G1684" s="2">
        <v>1</v>
      </c>
      <c r="H1684" s="2">
        <v>9</v>
      </c>
      <c r="I1684" s="45">
        <v>250</v>
      </c>
      <c r="J1684" s="2" t="s">
        <v>766</v>
      </c>
      <c r="K1684" s="88" t="s">
        <v>787</v>
      </c>
      <c r="L1684" s="92">
        <v>25000</v>
      </c>
      <c r="M1684" s="10">
        <v>30</v>
      </c>
      <c r="N1684" s="39" t="s">
        <v>817</v>
      </c>
      <c r="O1684" s="39" t="s">
        <v>49</v>
      </c>
      <c r="P1684" s="130"/>
      <c r="Q1684" s="19">
        <v>50</v>
      </c>
      <c r="R1684" s="15">
        <f>Q1684/I1684</f>
        <v>0.2</v>
      </c>
      <c r="S1684" s="5">
        <v>44</v>
      </c>
      <c r="U1684" s="109" t="s">
        <v>767</v>
      </c>
      <c r="V1684" s="71" t="s">
        <v>360</v>
      </c>
      <c r="Y1684" s="175"/>
      <c r="Z1684" s="175"/>
      <c r="AA1684" s="175"/>
      <c r="AB1684" s="175"/>
      <c r="AC1684" s="175"/>
      <c r="AD1684" s="175"/>
      <c r="AE1684" s="175"/>
      <c r="AF1684" s="175"/>
      <c r="AG1684" s="175"/>
      <c r="AH1684" s="175"/>
    </row>
    <row r="1685" spans="1:34">
      <c r="A1685" s="96" t="s">
        <v>461</v>
      </c>
      <c r="B1685" s="96" t="s">
        <v>462</v>
      </c>
      <c r="C1685" s="41">
        <v>46213</v>
      </c>
      <c r="D1685" s="42">
        <v>0.59027777777777779</v>
      </c>
      <c r="E1685" s="43"/>
      <c r="F1685" s="8" t="s">
        <v>459</v>
      </c>
      <c r="G1685" s="2">
        <v>1</v>
      </c>
      <c r="I1685" s="126">
        <v>120</v>
      </c>
      <c r="J1685" s="2" t="s">
        <v>766</v>
      </c>
      <c r="K1685" s="109" t="s">
        <v>602</v>
      </c>
      <c r="L1685">
        <v>20000</v>
      </c>
      <c r="M1685" s="69">
        <v>20</v>
      </c>
      <c r="N1685" s="39" t="s">
        <v>48</v>
      </c>
      <c r="O1685" s="39" t="s">
        <v>465</v>
      </c>
      <c r="P1685" s="53">
        <v>6000</v>
      </c>
      <c r="Q1685" s="2">
        <v>24</v>
      </c>
      <c r="R1685" s="15">
        <f>Q1685/I1685</f>
        <v>0.2</v>
      </c>
      <c r="S1685" s="149" t="s">
        <v>110</v>
      </c>
      <c r="T1685" s="149"/>
      <c r="U1685" s="109" t="s">
        <v>767</v>
      </c>
      <c r="V1685" s="205" t="s">
        <v>735</v>
      </c>
      <c r="AE1685" s="2">
        <f>AC1685*AD1685</f>
        <v>0</v>
      </c>
      <c r="AF1685" s="2" t="e">
        <f>Z1685/Y1685</f>
        <v>#DIV/0!</v>
      </c>
      <c r="AG1685" s="2" t="e">
        <f>AA1685/Z1685</f>
        <v>#DIV/0!</v>
      </c>
      <c r="AH1685" s="2" t="e">
        <f>AB1685/AA1685</f>
        <v>#DIV/0!</v>
      </c>
    </row>
    <row r="1686" spans="1:34">
      <c r="A1686" s="165" t="s">
        <v>1383</v>
      </c>
      <c r="B1686" s="39" t="s">
        <v>63</v>
      </c>
      <c r="C1686" s="41">
        <v>46213</v>
      </c>
      <c r="D1686" s="144">
        <v>0.625</v>
      </c>
      <c r="E1686" s="43"/>
      <c r="F1686" s="8" t="s">
        <v>912</v>
      </c>
      <c r="G1686" s="2">
        <v>1</v>
      </c>
      <c r="H1686" s="2">
        <v>9</v>
      </c>
      <c r="I1686" s="45">
        <v>240</v>
      </c>
      <c r="J1686" s="2" t="s">
        <v>766</v>
      </c>
      <c r="K1686" s="88" t="s">
        <v>784</v>
      </c>
      <c r="L1686" s="92">
        <v>10000</v>
      </c>
      <c r="M1686" s="69">
        <v>20</v>
      </c>
      <c r="N1686" s="132" t="s">
        <v>821</v>
      </c>
      <c r="O1686" s="39" t="s">
        <v>49</v>
      </c>
      <c r="P1686" s="130"/>
      <c r="Q1686" s="19">
        <v>40</v>
      </c>
      <c r="R1686" s="15">
        <v>0.16666666666666666</v>
      </c>
      <c r="S1686" s="5">
        <v>29</v>
      </c>
      <c r="U1686" s="109" t="s">
        <v>767</v>
      </c>
      <c r="V1686" s="71" t="s">
        <v>362</v>
      </c>
      <c r="W1686" s="8" t="s">
        <v>367</v>
      </c>
      <c r="Y1686" s="175"/>
      <c r="Z1686" s="175"/>
      <c r="AA1686" s="175"/>
      <c r="AB1686" s="175"/>
      <c r="AC1686" s="175"/>
      <c r="AD1686" s="175"/>
      <c r="AE1686" s="175"/>
      <c r="AF1686" s="175"/>
      <c r="AG1686" s="175"/>
      <c r="AH1686" s="175"/>
    </row>
    <row r="1687" spans="1:34">
      <c r="A1687" s="165" t="s">
        <v>1383</v>
      </c>
      <c r="B1687" s="39" t="s">
        <v>63</v>
      </c>
      <c r="C1687" s="41">
        <v>46213</v>
      </c>
      <c r="D1687" s="144">
        <v>0.66666666666666663</v>
      </c>
      <c r="E1687"/>
      <c r="F1687" s="8" t="s">
        <v>1024</v>
      </c>
      <c r="G1687" s="2">
        <v>1</v>
      </c>
      <c r="H1687" s="2">
        <v>9</v>
      </c>
      <c r="I1687" s="45">
        <v>400</v>
      </c>
      <c r="J1687" s="2" t="s">
        <v>766</v>
      </c>
      <c r="K1687" s="88" t="s">
        <v>794</v>
      </c>
      <c r="L1687" s="92">
        <v>30000</v>
      </c>
      <c r="M1687" s="10">
        <v>20</v>
      </c>
      <c r="N1687" s="39" t="s">
        <v>817</v>
      </c>
      <c r="O1687" s="39" t="s">
        <v>49</v>
      </c>
      <c r="P1687" s="130"/>
      <c r="Q1687" s="19">
        <v>70</v>
      </c>
      <c r="R1687" s="15">
        <f>Q1687/I1687</f>
        <v>0.17499999999999999</v>
      </c>
      <c r="S1687" s="5">
        <v>37</v>
      </c>
      <c r="U1687" s="109" t="s">
        <v>129</v>
      </c>
      <c r="V1687" s="71" t="s">
        <v>360</v>
      </c>
      <c r="Y1687" s="175"/>
      <c r="Z1687" s="175"/>
      <c r="AA1687" s="175"/>
      <c r="AB1687" s="175"/>
      <c r="AC1687" s="175"/>
      <c r="AD1687" s="175"/>
      <c r="AE1687" s="175"/>
      <c r="AF1687" s="175"/>
      <c r="AG1687" s="175"/>
      <c r="AH1687" s="175"/>
    </row>
    <row r="1688" spans="1:34">
      <c r="A1688" s="52" t="s">
        <v>229</v>
      </c>
      <c r="B1688" s="52" t="s">
        <v>230</v>
      </c>
      <c r="C1688" s="190">
        <v>46213</v>
      </c>
      <c r="D1688" s="42">
        <v>0.66666666666666663</v>
      </c>
      <c r="E1688" s="43"/>
      <c r="F1688" s="8" t="s">
        <v>251</v>
      </c>
      <c r="G1688" s="2">
        <v>1</v>
      </c>
      <c r="I1688" s="126">
        <v>240</v>
      </c>
      <c r="J1688" s="2" t="s">
        <v>766</v>
      </c>
      <c r="K1688" s="88" t="s">
        <v>795</v>
      </c>
      <c r="L1688" s="91">
        <v>30000</v>
      </c>
      <c r="M1688" s="194">
        <v>20</v>
      </c>
      <c r="N1688" s="39" t="s">
        <v>48</v>
      </c>
      <c r="O1688" s="39" t="s">
        <v>452</v>
      </c>
      <c r="P1688" s="66">
        <v>10000</v>
      </c>
      <c r="Q1688" s="2">
        <v>40</v>
      </c>
      <c r="R1688" s="15">
        <f>IF(Q1688&gt;0,Q1688/I1688,"")</f>
        <v>0.16666666666666666</v>
      </c>
      <c r="S1688" s="149" t="s">
        <v>110</v>
      </c>
      <c r="T1688" s="149"/>
      <c r="U1688" s="109" t="s">
        <v>767</v>
      </c>
      <c r="V1688" s="205" t="s">
        <v>719</v>
      </c>
      <c r="W1688" s="205"/>
      <c r="AE1688" s="2" t="e">
        <f>AD1688*#REF!</f>
        <v>#REF!</v>
      </c>
      <c r="AF1688" s="2" t="e">
        <f>Z1688/Y1688</f>
        <v>#DIV/0!</v>
      </c>
      <c r="AG1688" s="2" t="e">
        <f>AA1688/Z1688</f>
        <v>#DIV/0!</v>
      </c>
      <c r="AH1688" s="2" t="e">
        <f>AC1688/AA1688</f>
        <v>#DIV/0!</v>
      </c>
    </row>
    <row r="1689" spans="1:34">
      <c r="A1689" s="52" t="s">
        <v>229</v>
      </c>
      <c r="B1689" s="52" t="s">
        <v>230</v>
      </c>
      <c r="C1689" s="190">
        <v>46213</v>
      </c>
      <c r="D1689" s="42">
        <v>0.75</v>
      </c>
      <c r="E1689" s="43"/>
      <c r="F1689" s="8" t="s">
        <v>243</v>
      </c>
      <c r="G1689" s="2">
        <v>1</v>
      </c>
      <c r="I1689" s="151">
        <v>200</v>
      </c>
      <c r="J1689" s="2" t="s">
        <v>766</v>
      </c>
      <c r="K1689" s="88" t="s">
        <v>809</v>
      </c>
      <c r="L1689" s="91">
        <v>30000</v>
      </c>
      <c r="M1689" s="195" t="s">
        <v>128</v>
      </c>
      <c r="N1689" s="39" t="s">
        <v>48</v>
      </c>
      <c r="O1689" s="39" t="s">
        <v>49</v>
      </c>
      <c r="P1689" s="140" t="s">
        <v>835</v>
      </c>
      <c r="Q1689" s="19">
        <v>40</v>
      </c>
      <c r="R1689" s="15">
        <f>IF(Q1689&gt;0,Q1689/I1689,"")</f>
        <v>0.2</v>
      </c>
      <c r="S1689" s="5">
        <f>($AC1689*$AD1689)/(($Z1689/$Y1689)+($AA1689/$Z1689)+($AB1689/$AA1689))</f>
        <v>48.598130841121502</v>
      </c>
      <c r="U1689" s="109" t="s">
        <v>767</v>
      </c>
      <c r="V1689" s="205" t="s">
        <v>719</v>
      </c>
      <c r="W1689" s="205"/>
      <c r="Y1689" s="2">
        <v>2</v>
      </c>
      <c r="Z1689" s="2">
        <v>5</v>
      </c>
      <c r="AA1689" s="2">
        <v>13</v>
      </c>
      <c r="AB1689" s="2">
        <v>30</v>
      </c>
      <c r="AC1689" s="2">
        <v>18</v>
      </c>
      <c r="AD1689" s="2">
        <v>20</v>
      </c>
      <c r="AE1689" s="2">
        <f>AC1689*AD1689</f>
        <v>360</v>
      </c>
      <c r="AF1689" s="2">
        <f>Z1689/Y1689</f>
        <v>2.5</v>
      </c>
      <c r="AG1689" s="2">
        <f>AA1689/Z1689</f>
        <v>2.6</v>
      </c>
      <c r="AH1689" s="2">
        <f>AB1689/AA1689</f>
        <v>2.3076923076923075</v>
      </c>
    </row>
    <row r="1690" spans="1:34">
      <c r="A1690" s="52" t="s">
        <v>220</v>
      </c>
      <c r="B1690" s="52" t="s">
        <v>221</v>
      </c>
      <c r="C1690" s="191">
        <v>46213</v>
      </c>
      <c r="D1690" s="42">
        <v>0.75</v>
      </c>
      <c r="E1690" s="43"/>
      <c r="F1690" s="194" t="s">
        <v>1073</v>
      </c>
      <c r="G1690" s="2">
        <v>1</v>
      </c>
      <c r="H1690" s="2">
        <v>9</v>
      </c>
      <c r="I1690" s="126">
        <v>1100</v>
      </c>
      <c r="J1690" s="2" t="s">
        <v>766</v>
      </c>
      <c r="K1690" s="88" t="s">
        <v>799</v>
      </c>
      <c r="L1690" s="91">
        <v>30000</v>
      </c>
      <c r="M1690" s="203">
        <v>20</v>
      </c>
      <c r="N1690" s="39" t="s">
        <v>48</v>
      </c>
      <c r="O1690" s="39" t="s">
        <v>49</v>
      </c>
      <c r="P1690" s="140" t="s">
        <v>838</v>
      </c>
      <c r="Q1690" s="19">
        <v>125</v>
      </c>
      <c r="R1690" s="15">
        <f>Q1690/I1690</f>
        <v>0.11363636363636363</v>
      </c>
      <c r="S1690" s="5">
        <f>($AC1690*$AD1690)/(($Z1690/$Y1690)+($AA1690/$Z1690)+($AB1690/$AA1690))</f>
        <v>41.632653061224495</v>
      </c>
      <c r="U1690" s="109" t="s">
        <v>129</v>
      </c>
      <c r="V1690" s="205" t="s">
        <v>738</v>
      </c>
      <c r="W1690" s="205"/>
      <c r="Y1690" s="2">
        <v>2</v>
      </c>
      <c r="Z1690" s="2">
        <v>5</v>
      </c>
      <c r="AA1690" s="2">
        <v>15</v>
      </c>
      <c r="AB1690" s="2">
        <v>40</v>
      </c>
      <c r="AC1690" s="2">
        <v>17</v>
      </c>
      <c r="AD1690" s="115">
        <v>20</v>
      </c>
      <c r="AE1690" s="2">
        <f>AC1690*AD1690</f>
        <v>340</v>
      </c>
      <c r="AF1690" s="2">
        <f>Z1690/Y1690</f>
        <v>2.5</v>
      </c>
      <c r="AG1690" s="2">
        <f>AA1690/Z1690</f>
        <v>3</v>
      </c>
      <c r="AH1690" s="2">
        <f>AB1690/AA1690</f>
        <v>2.6666666666666665</v>
      </c>
    </row>
    <row r="1691" spans="1:34">
      <c r="A1691" s="96" t="s">
        <v>461</v>
      </c>
      <c r="B1691" s="96" t="s">
        <v>462</v>
      </c>
      <c r="C1691" s="41">
        <v>46213</v>
      </c>
      <c r="D1691" s="42">
        <v>0.75694444444444442</v>
      </c>
      <c r="E1691" s="43"/>
      <c r="F1691" s="194" t="s">
        <v>458</v>
      </c>
      <c r="G1691" s="2">
        <v>1</v>
      </c>
      <c r="I1691" s="126">
        <v>200</v>
      </c>
      <c r="J1691" s="2" t="s">
        <v>766</v>
      </c>
      <c r="K1691" s="109" t="s">
        <v>602</v>
      </c>
      <c r="L1691" s="194">
        <v>30000</v>
      </c>
      <c r="M1691" s="69">
        <v>20</v>
      </c>
      <c r="N1691" s="39" t="s">
        <v>48</v>
      </c>
      <c r="O1691" s="39" t="s">
        <v>49</v>
      </c>
      <c r="P1691" s="140" t="s">
        <v>833</v>
      </c>
      <c r="Q1691" s="19">
        <v>40</v>
      </c>
      <c r="R1691" s="15">
        <f>Q1691/I1691</f>
        <v>0.2</v>
      </c>
      <c r="S1691" s="5">
        <f>($AC1691*$AD1691)/(($Z1691/$Y1691)+($AA1691/$Z1691)+($AB1691/$AA1691))</f>
        <v>41.632653061224495</v>
      </c>
      <c r="U1691" s="109" t="s">
        <v>767</v>
      </c>
      <c r="V1691" s="205" t="s">
        <v>735</v>
      </c>
      <c r="W1691" s="205"/>
      <c r="Y1691" s="2">
        <v>2</v>
      </c>
      <c r="Z1691" s="2">
        <v>5</v>
      </c>
      <c r="AA1691" s="2">
        <v>15</v>
      </c>
      <c r="AB1691" s="2">
        <v>40</v>
      </c>
      <c r="AC1691" s="2">
        <v>17</v>
      </c>
      <c r="AD1691" s="2">
        <v>20</v>
      </c>
      <c r="AE1691" s="2">
        <f>AC1691*AD1691</f>
        <v>340</v>
      </c>
      <c r="AF1691" s="2">
        <f>Z1691/Y1691</f>
        <v>2.5</v>
      </c>
      <c r="AG1691" s="2">
        <f>AA1691/Z1691</f>
        <v>3</v>
      </c>
      <c r="AH1691" s="2">
        <f>AB1691/AA1691</f>
        <v>2.6666666666666665</v>
      </c>
    </row>
    <row r="1692" spans="1:34">
      <c r="A1692" s="95" t="s">
        <v>447</v>
      </c>
      <c r="B1692" s="95" t="s">
        <v>448</v>
      </c>
      <c r="C1692" s="190">
        <v>46213</v>
      </c>
      <c r="D1692" s="42">
        <v>0.79166666666666663</v>
      </c>
      <c r="E1692" s="43"/>
      <c r="F1692" s="8" t="s">
        <v>403</v>
      </c>
      <c r="G1692" s="2">
        <v>1</v>
      </c>
      <c r="H1692" s="2">
        <v>9</v>
      </c>
      <c r="I1692" s="126">
        <v>300</v>
      </c>
      <c r="J1692" s="2" t="s">
        <v>766</v>
      </c>
      <c r="K1692" s="109" t="s">
        <v>602</v>
      </c>
      <c r="L1692" s="194">
        <v>25000</v>
      </c>
      <c r="M1692" s="194">
        <v>25</v>
      </c>
      <c r="N1692" s="39" t="s">
        <v>48</v>
      </c>
      <c r="O1692" s="39" t="s">
        <v>49</v>
      </c>
      <c r="P1692" s="140" t="s">
        <v>834</v>
      </c>
      <c r="Q1692" s="19">
        <v>50</v>
      </c>
      <c r="R1692" s="15">
        <f>Q1692/I1692</f>
        <v>0.16666666666666666</v>
      </c>
      <c r="S1692" s="5">
        <f>($AC1692*$AD1692)/(($Z1692/$Y1692)+($AA1692/$Z1692)+($AB1692/$AA1692))</f>
        <v>37.5</v>
      </c>
      <c r="U1692" s="109" t="s">
        <v>767</v>
      </c>
      <c r="V1692" s="205" t="s">
        <v>741</v>
      </c>
      <c r="Y1692" s="2">
        <v>2.5</v>
      </c>
      <c r="Z1692" s="2">
        <v>7.5</v>
      </c>
      <c r="AA1692" s="2">
        <v>25</v>
      </c>
      <c r="AB1692" s="2">
        <v>75</v>
      </c>
      <c r="AC1692" s="2">
        <v>14</v>
      </c>
      <c r="AD1692" s="2">
        <v>25</v>
      </c>
      <c r="AE1692" s="2">
        <f>AC1692*AD1692</f>
        <v>350</v>
      </c>
      <c r="AF1692" s="2">
        <f>Z1692/Y1692</f>
        <v>3</v>
      </c>
      <c r="AG1692" s="2">
        <f>AA1692/Z1692</f>
        <v>3.3333333333333335</v>
      </c>
      <c r="AH1692" s="2">
        <f>AB1692/AA1692</f>
        <v>3</v>
      </c>
    </row>
    <row r="1693" spans="1:34">
      <c r="A1693" s="165" t="s">
        <v>1383</v>
      </c>
      <c r="B1693" s="39" t="s">
        <v>63</v>
      </c>
      <c r="C1693" s="41">
        <v>46213</v>
      </c>
      <c r="D1693" s="144">
        <v>0.79166666666666663</v>
      </c>
      <c r="E1693" s="43"/>
      <c r="F1693" s="8" t="s">
        <v>902</v>
      </c>
      <c r="G1693" s="2">
        <v>1</v>
      </c>
      <c r="H1693" s="2">
        <v>6</v>
      </c>
      <c r="I1693" s="45">
        <v>1100</v>
      </c>
      <c r="J1693" s="2" t="s">
        <v>766</v>
      </c>
      <c r="K1693" s="88" t="s">
        <v>807</v>
      </c>
      <c r="L1693" s="92">
        <v>15000</v>
      </c>
      <c r="M1693" s="82" t="s">
        <v>128</v>
      </c>
      <c r="N1693" s="132" t="s">
        <v>821</v>
      </c>
      <c r="O1693" s="39" t="s">
        <v>49</v>
      </c>
      <c r="P1693" s="130"/>
      <c r="Q1693" s="19">
        <f>88+37</f>
        <v>125</v>
      </c>
      <c r="R1693" s="15">
        <f>Q1693/I1693</f>
        <v>0.11363636363636363</v>
      </c>
      <c r="S1693" s="5">
        <v>36</v>
      </c>
      <c r="U1693" s="109" t="s">
        <v>375</v>
      </c>
      <c r="V1693" s="71" t="s">
        <v>362</v>
      </c>
      <c r="W1693" s="8" t="s">
        <v>370</v>
      </c>
      <c r="Y1693" s="175"/>
      <c r="Z1693" s="175"/>
      <c r="AA1693" s="175"/>
      <c r="AB1693" s="175"/>
      <c r="AC1693" s="175"/>
      <c r="AD1693" s="175"/>
      <c r="AE1693" s="175"/>
      <c r="AF1693" s="175"/>
      <c r="AG1693" s="175"/>
      <c r="AH1693" s="175"/>
    </row>
    <row r="1694" spans="1:34">
      <c r="A1694" s="165" t="s">
        <v>1383</v>
      </c>
      <c r="B1694" s="39" t="s">
        <v>63</v>
      </c>
      <c r="C1694" s="41">
        <v>46213</v>
      </c>
      <c r="D1694" s="144">
        <v>0.83333333333333337</v>
      </c>
      <c r="E1694" s="194"/>
      <c r="F1694" s="8" t="s">
        <v>1023</v>
      </c>
      <c r="G1694" s="2">
        <v>1</v>
      </c>
      <c r="H1694" s="2">
        <v>9</v>
      </c>
      <c r="I1694" s="45">
        <v>200</v>
      </c>
      <c r="J1694" s="2" t="s">
        <v>766</v>
      </c>
      <c r="K1694" s="88" t="s">
        <v>806</v>
      </c>
      <c r="L1694" s="92">
        <v>20000</v>
      </c>
      <c r="M1694" s="10">
        <v>20</v>
      </c>
      <c r="N1694" s="39" t="s">
        <v>817</v>
      </c>
      <c r="O1694" s="39" t="s">
        <v>49</v>
      </c>
      <c r="P1694" s="130"/>
      <c r="Q1694" s="19">
        <v>45</v>
      </c>
      <c r="R1694" s="15">
        <f>Q1694/I1694</f>
        <v>0.22500000000000001</v>
      </c>
      <c r="S1694" s="5">
        <v>23</v>
      </c>
      <c r="U1694" s="109" t="s">
        <v>129</v>
      </c>
      <c r="V1694" s="71" t="s">
        <v>360</v>
      </c>
      <c r="Y1694" s="175"/>
      <c r="Z1694" s="175"/>
      <c r="AA1694" s="175"/>
      <c r="AB1694" s="175"/>
      <c r="AC1694" s="175"/>
      <c r="AD1694" s="175"/>
      <c r="AE1694" s="175"/>
      <c r="AF1694" s="175"/>
      <c r="AG1694" s="175"/>
      <c r="AH1694" s="175"/>
    </row>
    <row r="1695" spans="1:34">
      <c r="A1695" s="165" t="s">
        <v>1383</v>
      </c>
      <c r="B1695" s="39" t="s">
        <v>63</v>
      </c>
      <c r="C1695" s="41">
        <v>46213</v>
      </c>
      <c r="D1695" s="144">
        <v>0.91666666666666663</v>
      </c>
      <c r="E1695" s="43"/>
      <c r="F1695" s="8" t="s">
        <v>909</v>
      </c>
      <c r="G1695" s="2">
        <v>1</v>
      </c>
      <c r="H1695" s="2">
        <v>9</v>
      </c>
      <c r="I1695" s="45">
        <v>135</v>
      </c>
      <c r="J1695" s="2" t="s">
        <v>766</v>
      </c>
      <c r="K1695" s="88" t="s">
        <v>813</v>
      </c>
      <c r="L1695" s="92">
        <v>10000</v>
      </c>
      <c r="M1695" s="69">
        <v>15</v>
      </c>
      <c r="N1695" s="132" t="s">
        <v>821</v>
      </c>
      <c r="O1695" s="39" t="s">
        <v>49</v>
      </c>
      <c r="P1695" s="130"/>
      <c r="Q1695" s="19">
        <v>35</v>
      </c>
      <c r="R1695" s="15">
        <f>Q1695/I1695</f>
        <v>0.25925925925925924</v>
      </c>
      <c r="S1695" s="5">
        <v>22</v>
      </c>
      <c r="U1695" s="109" t="s">
        <v>767</v>
      </c>
      <c r="V1695" s="71" t="s">
        <v>362</v>
      </c>
      <c r="W1695" s="8" t="s">
        <v>369</v>
      </c>
      <c r="Y1695" s="175"/>
      <c r="Z1695" s="175"/>
      <c r="AA1695" s="175"/>
      <c r="AB1695" s="175"/>
      <c r="AC1695" s="175"/>
      <c r="AD1695" s="175"/>
      <c r="AE1695" s="175"/>
      <c r="AF1695" s="175"/>
      <c r="AG1695" s="175"/>
      <c r="AH1695" s="175"/>
    </row>
    <row r="1696" spans="1:34">
      <c r="A1696" s="96" t="s">
        <v>461</v>
      </c>
      <c r="B1696" s="96" t="s">
        <v>462</v>
      </c>
      <c r="C1696" s="41">
        <v>46213</v>
      </c>
      <c r="D1696" s="42">
        <v>0.92361111111111116</v>
      </c>
      <c r="E1696" s="43"/>
      <c r="F1696" s="8" t="s">
        <v>456</v>
      </c>
      <c r="G1696" s="2">
        <v>1</v>
      </c>
      <c r="I1696" s="126">
        <v>120</v>
      </c>
      <c r="J1696" s="2" t="s">
        <v>766</v>
      </c>
      <c r="K1696" s="109" t="s">
        <v>737</v>
      </c>
      <c r="L1696" s="194">
        <v>20000</v>
      </c>
      <c r="M1696" s="69">
        <v>15</v>
      </c>
      <c r="N1696" s="39" t="s">
        <v>48</v>
      </c>
      <c r="O1696" s="39" t="s">
        <v>49</v>
      </c>
      <c r="P1696" s="211" t="s">
        <v>827</v>
      </c>
      <c r="Q1696" s="19">
        <v>24</v>
      </c>
      <c r="R1696" s="15">
        <f>Q1696/I1696</f>
        <v>0.2</v>
      </c>
      <c r="S1696" s="5">
        <f>($AC1696*$AD1696)/(($Z1696/$Y1696)+($AA1696/$Z1696)+($AB1696/$AA1696))</f>
        <v>25.161290322580644</v>
      </c>
      <c r="U1696" s="109" t="s">
        <v>463</v>
      </c>
      <c r="V1696" s="2" t="s">
        <v>735</v>
      </c>
      <c r="W1696" s="205" t="s">
        <v>464</v>
      </c>
      <c r="Y1696" s="2">
        <v>2.5</v>
      </c>
      <c r="Z1696" s="2">
        <v>7.5</v>
      </c>
      <c r="AA1696" s="2">
        <v>30</v>
      </c>
      <c r="AB1696" s="2">
        <v>100</v>
      </c>
      <c r="AC1696" s="2">
        <v>13</v>
      </c>
      <c r="AD1696" s="2">
        <v>20</v>
      </c>
      <c r="AE1696" s="2">
        <f>AC1696*AD1696</f>
        <v>260</v>
      </c>
      <c r="AF1696" s="2">
        <f>Z1696/Y1696</f>
        <v>3</v>
      </c>
      <c r="AG1696" s="2">
        <f>AA1696/Z1696</f>
        <v>4</v>
      </c>
      <c r="AH1696" s="2">
        <f>AB1696/AA1696</f>
        <v>3.3333333333333335</v>
      </c>
    </row>
    <row r="1697" spans="1:34">
      <c r="A1697" s="165" t="s">
        <v>1383</v>
      </c>
      <c r="B1697" s="36" t="s">
        <v>63</v>
      </c>
      <c r="C1697" s="41">
        <v>46213</v>
      </c>
      <c r="D1697" s="144" t="s">
        <v>117</v>
      </c>
      <c r="E1697" s="228">
        <v>88</v>
      </c>
      <c r="F1697" s="8" t="s">
        <v>1008</v>
      </c>
      <c r="G1697" s="2">
        <v>3</v>
      </c>
      <c r="H1697" s="2">
        <v>9</v>
      </c>
      <c r="I1697" s="45">
        <v>300</v>
      </c>
      <c r="J1697" s="2" t="s">
        <v>763</v>
      </c>
      <c r="K1697" s="109" t="s">
        <v>816</v>
      </c>
      <c r="L1697" s="92">
        <v>30000</v>
      </c>
      <c r="M1697" s="69" t="s">
        <v>22</v>
      </c>
      <c r="N1697" s="39" t="s">
        <v>48</v>
      </c>
      <c r="O1697" s="39" t="s">
        <v>49</v>
      </c>
      <c r="P1697" s="130"/>
      <c r="Q1697" s="19">
        <f>R1697*I1697</f>
        <v>0</v>
      </c>
      <c r="R1697" s="15">
        <v>0</v>
      </c>
      <c r="S1697" s="5">
        <f>($AC1697*$AD1697)/(($Z1697/$Y1697)+($AA1697/$Z1697)+($AB1697/$AA1697))</f>
        <v>62.448979591836739</v>
      </c>
      <c r="U1697" s="109" t="s">
        <v>767</v>
      </c>
      <c r="V1697" s="2" t="s">
        <v>121</v>
      </c>
      <c r="W1697" s="205"/>
      <c r="Y1697" s="2">
        <v>2</v>
      </c>
      <c r="Z1697" s="2">
        <v>5</v>
      </c>
      <c r="AA1697" s="2">
        <v>15</v>
      </c>
      <c r="AB1697" s="2">
        <v>40</v>
      </c>
      <c r="AC1697" s="2">
        <v>30</v>
      </c>
      <c r="AD1697" s="2">
        <v>17</v>
      </c>
      <c r="AE1697" s="2">
        <f>AC1697*AD1697</f>
        <v>510</v>
      </c>
      <c r="AF1697" s="2">
        <f>Z1697/Y1697</f>
        <v>2.5</v>
      </c>
      <c r="AG1697" s="2">
        <f>AA1697/Z1697</f>
        <v>3</v>
      </c>
      <c r="AH1697" s="2">
        <f>AB1697/AA1697</f>
        <v>2.6666666666666665</v>
      </c>
    </row>
    <row r="1698" spans="1:34">
      <c r="A1698" s="165" t="s">
        <v>1383</v>
      </c>
      <c r="B1698" s="36" t="s">
        <v>63</v>
      </c>
      <c r="C1698" s="41">
        <v>46213</v>
      </c>
      <c r="D1698" s="144" t="s">
        <v>120</v>
      </c>
      <c r="E1698" s="35">
        <v>82</v>
      </c>
      <c r="F1698" s="8" t="s">
        <v>1158</v>
      </c>
      <c r="G1698" s="2">
        <v>8</v>
      </c>
      <c r="H1698" s="2">
        <v>9</v>
      </c>
      <c r="I1698" s="45">
        <v>10000</v>
      </c>
      <c r="J1698" s="2" t="s">
        <v>110</v>
      </c>
      <c r="K1698" s="109" t="s">
        <v>737</v>
      </c>
      <c r="L1698" s="92">
        <v>60000</v>
      </c>
      <c r="M1698" s="69">
        <v>120</v>
      </c>
      <c r="N1698" s="39" t="s">
        <v>48</v>
      </c>
      <c r="O1698" s="39" t="s">
        <v>49</v>
      </c>
      <c r="P1698" s="130"/>
      <c r="Q1698" s="19">
        <f>R1698*I1698</f>
        <v>700.00000000000011</v>
      </c>
      <c r="R1698" s="15">
        <v>7.0000000000000007E-2</v>
      </c>
      <c r="S1698" s="5">
        <f>($AC1698*$AD1698)/(($Z1698/$Y1698)+($AA1698/$Z1698)+($AB1698/$AA1698))</f>
        <v>340.18691588785049</v>
      </c>
      <c r="U1698" s="109" t="s">
        <v>853</v>
      </c>
      <c r="V1698" s="2" t="s">
        <v>121</v>
      </c>
      <c r="Y1698" s="2">
        <v>2</v>
      </c>
      <c r="Z1698" s="2">
        <v>5</v>
      </c>
      <c r="AA1698" s="2">
        <v>13</v>
      </c>
      <c r="AB1698" s="2">
        <v>30</v>
      </c>
      <c r="AC1698" s="2">
        <v>120</v>
      </c>
      <c r="AD1698" s="2">
        <v>21</v>
      </c>
      <c r="AE1698" s="2">
        <f>AC1698*AD1698</f>
        <v>2520</v>
      </c>
      <c r="AF1698" s="2">
        <f>Z1698/Y1698</f>
        <v>2.5</v>
      </c>
      <c r="AG1698" s="2">
        <f>AA1698/Z1698</f>
        <v>2.6</v>
      </c>
      <c r="AH1698" s="2">
        <f>AB1698/AA1698</f>
        <v>2.3076923076923075</v>
      </c>
    </row>
    <row r="1699" spans="1:34">
      <c r="A1699" s="165" t="s">
        <v>1383</v>
      </c>
      <c r="B1699" s="36" t="s">
        <v>63</v>
      </c>
      <c r="C1699" s="41">
        <v>46213</v>
      </c>
      <c r="D1699" s="144" t="s">
        <v>115</v>
      </c>
      <c r="E1699" s="228">
        <v>89</v>
      </c>
      <c r="F1699" s="8" t="s">
        <v>1012</v>
      </c>
      <c r="G1699" s="2">
        <v>4</v>
      </c>
      <c r="H1699" s="2">
        <v>9</v>
      </c>
      <c r="I1699" s="45">
        <v>3000</v>
      </c>
      <c r="J1699" s="2" t="s">
        <v>761</v>
      </c>
      <c r="K1699" s="109" t="s">
        <v>816</v>
      </c>
      <c r="L1699" s="92">
        <v>40000</v>
      </c>
      <c r="M1699" s="69">
        <v>60</v>
      </c>
      <c r="N1699" s="39" t="s">
        <v>48</v>
      </c>
      <c r="O1699" s="39" t="s">
        <v>49</v>
      </c>
      <c r="P1699" s="130"/>
      <c r="Q1699" s="19">
        <f>R1699*I1699</f>
        <v>330</v>
      </c>
      <c r="R1699" s="15">
        <v>0.11</v>
      </c>
      <c r="S1699" s="5">
        <f>($AC1699*$AD1699)/(($Z1699/$Y1699)+($AA1699/$Z1699)+($AB1699/$AA1699))</f>
        <v>153.89408099688475</v>
      </c>
      <c r="U1699" s="109" t="s">
        <v>767</v>
      </c>
      <c r="V1699" s="2" t="s">
        <v>121</v>
      </c>
      <c r="W1699" s="205"/>
      <c r="Y1699" s="2">
        <v>2</v>
      </c>
      <c r="Z1699" s="2">
        <v>5</v>
      </c>
      <c r="AA1699" s="2">
        <v>13</v>
      </c>
      <c r="AB1699" s="2">
        <v>30</v>
      </c>
      <c r="AC1699" s="2">
        <v>60</v>
      </c>
      <c r="AD1699" s="2">
        <v>19</v>
      </c>
      <c r="AE1699" s="2">
        <f>AC1699*AD1699</f>
        <v>1140</v>
      </c>
      <c r="AF1699" s="2">
        <f>Z1699/Y1699</f>
        <v>2.5</v>
      </c>
      <c r="AG1699" s="2">
        <f>AA1699/Z1699</f>
        <v>2.6</v>
      </c>
      <c r="AH1699" s="2">
        <f>AB1699/AA1699</f>
        <v>2.3076923076923075</v>
      </c>
    </row>
    <row r="1700" spans="1:34">
      <c r="A1700" s="165" t="s">
        <v>1383</v>
      </c>
      <c r="B1700" s="36" t="s">
        <v>63</v>
      </c>
      <c r="C1700" s="41">
        <v>46213</v>
      </c>
      <c r="D1700" s="144" t="s">
        <v>119</v>
      </c>
      <c r="E1700">
        <v>90</v>
      </c>
      <c r="F1700" s="8" t="s">
        <v>1188</v>
      </c>
      <c r="G1700" s="2">
        <v>3</v>
      </c>
      <c r="H1700" s="2">
        <v>8</v>
      </c>
      <c r="I1700" s="45">
        <v>50000</v>
      </c>
      <c r="J1700" s="2" t="s">
        <v>760</v>
      </c>
      <c r="K1700" s="109" t="s">
        <v>815</v>
      </c>
      <c r="L1700" s="92">
        <v>300000</v>
      </c>
      <c r="M1700" s="69">
        <v>60</v>
      </c>
      <c r="N1700" s="39" t="s">
        <v>48</v>
      </c>
      <c r="O1700" s="39" t="s">
        <v>49</v>
      </c>
      <c r="P1700" s="130"/>
      <c r="Q1700" s="19">
        <f>R1700*I1700</f>
        <v>2500</v>
      </c>
      <c r="R1700" s="15">
        <v>0.05</v>
      </c>
      <c r="S1700" s="5">
        <f>($AC1700*$AD1700)/(($Z1700/$Y1700)+($AA1700/$Z1700)+($AB1700/$AA1700))</f>
        <v>182.60869565217391</v>
      </c>
      <c r="U1700" s="109" t="s">
        <v>767</v>
      </c>
      <c r="V1700" s="205" t="s">
        <v>121</v>
      </c>
      <c r="Y1700" s="2">
        <v>12.5</v>
      </c>
      <c r="Z1700" s="2">
        <v>30</v>
      </c>
      <c r="AA1700" s="2">
        <v>60</v>
      </c>
      <c r="AB1700" s="2">
        <v>150</v>
      </c>
      <c r="AC1700" s="2">
        <v>60</v>
      </c>
      <c r="AD1700" s="2">
        <v>21</v>
      </c>
      <c r="AE1700" s="2">
        <f>AC1700*AD1700</f>
        <v>1260</v>
      </c>
      <c r="AF1700" s="2">
        <f>Z1700/Y1700</f>
        <v>2.4</v>
      </c>
      <c r="AG1700" s="2">
        <f>AA1700/Z1700</f>
        <v>2</v>
      </c>
      <c r="AH1700" s="2">
        <f>AB1700/AA1700</f>
        <v>2.5</v>
      </c>
    </row>
    <row r="1701" spans="1:34">
      <c r="A1701" s="165" t="s">
        <v>1383</v>
      </c>
      <c r="B1701" s="36" t="s">
        <v>63</v>
      </c>
      <c r="C1701" s="41">
        <v>46213</v>
      </c>
      <c r="D1701" s="144" t="s">
        <v>116</v>
      </c>
      <c r="E1701" s="194">
        <v>92</v>
      </c>
      <c r="F1701" s="8" t="s">
        <v>1013</v>
      </c>
      <c r="G1701" s="2">
        <v>3</v>
      </c>
      <c r="H1701" s="2">
        <v>9</v>
      </c>
      <c r="I1701" s="45">
        <v>3000</v>
      </c>
      <c r="J1701" s="2" t="s">
        <v>110</v>
      </c>
      <c r="K1701" s="109" t="s">
        <v>815</v>
      </c>
      <c r="L1701" s="92">
        <v>40000</v>
      </c>
      <c r="M1701" s="69">
        <v>60</v>
      </c>
      <c r="N1701" s="39" t="s">
        <v>48</v>
      </c>
      <c r="O1701" s="39" t="s">
        <v>123</v>
      </c>
      <c r="P1701" s="66"/>
      <c r="Q1701" s="38">
        <f>R1701*I1701</f>
        <v>330</v>
      </c>
      <c r="R1701" s="15">
        <v>0.11</v>
      </c>
      <c r="S1701" s="149" t="s">
        <v>110</v>
      </c>
      <c r="T1701" s="149"/>
      <c r="U1701" s="109" t="s">
        <v>767</v>
      </c>
      <c r="V1701" s="2" t="s">
        <v>121</v>
      </c>
      <c r="W1701" s="205"/>
      <c r="AE1701" s="2">
        <f>AC1701*AD1701</f>
        <v>0</v>
      </c>
      <c r="AF1701" s="2" t="e">
        <f>Z1701/Y1701</f>
        <v>#DIV/0!</v>
      </c>
      <c r="AG1701" s="2" t="e">
        <f>AA1701/Z1701</f>
        <v>#DIV/0!</v>
      </c>
      <c r="AH1701" s="2" t="e">
        <f>AB1701/AA1701</f>
        <v>#DIV/0!</v>
      </c>
    </row>
    <row r="1702" spans="1:34">
      <c r="A1702" s="68" t="s">
        <v>357</v>
      </c>
      <c r="B1702" s="68" t="s">
        <v>358</v>
      </c>
      <c r="C1702" s="191">
        <v>46214</v>
      </c>
      <c r="D1702" s="42">
        <v>0.41666666666666669</v>
      </c>
      <c r="E1702">
        <v>83</v>
      </c>
      <c r="F1702" s="63" t="s">
        <v>1098</v>
      </c>
      <c r="G1702" s="2">
        <v>2</v>
      </c>
      <c r="H1702" s="2">
        <v>9</v>
      </c>
      <c r="I1702" s="126">
        <v>1100</v>
      </c>
      <c r="J1702" s="2" t="s">
        <v>766</v>
      </c>
      <c r="K1702" s="137" t="s">
        <v>598</v>
      </c>
      <c r="L1702" s="92">
        <v>40000</v>
      </c>
      <c r="M1702" s="69">
        <v>40</v>
      </c>
      <c r="N1702" s="39" t="s">
        <v>48</v>
      </c>
      <c r="O1702" s="39" t="s">
        <v>49</v>
      </c>
      <c r="P1702" s="211" t="s">
        <v>848</v>
      </c>
      <c r="Q1702" s="19">
        <v>140</v>
      </c>
      <c r="R1702" s="15">
        <f>Q1702/I1702</f>
        <v>0.12727272727272726</v>
      </c>
      <c r="S1702" s="5">
        <f>($AC1702*$AD1702)/(($Z1702/$Y1702)+($AA1702/$Z1702)+($AB1702/$AA1702))</f>
        <v>102.59605399792316</v>
      </c>
      <c r="U1702" s="109" t="s">
        <v>54</v>
      </c>
      <c r="V1702" s="2" t="s">
        <v>702</v>
      </c>
      <c r="Y1702" s="2">
        <v>2</v>
      </c>
      <c r="Z1702" s="2">
        <v>5</v>
      </c>
      <c r="AA1702" s="2">
        <v>13</v>
      </c>
      <c r="AB1702" s="2">
        <v>30</v>
      </c>
      <c r="AC1702" s="2">
        <v>40</v>
      </c>
      <c r="AD1702" s="2">
        <v>19</v>
      </c>
      <c r="AE1702" s="2">
        <f>AC1702*AD1702</f>
        <v>760</v>
      </c>
      <c r="AF1702" s="2">
        <f>Z1702/Y1702</f>
        <v>2.5</v>
      </c>
      <c r="AG1702" s="2">
        <f>AA1702/Z1702</f>
        <v>2.6</v>
      </c>
      <c r="AH1702" s="2">
        <f>AB1702/AA1702</f>
        <v>2.3076923076923075</v>
      </c>
    </row>
    <row r="1703" spans="1:34">
      <c r="A1703" s="96" t="s">
        <v>461</v>
      </c>
      <c r="B1703" s="96" t="s">
        <v>462</v>
      </c>
      <c r="C1703" s="41">
        <v>46214</v>
      </c>
      <c r="D1703" s="42">
        <v>0.4236111111111111</v>
      </c>
      <c r="E1703" s="43"/>
      <c r="F1703" s="8" t="s">
        <v>457</v>
      </c>
      <c r="G1703" s="2">
        <v>1</v>
      </c>
      <c r="I1703" s="126">
        <v>120</v>
      </c>
      <c r="J1703" s="2" t="s">
        <v>766</v>
      </c>
      <c r="K1703" s="109" t="s">
        <v>602</v>
      </c>
      <c r="L1703" s="194">
        <v>20000</v>
      </c>
      <c r="M1703" s="69">
        <v>20</v>
      </c>
      <c r="N1703" s="39" t="s">
        <v>48</v>
      </c>
      <c r="O1703" s="39" t="s">
        <v>49</v>
      </c>
      <c r="P1703" s="211" t="s">
        <v>832</v>
      </c>
      <c r="Q1703" s="19">
        <v>24</v>
      </c>
      <c r="R1703" s="15">
        <f>Q1703/I1703</f>
        <v>0.2</v>
      </c>
      <c r="S1703" s="5">
        <f>($AC1703*$AD1703)/(($Z1703/$Y1703)+($AA1703/$Z1703)+($AB1703/$AA1703))</f>
        <v>25.161290322580644</v>
      </c>
      <c r="U1703" s="109" t="s">
        <v>767</v>
      </c>
      <c r="V1703" s="2" t="s">
        <v>735</v>
      </c>
      <c r="Y1703" s="2">
        <v>2.5</v>
      </c>
      <c r="Z1703" s="2">
        <v>7.5</v>
      </c>
      <c r="AA1703" s="2">
        <v>30</v>
      </c>
      <c r="AB1703" s="2">
        <v>100</v>
      </c>
      <c r="AC1703" s="2">
        <v>13</v>
      </c>
      <c r="AD1703" s="2">
        <v>20</v>
      </c>
      <c r="AE1703" s="2">
        <f>AC1703*AD1703</f>
        <v>260</v>
      </c>
      <c r="AF1703" s="2">
        <f>Z1703/Y1703</f>
        <v>3</v>
      </c>
      <c r="AG1703" s="2">
        <f>AA1703/Z1703</f>
        <v>4</v>
      </c>
      <c r="AH1703" s="2">
        <f>AB1703/AA1703</f>
        <v>3.3333333333333335</v>
      </c>
    </row>
    <row r="1704" spans="1:34">
      <c r="A1704" s="68" t="s">
        <v>357</v>
      </c>
      <c r="B1704" s="68" t="s">
        <v>358</v>
      </c>
      <c r="C1704" s="191">
        <v>46214</v>
      </c>
      <c r="D1704" s="42">
        <v>0.4236111111111111</v>
      </c>
      <c r="E1704" s="194">
        <v>87</v>
      </c>
      <c r="F1704" s="63" t="s">
        <v>333</v>
      </c>
      <c r="G1704" s="2">
        <v>2</v>
      </c>
      <c r="H1704" s="2">
        <v>9</v>
      </c>
      <c r="I1704" s="126">
        <v>1100</v>
      </c>
      <c r="J1704" s="2" t="s">
        <v>766</v>
      </c>
      <c r="K1704" s="137" t="s">
        <v>598</v>
      </c>
      <c r="L1704" s="92">
        <v>40000</v>
      </c>
      <c r="M1704" s="69">
        <v>40</v>
      </c>
      <c r="N1704" s="39" t="s">
        <v>48</v>
      </c>
      <c r="O1704" s="39" t="s">
        <v>49</v>
      </c>
      <c r="P1704" s="211" t="s">
        <v>848</v>
      </c>
      <c r="Q1704" s="19">
        <v>140</v>
      </c>
      <c r="R1704" s="15">
        <f>Q1704/I1704</f>
        <v>0.12727272727272726</v>
      </c>
      <c r="S1704" s="5">
        <f>($AC1704*$AD1704)/(($Z1704/$Y1704)+($AA1704/$Z1704)+($AB1704/$AA1704))</f>
        <v>102.59605399792316</v>
      </c>
      <c r="U1704" s="109" t="s">
        <v>767</v>
      </c>
      <c r="V1704" s="2" t="s">
        <v>703</v>
      </c>
      <c r="Y1704" s="2">
        <v>2</v>
      </c>
      <c r="Z1704" s="2">
        <v>5</v>
      </c>
      <c r="AA1704" s="2">
        <v>13</v>
      </c>
      <c r="AB1704" s="2">
        <v>30</v>
      </c>
      <c r="AC1704" s="2">
        <v>40</v>
      </c>
      <c r="AD1704" s="2">
        <v>19</v>
      </c>
      <c r="AE1704" s="2">
        <f>AC1704*AD1704</f>
        <v>760</v>
      </c>
      <c r="AF1704" s="2">
        <f>Z1704/Y1704</f>
        <v>2.5</v>
      </c>
      <c r="AG1704" s="2">
        <f>AA1704/Z1704</f>
        <v>2.6</v>
      </c>
      <c r="AH1704" s="2">
        <f>AB1704/AA1704</f>
        <v>2.3076923076923075</v>
      </c>
    </row>
    <row r="1705" spans="1:34">
      <c r="A1705" s="95" t="s">
        <v>447</v>
      </c>
      <c r="B1705" s="95" t="s">
        <v>448</v>
      </c>
      <c r="C1705" s="190">
        <v>46214</v>
      </c>
      <c r="D1705" s="42">
        <v>0.45833333333333331</v>
      </c>
      <c r="E1705" s="43"/>
      <c r="F1705" s="8" t="s">
        <v>442</v>
      </c>
      <c r="G1705" s="2">
        <v>1</v>
      </c>
      <c r="H1705" s="2">
        <v>8</v>
      </c>
      <c r="I1705" s="126">
        <v>1100</v>
      </c>
      <c r="J1705" s="2" t="s">
        <v>766</v>
      </c>
      <c r="K1705" s="109" t="s">
        <v>602</v>
      </c>
      <c r="L1705" s="194">
        <v>30000</v>
      </c>
      <c r="M1705" s="194">
        <v>30</v>
      </c>
      <c r="N1705" s="39" t="s">
        <v>48</v>
      </c>
      <c r="O1705" s="39" t="s">
        <v>57</v>
      </c>
      <c r="P1705" s="197">
        <v>250000</v>
      </c>
      <c r="Q1705" s="2">
        <v>135</v>
      </c>
      <c r="R1705" s="15">
        <f>Q1705/I1705</f>
        <v>0.12272727272727273</v>
      </c>
      <c r="S1705" s="176" t="s">
        <v>110</v>
      </c>
      <c r="T1705" s="176"/>
      <c r="U1705" s="109" t="s">
        <v>55</v>
      </c>
      <c r="V1705" s="2" t="s">
        <v>741</v>
      </c>
      <c r="W1705" s="116" t="s">
        <v>753</v>
      </c>
      <c r="AE1705" s="2">
        <f>AC1705*AD1705</f>
        <v>0</v>
      </c>
      <c r="AF1705" s="2" t="e">
        <f>Z1705/Y1705</f>
        <v>#DIV/0!</v>
      </c>
      <c r="AG1705" s="2" t="e">
        <f>AA1705/Z1705</f>
        <v>#DIV/0!</v>
      </c>
      <c r="AH1705" s="2" t="e">
        <f>AB1705/AA1705</f>
        <v>#DIV/0!</v>
      </c>
    </row>
    <row r="1706" spans="1:34">
      <c r="A1706" s="52" t="s">
        <v>229</v>
      </c>
      <c r="B1706" s="52" t="s">
        <v>230</v>
      </c>
      <c r="C1706" s="190">
        <v>46214</v>
      </c>
      <c r="D1706" s="42">
        <v>0.45833333333333331</v>
      </c>
      <c r="E1706" s="43"/>
      <c r="F1706" s="8" t="s">
        <v>241</v>
      </c>
      <c r="G1706" s="2">
        <v>1</v>
      </c>
      <c r="I1706" s="151">
        <v>300</v>
      </c>
      <c r="J1706" s="2" t="s">
        <v>766</v>
      </c>
      <c r="K1706" s="88" t="s">
        <v>788</v>
      </c>
      <c r="L1706" s="91">
        <v>30000</v>
      </c>
      <c r="M1706" s="194">
        <v>30</v>
      </c>
      <c r="N1706" s="39" t="s">
        <v>48</v>
      </c>
      <c r="O1706" s="39" t="s">
        <v>49</v>
      </c>
      <c r="P1706" s="140" t="s">
        <v>835</v>
      </c>
      <c r="Q1706" s="19">
        <v>45</v>
      </c>
      <c r="R1706" s="15">
        <f>IF(Q1706&gt;0,Q1706/I1706,"")</f>
        <v>0.15</v>
      </c>
      <c r="S1706" s="5">
        <f>($AC1706*$AD1706)/(($Z1706/$Y1706)+($AA1706/$Z1706)+($AB1706/$AA1706))</f>
        <v>72.897196261682254</v>
      </c>
      <c r="U1706" s="109" t="s">
        <v>767</v>
      </c>
      <c r="V1706" s="205" t="s">
        <v>719</v>
      </c>
      <c r="W1706" s="205"/>
      <c r="Y1706" s="2">
        <v>2</v>
      </c>
      <c r="Z1706" s="2">
        <v>5</v>
      </c>
      <c r="AA1706" s="2">
        <v>13</v>
      </c>
      <c r="AB1706" s="2">
        <v>30</v>
      </c>
      <c r="AC1706" s="2">
        <v>18</v>
      </c>
      <c r="AD1706" s="2">
        <v>30</v>
      </c>
      <c r="AE1706" s="2">
        <f>AC1706*AD1706</f>
        <v>540</v>
      </c>
      <c r="AF1706" s="2">
        <f>Z1706/Y1706</f>
        <v>2.5</v>
      </c>
      <c r="AG1706" s="2">
        <f>AA1706/Z1706</f>
        <v>2.6</v>
      </c>
      <c r="AH1706" s="2">
        <f>AB1706/AA1706</f>
        <v>2.3076923076923075</v>
      </c>
    </row>
    <row r="1707" spans="1:34">
      <c r="A1707" s="52" t="s">
        <v>220</v>
      </c>
      <c r="B1707" s="52" t="s">
        <v>221</v>
      </c>
      <c r="C1707" s="191">
        <v>46214</v>
      </c>
      <c r="D1707" s="42">
        <v>0.5</v>
      </c>
      <c r="E1707" s="43"/>
      <c r="F1707" s="8" t="s">
        <v>1053</v>
      </c>
      <c r="G1707" s="2">
        <v>1</v>
      </c>
      <c r="H1707" s="2">
        <v>9</v>
      </c>
      <c r="I1707" s="126">
        <v>1100</v>
      </c>
      <c r="J1707" s="2" t="s">
        <v>766</v>
      </c>
      <c r="K1707" s="88" t="s">
        <v>780</v>
      </c>
      <c r="L1707" s="91">
        <v>30000</v>
      </c>
      <c r="M1707" s="203">
        <v>30</v>
      </c>
      <c r="N1707" s="39" t="s">
        <v>48</v>
      </c>
      <c r="O1707" s="39" t="s">
        <v>49</v>
      </c>
      <c r="P1707" s="211" t="s">
        <v>840</v>
      </c>
      <c r="Q1707" s="19">
        <v>135</v>
      </c>
      <c r="R1707" s="15">
        <f>Q1707/I1707</f>
        <v>0.12272727272727273</v>
      </c>
      <c r="S1707" s="5">
        <f>($AC1707*$AD1707)/(($Z1707/$Y1707)+($AA1707/$Z1707)+($AB1707/$AA1707))</f>
        <v>62.448979591836739</v>
      </c>
      <c r="U1707" s="109" t="s">
        <v>767</v>
      </c>
      <c r="V1707" s="2" t="s">
        <v>738</v>
      </c>
      <c r="W1707" s="205"/>
      <c r="Y1707" s="2">
        <v>2</v>
      </c>
      <c r="Z1707" s="2">
        <v>5</v>
      </c>
      <c r="AA1707" s="2">
        <v>15</v>
      </c>
      <c r="AB1707" s="2">
        <v>40</v>
      </c>
      <c r="AC1707" s="2">
        <v>17</v>
      </c>
      <c r="AD1707" s="2">
        <v>30</v>
      </c>
      <c r="AE1707" s="2">
        <f>AC1707*AD1707</f>
        <v>510</v>
      </c>
      <c r="AF1707" s="2">
        <f>Z1707/Y1707</f>
        <v>2.5</v>
      </c>
      <c r="AG1707" s="2">
        <f>AA1707/Z1707</f>
        <v>3</v>
      </c>
      <c r="AH1707" s="2">
        <f>AB1707/AA1707</f>
        <v>2.6666666666666665</v>
      </c>
    </row>
    <row r="1708" spans="1:34">
      <c r="A1708" s="165" t="s">
        <v>1383</v>
      </c>
      <c r="B1708" s="36" t="s">
        <v>63</v>
      </c>
      <c r="C1708" s="41">
        <v>46214</v>
      </c>
      <c r="D1708" s="144">
        <v>0.54166666666666663</v>
      </c>
      <c r="E1708" s="194">
        <v>92</v>
      </c>
      <c r="F1708" s="8" t="s">
        <v>1183</v>
      </c>
      <c r="G1708" s="2">
        <v>3</v>
      </c>
      <c r="H1708" s="2">
        <v>9</v>
      </c>
      <c r="I1708" s="45">
        <v>3000</v>
      </c>
      <c r="J1708" s="2" t="s">
        <v>110</v>
      </c>
      <c r="K1708" s="109" t="s">
        <v>815</v>
      </c>
      <c r="L1708" s="92">
        <v>40000</v>
      </c>
      <c r="M1708" s="69">
        <v>60</v>
      </c>
      <c r="N1708" s="39" t="s">
        <v>48</v>
      </c>
      <c r="O1708" s="39" t="s">
        <v>123</v>
      </c>
      <c r="P1708" s="66"/>
      <c r="Q1708" s="38">
        <f>R1708*I1708</f>
        <v>330</v>
      </c>
      <c r="R1708" s="15">
        <v>0.11</v>
      </c>
      <c r="S1708" s="149" t="s">
        <v>110</v>
      </c>
      <c r="T1708" s="149"/>
      <c r="U1708" s="109" t="s">
        <v>767</v>
      </c>
      <c r="V1708" s="2" t="s">
        <v>121</v>
      </c>
      <c r="W1708" s="205"/>
      <c r="AE1708" s="2">
        <f>AC1708*AD1708</f>
        <v>0</v>
      </c>
      <c r="AF1708" s="2" t="e">
        <f>Z1708/Y1708</f>
        <v>#DIV/0!</v>
      </c>
      <c r="AG1708" s="2" t="e">
        <f>AA1708/Z1708</f>
        <v>#DIV/0!</v>
      </c>
      <c r="AH1708" s="2" t="e">
        <f>AB1708/AA1708</f>
        <v>#DIV/0!</v>
      </c>
    </row>
    <row r="1709" spans="1:34">
      <c r="A1709" s="165" t="s">
        <v>1383</v>
      </c>
      <c r="B1709" s="39" t="s">
        <v>63</v>
      </c>
      <c r="C1709" s="41">
        <v>46214</v>
      </c>
      <c r="D1709" s="144">
        <v>0.54166666666666663</v>
      </c>
      <c r="E1709" s="194"/>
      <c r="F1709" s="8" t="s">
        <v>881</v>
      </c>
      <c r="G1709" s="2">
        <v>1</v>
      </c>
      <c r="H1709" s="2">
        <v>9</v>
      </c>
      <c r="I1709" s="45">
        <v>250</v>
      </c>
      <c r="J1709" s="2" t="s">
        <v>766</v>
      </c>
      <c r="K1709" s="88" t="s">
        <v>787</v>
      </c>
      <c r="L1709" s="92">
        <v>25000</v>
      </c>
      <c r="M1709" s="10">
        <v>30</v>
      </c>
      <c r="N1709" s="39" t="s">
        <v>817</v>
      </c>
      <c r="O1709" s="39" t="s">
        <v>49</v>
      </c>
      <c r="P1709" s="130"/>
      <c r="Q1709" s="19">
        <v>50</v>
      </c>
      <c r="R1709" s="15">
        <f>Q1709/I1709</f>
        <v>0.2</v>
      </c>
      <c r="S1709" s="5">
        <v>44</v>
      </c>
      <c r="U1709" s="109" t="s">
        <v>767</v>
      </c>
      <c r="V1709" s="71" t="s">
        <v>360</v>
      </c>
      <c r="Y1709" s="175"/>
      <c r="Z1709" s="175"/>
      <c r="AA1709" s="175"/>
      <c r="AB1709" s="175"/>
      <c r="AC1709" s="175"/>
      <c r="AD1709" s="175"/>
      <c r="AE1709" s="175"/>
      <c r="AF1709" s="175"/>
      <c r="AG1709" s="175"/>
      <c r="AH1709" s="175"/>
    </row>
    <row r="1710" spans="1:34">
      <c r="A1710" s="96" t="s">
        <v>461</v>
      </c>
      <c r="B1710" s="96" t="s">
        <v>462</v>
      </c>
      <c r="C1710" s="41">
        <v>46214</v>
      </c>
      <c r="D1710" s="42">
        <v>0.59027777777777779</v>
      </c>
      <c r="E1710" s="43"/>
      <c r="F1710" s="8" t="s">
        <v>276</v>
      </c>
      <c r="G1710" s="2">
        <v>1</v>
      </c>
      <c r="I1710" s="126">
        <v>200</v>
      </c>
      <c r="J1710" s="2" t="s">
        <v>766</v>
      </c>
      <c r="K1710" s="109" t="s">
        <v>602</v>
      </c>
      <c r="L1710" s="194">
        <v>20000</v>
      </c>
      <c r="M1710" s="69">
        <v>20</v>
      </c>
      <c r="N1710" s="39" t="s">
        <v>48</v>
      </c>
      <c r="O1710" s="39" t="s">
        <v>451</v>
      </c>
      <c r="P1710" s="197">
        <v>15000</v>
      </c>
      <c r="Q1710" s="2">
        <v>40</v>
      </c>
      <c r="R1710" s="15">
        <f>Q1710/I1710</f>
        <v>0.2</v>
      </c>
      <c r="S1710" s="149" t="s">
        <v>110</v>
      </c>
      <c r="T1710" s="149"/>
      <c r="U1710" s="109" t="s">
        <v>767</v>
      </c>
      <c r="V1710" s="2" t="s">
        <v>735</v>
      </c>
      <c r="AE1710" s="2">
        <f>AC1710*AD1710</f>
        <v>0</v>
      </c>
      <c r="AF1710" s="2" t="e">
        <f>Z1710/Y1710</f>
        <v>#DIV/0!</v>
      </c>
      <c r="AG1710" s="2" t="e">
        <f>AA1710/Z1710</f>
        <v>#DIV/0!</v>
      </c>
      <c r="AH1710" s="2" t="e">
        <f>AB1710/AA1710</f>
        <v>#DIV/0!</v>
      </c>
    </row>
    <row r="1711" spans="1:34">
      <c r="A1711" s="165" t="s">
        <v>1383</v>
      </c>
      <c r="B1711" s="39" t="s">
        <v>63</v>
      </c>
      <c r="C1711" s="41">
        <v>46214</v>
      </c>
      <c r="D1711" s="144">
        <v>0.625</v>
      </c>
      <c r="E1711" s="43"/>
      <c r="F1711" s="8" t="s">
        <v>912</v>
      </c>
      <c r="G1711" s="2">
        <v>1</v>
      </c>
      <c r="H1711" s="2">
        <v>9</v>
      </c>
      <c r="I1711" s="45">
        <v>240</v>
      </c>
      <c r="J1711" s="2" t="s">
        <v>766</v>
      </c>
      <c r="K1711" s="88" t="s">
        <v>784</v>
      </c>
      <c r="L1711" s="92">
        <v>10000</v>
      </c>
      <c r="M1711" s="69">
        <v>20</v>
      </c>
      <c r="N1711" s="132" t="s">
        <v>821</v>
      </c>
      <c r="O1711" s="39" t="s">
        <v>49</v>
      </c>
      <c r="P1711" s="130"/>
      <c r="Q1711" s="19">
        <v>40</v>
      </c>
      <c r="R1711" s="15">
        <v>0.16666666666666666</v>
      </c>
      <c r="S1711" s="5">
        <v>29</v>
      </c>
      <c r="U1711" s="109" t="s">
        <v>767</v>
      </c>
      <c r="V1711" s="71" t="s">
        <v>362</v>
      </c>
      <c r="W1711" s="8" t="s">
        <v>367</v>
      </c>
      <c r="Y1711" s="175"/>
      <c r="Z1711" s="175"/>
      <c r="AA1711" s="175"/>
      <c r="AB1711" s="175"/>
      <c r="AC1711" s="175"/>
      <c r="AD1711" s="175"/>
      <c r="AE1711" s="175"/>
      <c r="AF1711" s="175"/>
      <c r="AG1711" s="175"/>
      <c r="AH1711" s="175"/>
    </row>
    <row r="1712" spans="1:34">
      <c r="A1712" s="165" t="s">
        <v>1383</v>
      </c>
      <c r="B1712" s="39" t="s">
        <v>63</v>
      </c>
      <c r="C1712" s="41">
        <v>46214</v>
      </c>
      <c r="D1712" s="144">
        <v>0.66666666666666663</v>
      </c>
      <c r="E1712"/>
      <c r="F1712" s="8" t="s">
        <v>1024</v>
      </c>
      <c r="G1712" s="2">
        <v>1</v>
      </c>
      <c r="H1712" s="2">
        <v>9</v>
      </c>
      <c r="I1712" s="45">
        <v>400</v>
      </c>
      <c r="J1712" s="2" t="s">
        <v>766</v>
      </c>
      <c r="K1712" s="88" t="s">
        <v>794</v>
      </c>
      <c r="L1712" s="92">
        <v>30000</v>
      </c>
      <c r="M1712" s="10">
        <v>20</v>
      </c>
      <c r="N1712" s="39" t="s">
        <v>817</v>
      </c>
      <c r="O1712" s="39" t="s">
        <v>49</v>
      </c>
      <c r="P1712" s="130"/>
      <c r="Q1712" s="19">
        <v>70</v>
      </c>
      <c r="R1712" s="15">
        <f>Q1712/I1712</f>
        <v>0.17499999999999999</v>
      </c>
      <c r="S1712" s="5">
        <v>37</v>
      </c>
      <c r="U1712" s="109" t="s">
        <v>129</v>
      </c>
      <c r="V1712" s="71" t="s">
        <v>360</v>
      </c>
      <c r="Y1712" s="175"/>
      <c r="Z1712" s="175"/>
      <c r="AA1712" s="175"/>
      <c r="AB1712" s="175"/>
      <c r="AC1712" s="175"/>
      <c r="AD1712" s="175"/>
      <c r="AE1712" s="175"/>
      <c r="AF1712" s="175"/>
      <c r="AG1712" s="175"/>
      <c r="AH1712" s="175"/>
    </row>
    <row r="1713" spans="1:34">
      <c r="A1713" s="52" t="s">
        <v>229</v>
      </c>
      <c r="B1713" s="52" t="s">
        <v>230</v>
      </c>
      <c r="C1713" s="190">
        <v>46214</v>
      </c>
      <c r="D1713" s="42">
        <v>0.66666666666666663</v>
      </c>
      <c r="E1713" s="43"/>
      <c r="F1713" s="8" t="s">
        <v>222</v>
      </c>
      <c r="G1713" s="2">
        <v>1</v>
      </c>
      <c r="I1713" s="126">
        <v>240</v>
      </c>
      <c r="J1713" s="2" t="s">
        <v>766</v>
      </c>
      <c r="K1713" s="88" t="s">
        <v>795</v>
      </c>
      <c r="L1713" s="91">
        <v>30000</v>
      </c>
      <c r="M1713" s="194">
        <v>20</v>
      </c>
      <c r="N1713" s="39" t="s">
        <v>48</v>
      </c>
      <c r="O1713" s="39" t="s">
        <v>222</v>
      </c>
      <c r="P1713" s="66">
        <v>10000</v>
      </c>
      <c r="Q1713" s="2">
        <v>40</v>
      </c>
      <c r="R1713" s="15">
        <f>IF(Q1713&gt;0,Q1713/I1713,"")</f>
        <v>0.16666666666666666</v>
      </c>
      <c r="S1713" s="149" t="s">
        <v>110</v>
      </c>
      <c r="T1713" s="149"/>
      <c r="U1713" s="109" t="s">
        <v>767</v>
      </c>
      <c r="V1713" s="205" t="s">
        <v>719</v>
      </c>
      <c r="W1713" s="205"/>
      <c r="AE1713" s="2">
        <f>AC1713*AD1713</f>
        <v>0</v>
      </c>
      <c r="AF1713" s="2" t="e">
        <f>Z1713/Y1713</f>
        <v>#DIV/0!</v>
      </c>
      <c r="AG1713" s="2" t="e">
        <f>AA1713/Z1713</f>
        <v>#DIV/0!</v>
      </c>
      <c r="AH1713" s="2" t="e">
        <f>AB1713/AA1713</f>
        <v>#DIV/0!</v>
      </c>
    </row>
    <row r="1714" spans="1:34">
      <c r="A1714" s="52" t="s">
        <v>229</v>
      </c>
      <c r="B1714" s="52" t="s">
        <v>230</v>
      </c>
      <c r="C1714" s="190">
        <v>46214</v>
      </c>
      <c r="D1714" s="42">
        <v>0.75</v>
      </c>
      <c r="E1714" s="43"/>
      <c r="F1714" s="8" t="s">
        <v>244</v>
      </c>
      <c r="G1714" s="2">
        <v>1</v>
      </c>
      <c r="I1714" s="126">
        <v>200</v>
      </c>
      <c r="J1714" s="2" t="s">
        <v>766</v>
      </c>
      <c r="K1714" s="88" t="s">
        <v>804</v>
      </c>
      <c r="L1714" s="91">
        <v>30000</v>
      </c>
      <c r="M1714" s="194">
        <v>20</v>
      </c>
      <c r="N1714" s="39" t="s">
        <v>48</v>
      </c>
      <c r="O1714" s="39" t="s">
        <v>49</v>
      </c>
      <c r="P1714" s="211" t="s">
        <v>832</v>
      </c>
      <c r="Q1714" s="19">
        <v>40</v>
      </c>
      <c r="R1714" s="15">
        <f>IF(Q1714&gt;0,Q1714/I1714,"")</f>
        <v>0.2</v>
      </c>
      <c r="S1714" s="5">
        <f>($AC1714*$AD1714)/(($Z1714/$Y1714)+($AA1714/$Z1714)+($AB1714/$AA1714))</f>
        <v>35.555555555555557</v>
      </c>
      <c r="U1714" s="109" t="s">
        <v>767</v>
      </c>
      <c r="V1714" s="205" t="s">
        <v>719</v>
      </c>
      <c r="W1714" s="205"/>
      <c r="Y1714" s="2">
        <v>2</v>
      </c>
      <c r="Z1714" s="2">
        <v>5</v>
      </c>
      <c r="AA1714" s="2">
        <v>20</v>
      </c>
      <c r="AB1714" s="2">
        <v>50</v>
      </c>
      <c r="AC1714" s="2">
        <v>20</v>
      </c>
      <c r="AD1714" s="2">
        <v>16</v>
      </c>
      <c r="AE1714" s="2">
        <f>AC1714*AD1714</f>
        <v>320</v>
      </c>
      <c r="AF1714" s="2">
        <f>Z1714/Y1714</f>
        <v>2.5</v>
      </c>
      <c r="AG1714" s="2">
        <f>AA1714/Z1714</f>
        <v>4</v>
      </c>
      <c r="AH1714" s="2">
        <f>AB1714/AA1714</f>
        <v>2.5</v>
      </c>
    </row>
    <row r="1715" spans="1:34">
      <c r="A1715" s="52" t="s">
        <v>220</v>
      </c>
      <c r="B1715" s="52" t="s">
        <v>221</v>
      </c>
      <c r="C1715" s="191">
        <v>46214</v>
      </c>
      <c r="D1715" s="42">
        <v>0.75</v>
      </c>
      <c r="E1715" s="43"/>
      <c r="F1715" s="8" t="s">
        <v>1073</v>
      </c>
      <c r="G1715" s="2">
        <v>1</v>
      </c>
      <c r="H1715" s="2">
        <v>9</v>
      </c>
      <c r="I1715" s="126">
        <v>1100</v>
      </c>
      <c r="J1715" s="2" t="s">
        <v>766</v>
      </c>
      <c r="K1715" s="88" t="s">
        <v>799</v>
      </c>
      <c r="L1715" s="91">
        <v>30000</v>
      </c>
      <c r="M1715" s="203">
        <v>20</v>
      </c>
      <c r="N1715" s="39" t="s">
        <v>48</v>
      </c>
      <c r="O1715" s="39" t="s">
        <v>49</v>
      </c>
      <c r="P1715" s="140" t="s">
        <v>838</v>
      </c>
      <c r="Q1715" s="19">
        <v>125</v>
      </c>
      <c r="R1715" s="15">
        <f>Q1715/I1715</f>
        <v>0.11363636363636363</v>
      </c>
      <c r="S1715" s="5">
        <f>($AC1715*$AD1715)/(($Z1715/$Y1715)+($AA1715/$Z1715)+($AB1715/$AA1715))</f>
        <v>41.632653061224495</v>
      </c>
      <c r="U1715" s="109" t="s">
        <v>129</v>
      </c>
      <c r="V1715" s="205" t="s">
        <v>738</v>
      </c>
      <c r="W1715" s="205"/>
      <c r="Y1715" s="2">
        <v>2</v>
      </c>
      <c r="Z1715" s="2">
        <v>5</v>
      </c>
      <c r="AA1715" s="2">
        <v>15</v>
      </c>
      <c r="AB1715" s="2">
        <v>40</v>
      </c>
      <c r="AC1715" s="2">
        <v>17</v>
      </c>
      <c r="AD1715" s="115">
        <v>20</v>
      </c>
      <c r="AE1715" s="2">
        <f>AC1715*AD1715</f>
        <v>340</v>
      </c>
      <c r="AF1715" s="2">
        <f>Z1715/Y1715</f>
        <v>2.5</v>
      </c>
      <c r="AG1715" s="2">
        <f>AA1715/Z1715</f>
        <v>3</v>
      </c>
      <c r="AH1715" s="2">
        <f>AB1715/AA1715</f>
        <v>2.6666666666666665</v>
      </c>
    </row>
    <row r="1716" spans="1:34">
      <c r="A1716" s="96" t="s">
        <v>461</v>
      </c>
      <c r="B1716" s="96" t="s">
        <v>462</v>
      </c>
      <c r="C1716" s="41">
        <v>46214</v>
      </c>
      <c r="D1716" s="42">
        <v>0.75694444444444442</v>
      </c>
      <c r="E1716" s="43"/>
      <c r="F1716" s="8" t="s">
        <v>460</v>
      </c>
      <c r="G1716" s="2">
        <v>1</v>
      </c>
      <c r="I1716" s="126">
        <v>200</v>
      </c>
      <c r="J1716" s="2" t="s">
        <v>766</v>
      </c>
      <c r="K1716" s="109" t="s">
        <v>602</v>
      </c>
      <c r="L1716" s="194">
        <v>30000</v>
      </c>
      <c r="M1716" s="69">
        <v>20</v>
      </c>
      <c r="N1716" s="39" t="s">
        <v>48</v>
      </c>
      <c r="O1716" s="39" t="s">
        <v>49</v>
      </c>
      <c r="P1716" s="140" t="s">
        <v>833</v>
      </c>
      <c r="Q1716" s="19">
        <v>40</v>
      </c>
      <c r="R1716" s="15">
        <f>Q1716/I1716</f>
        <v>0.2</v>
      </c>
      <c r="S1716" s="5">
        <f>($AC1716*$AD1716)/(($Z1716/$Y1716)+($AA1716/$Z1716)+($AB1716/$AA1716))</f>
        <v>41.632653061224495</v>
      </c>
      <c r="U1716" s="109" t="s">
        <v>219</v>
      </c>
      <c r="V1716" s="205" t="s">
        <v>735</v>
      </c>
      <c r="W1716" s="251" t="s">
        <v>466</v>
      </c>
      <c r="Y1716" s="2">
        <v>2</v>
      </c>
      <c r="Z1716" s="2">
        <v>5</v>
      </c>
      <c r="AA1716" s="2">
        <v>15</v>
      </c>
      <c r="AB1716" s="2">
        <v>40</v>
      </c>
      <c r="AC1716" s="2">
        <v>17</v>
      </c>
      <c r="AD1716" s="2">
        <v>20</v>
      </c>
      <c r="AE1716" s="2">
        <f>AC1716*AD1716</f>
        <v>340</v>
      </c>
      <c r="AF1716" s="2">
        <f>Z1716/Y1716</f>
        <v>2.5</v>
      </c>
      <c r="AG1716" s="2">
        <f>AA1716/Z1716</f>
        <v>3</v>
      </c>
      <c r="AH1716" s="2">
        <f>AB1716/AA1716</f>
        <v>2.6666666666666665</v>
      </c>
    </row>
    <row r="1717" spans="1:34">
      <c r="A1717" s="68" t="s">
        <v>357</v>
      </c>
      <c r="B1717" s="68" t="s">
        <v>358</v>
      </c>
      <c r="C1717" s="191">
        <v>46214</v>
      </c>
      <c r="D1717" s="42">
        <v>0.75694444444444442</v>
      </c>
      <c r="E1717" s="194">
        <v>87</v>
      </c>
      <c r="F1717" s="63" t="s">
        <v>334</v>
      </c>
      <c r="G1717" s="2">
        <v>2</v>
      </c>
      <c r="H1717" s="2">
        <v>9</v>
      </c>
      <c r="I1717" s="126">
        <v>1100</v>
      </c>
      <c r="J1717" s="2" t="s">
        <v>766</v>
      </c>
      <c r="K1717" s="137" t="s">
        <v>598</v>
      </c>
      <c r="L1717" s="92">
        <v>40000</v>
      </c>
      <c r="M1717" s="69">
        <v>30</v>
      </c>
      <c r="N1717" s="39" t="s">
        <v>48</v>
      </c>
      <c r="O1717" s="39" t="s">
        <v>49</v>
      </c>
      <c r="P1717" s="211" t="s">
        <v>848</v>
      </c>
      <c r="Q1717" s="19">
        <v>140</v>
      </c>
      <c r="R1717" s="15">
        <f>Q1717/I1717</f>
        <v>0.12727272727272726</v>
      </c>
      <c r="S1717" s="5">
        <f>($AC1717*$AD1717)/(($Z1717/$Y1717)+($AA1717/$Z1717)+($AB1717/$AA1717))</f>
        <v>76.947040498442377</v>
      </c>
      <c r="U1717" s="109" t="s">
        <v>767</v>
      </c>
      <c r="V1717" s="71" t="s">
        <v>1417</v>
      </c>
      <c r="Y1717" s="2">
        <v>2</v>
      </c>
      <c r="Z1717" s="2">
        <v>5</v>
      </c>
      <c r="AA1717" s="2">
        <v>13</v>
      </c>
      <c r="AB1717" s="2">
        <v>30</v>
      </c>
      <c r="AC1717" s="2">
        <v>30</v>
      </c>
      <c r="AD1717" s="2">
        <v>19</v>
      </c>
      <c r="AE1717" s="2">
        <f>AC1717*AD1717</f>
        <v>570</v>
      </c>
      <c r="AF1717" s="2">
        <f>Z1717/Y1717</f>
        <v>2.5</v>
      </c>
      <c r="AG1717" s="2">
        <f>AA1717/Z1717</f>
        <v>2.6</v>
      </c>
      <c r="AH1717" s="2">
        <f>AB1717/AA1717</f>
        <v>2.3076923076923075</v>
      </c>
    </row>
    <row r="1718" spans="1:34">
      <c r="A1718" s="95" t="s">
        <v>447</v>
      </c>
      <c r="B1718" s="95" t="s">
        <v>448</v>
      </c>
      <c r="C1718" s="190">
        <v>46214</v>
      </c>
      <c r="D1718" s="42">
        <v>0.79166666666666663</v>
      </c>
      <c r="E1718" s="43"/>
      <c r="F1718" s="8" t="s">
        <v>403</v>
      </c>
      <c r="G1718" s="2">
        <v>1</v>
      </c>
      <c r="H1718" s="2">
        <v>9</v>
      </c>
      <c r="I1718" s="126">
        <v>300</v>
      </c>
      <c r="J1718" s="2" t="s">
        <v>766</v>
      </c>
      <c r="K1718" s="109" t="s">
        <v>602</v>
      </c>
      <c r="L1718" s="194">
        <v>25000</v>
      </c>
      <c r="M1718" s="194">
        <v>25</v>
      </c>
      <c r="N1718" s="39" t="s">
        <v>48</v>
      </c>
      <c r="O1718" s="39" t="s">
        <v>49</v>
      </c>
      <c r="P1718" s="140" t="s">
        <v>834</v>
      </c>
      <c r="Q1718" s="19">
        <v>50</v>
      </c>
      <c r="R1718" s="15">
        <f>Q1718/I1718</f>
        <v>0.16666666666666666</v>
      </c>
      <c r="S1718" s="5">
        <f>($AC1718*$AD1718)/(($Z1718/$Y1718)+($AA1718/$Z1718)+($AB1718/$AA1718))</f>
        <v>37.5</v>
      </c>
      <c r="U1718" s="109" t="s">
        <v>767</v>
      </c>
      <c r="V1718" s="2" t="s">
        <v>741</v>
      </c>
      <c r="Y1718" s="2">
        <v>2.5</v>
      </c>
      <c r="Z1718" s="2">
        <v>7.5</v>
      </c>
      <c r="AA1718" s="2">
        <v>25</v>
      </c>
      <c r="AB1718" s="2">
        <v>75</v>
      </c>
      <c r="AC1718" s="2">
        <v>14</v>
      </c>
      <c r="AD1718" s="2">
        <v>25</v>
      </c>
      <c r="AE1718" s="2">
        <f>AC1718*AD1718</f>
        <v>350</v>
      </c>
      <c r="AF1718" s="2">
        <f>Z1718/Y1718</f>
        <v>3</v>
      </c>
      <c r="AG1718" s="2">
        <f>AA1718/Z1718</f>
        <v>3.3333333333333335</v>
      </c>
      <c r="AH1718" s="2">
        <f>AB1718/AA1718</f>
        <v>3</v>
      </c>
    </row>
    <row r="1719" spans="1:34">
      <c r="A1719" s="165" t="s">
        <v>1383</v>
      </c>
      <c r="B1719" s="39" t="s">
        <v>63</v>
      </c>
      <c r="C1719" s="41">
        <v>46214</v>
      </c>
      <c r="D1719" s="144">
        <v>0.79166666666666663</v>
      </c>
      <c r="E1719" s="43"/>
      <c r="F1719" s="8" t="s">
        <v>917</v>
      </c>
      <c r="G1719" s="2">
        <v>1</v>
      </c>
      <c r="H1719" s="2">
        <v>9</v>
      </c>
      <c r="I1719" s="81">
        <v>585</v>
      </c>
      <c r="J1719" s="2" t="s">
        <v>766</v>
      </c>
      <c r="K1719" s="88" t="s">
        <v>800</v>
      </c>
      <c r="L1719" s="92">
        <v>10000</v>
      </c>
      <c r="M1719" s="69">
        <v>20</v>
      </c>
      <c r="N1719" s="132" t="s">
        <v>821</v>
      </c>
      <c r="O1719" s="39" t="s">
        <v>49</v>
      </c>
      <c r="P1719" s="130"/>
      <c r="Q1719" s="19">
        <v>89</v>
      </c>
      <c r="R1719" s="59">
        <f>Q1719/I1719</f>
        <v>0.15213675213675212</v>
      </c>
      <c r="S1719" s="5">
        <v>29</v>
      </c>
      <c r="U1719" s="109" t="s">
        <v>767</v>
      </c>
      <c r="V1719" s="83" t="s">
        <v>362</v>
      </c>
      <c r="W1719" s="8" t="s">
        <v>368</v>
      </c>
      <c r="Y1719" s="175"/>
      <c r="Z1719" s="175"/>
      <c r="AA1719" s="175"/>
      <c r="AB1719" s="175"/>
      <c r="AC1719" s="175"/>
      <c r="AD1719" s="175"/>
      <c r="AE1719" s="175"/>
      <c r="AF1719" s="175"/>
      <c r="AG1719" s="175"/>
      <c r="AH1719" s="175"/>
    </row>
    <row r="1720" spans="1:34">
      <c r="A1720" s="165" t="s">
        <v>1383</v>
      </c>
      <c r="B1720" s="39" t="s">
        <v>63</v>
      </c>
      <c r="C1720" s="41">
        <v>46214</v>
      </c>
      <c r="D1720" s="144">
        <v>0.83333333333333337</v>
      </c>
      <c r="E1720" s="194"/>
      <c r="F1720" s="8" t="s">
        <v>1023</v>
      </c>
      <c r="G1720" s="2">
        <v>1</v>
      </c>
      <c r="H1720" s="2">
        <v>9</v>
      </c>
      <c r="I1720" s="45">
        <v>200</v>
      </c>
      <c r="J1720" s="2" t="s">
        <v>766</v>
      </c>
      <c r="K1720" s="88" t="s">
        <v>806</v>
      </c>
      <c r="L1720" s="92">
        <v>20000</v>
      </c>
      <c r="M1720" s="10">
        <v>20</v>
      </c>
      <c r="N1720" s="39" t="s">
        <v>817</v>
      </c>
      <c r="O1720" s="39" t="s">
        <v>49</v>
      </c>
      <c r="P1720" s="130"/>
      <c r="Q1720" s="19">
        <v>45</v>
      </c>
      <c r="R1720" s="15">
        <f>Q1720/I1720</f>
        <v>0.22500000000000001</v>
      </c>
      <c r="S1720" s="5">
        <v>23</v>
      </c>
      <c r="U1720" s="109" t="s">
        <v>129</v>
      </c>
      <c r="V1720" s="71" t="s">
        <v>360</v>
      </c>
      <c r="W1720" s="205"/>
      <c r="Y1720" s="175"/>
      <c r="Z1720" s="175"/>
      <c r="AA1720" s="175"/>
      <c r="AB1720" s="175"/>
      <c r="AC1720" s="175"/>
      <c r="AD1720" s="175"/>
      <c r="AE1720" s="175"/>
      <c r="AF1720" s="175"/>
      <c r="AG1720" s="175"/>
      <c r="AH1720" s="175"/>
    </row>
    <row r="1721" spans="1:34">
      <c r="A1721" s="165" t="s">
        <v>1383</v>
      </c>
      <c r="B1721" s="39" t="s">
        <v>63</v>
      </c>
      <c r="C1721" s="41">
        <v>46214</v>
      </c>
      <c r="D1721" s="144">
        <v>0.91666666666666663</v>
      </c>
      <c r="E1721" s="43"/>
      <c r="F1721" s="8" t="s">
        <v>909</v>
      </c>
      <c r="G1721" s="2">
        <v>1</v>
      </c>
      <c r="H1721" s="2">
        <v>9</v>
      </c>
      <c r="I1721" s="45">
        <v>135</v>
      </c>
      <c r="J1721" s="2" t="s">
        <v>766</v>
      </c>
      <c r="K1721" s="88" t="s">
        <v>813</v>
      </c>
      <c r="L1721" s="92">
        <v>10000</v>
      </c>
      <c r="M1721" s="69">
        <v>15</v>
      </c>
      <c r="N1721" s="132" t="s">
        <v>821</v>
      </c>
      <c r="O1721" s="39" t="s">
        <v>49</v>
      </c>
      <c r="P1721" s="130"/>
      <c r="Q1721" s="19">
        <v>35</v>
      </c>
      <c r="R1721" s="15">
        <f>Q1721/I1721</f>
        <v>0.25925925925925924</v>
      </c>
      <c r="S1721" s="5">
        <v>22</v>
      </c>
      <c r="U1721" s="109" t="s">
        <v>767</v>
      </c>
      <c r="V1721" s="71" t="s">
        <v>362</v>
      </c>
      <c r="W1721" s="8" t="s">
        <v>369</v>
      </c>
      <c r="Y1721" s="175"/>
      <c r="Z1721" s="175"/>
      <c r="AA1721" s="175"/>
      <c r="AB1721" s="175"/>
      <c r="AC1721" s="175"/>
      <c r="AD1721" s="175"/>
      <c r="AE1721" s="175"/>
      <c r="AF1721" s="175"/>
      <c r="AG1721" s="175"/>
      <c r="AH1721" s="175"/>
    </row>
    <row r="1722" spans="1:34">
      <c r="A1722" s="96" t="s">
        <v>461</v>
      </c>
      <c r="B1722" s="96" t="s">
        <v>462</v>
      </c>
      <c r="C1722" s="41">
        <v>46214</v>
      </c>
      <c r="D1722" s="42">
        <v>0.92361111111111116</v>
      </c>
      <c r="E1722" s="43"/>
      <c r="F1722" s="8" t="s">
        <v>459</v>
      </c>
      <c r="G1722" s="2">
        <v>1</v>
      </c>
      <c r="I1722" s="126">
        <v>120</v>
      </c>
      <c r="J1722" s="2" t="s">
        <v>766</v>
      </c>
      <c r="K1722" s="109" t="s">
        <v>602</v>
      </c>
      <c r="L1722" s="194">
        <v>20000</v>
      </c>
      <c r="M1722" s="69">
        <v>20</v>
      </c>
      <c r="N1722" s="39" t="s">
        <v>48</v>
      </c>
      <c r="O1722" s="39" t="s">
        <v>465</v>
      </c>
      <c r="P1722" s="197">
        <v>4000</v>
      </c>
      <c r="Q1722" s="2">
        <v>24</v>
      </c>
      <c r="R1722" s="15">
        <f>Q1722/I1722</f>
        <v>0.2</v>
      </c>
      <c r="S1722" s="149" t="s">
        <v>110</v>
      </c>
      <c r="T1722" s="149"/>
      <c r="U1722" s="109" t="s">
        <v>767</v>
      </c>
      <c r="V1722" s="2" t="s">
        <v>735</v>
      </c>
      <c r="AE1722" s="2">
        <f>AC1722*AD1722</f>
        <v>0</v>
      </c>
      <c r="AF1722" s="2" t="e">
        <f>Z1722/Y1722</f>
        <v>#DIV/0!</v>
      </c>
      <c r="AG1722" s="2" t="e">
        <f>AA1722/Z1722</f>
        <v>#DIV/0!</v>
      </c>
      <c r="AH1722" s="2" t="e">
        <f>AB1722/AA1722</f>
        <v>#DIV/0!</v>
      </c>
    </row>
    <row r="1723" spans="1:34">
      <c r="A1723" s="165" t="s">
        <v>1383</v>
      </c>
      <c r="B1723" s="36" t="s">
        <v>63</v>
      </c>
      <c r="C1723" s="41">
        <v>46214</v>
      </c>
      <c r="D1723" s="144" t="s">
        <v>117</v>
      </c>
      <c r="E1723" s="228">
        <v>88</v>
      </c>
      <c r="F1723" s="8" t="s">
        <v>1009</v>
      </c>
      <c r="G1723" s="2">
        <v>3</v>
      </c>
      <c r="H1723" s="2">
        <v>9</v>
      </c>
      <c r="I1723" s="45">
        <v>300</v>
      </c>
      <c r="J1723" s="2" t="s">
        <v>763</v>
      </c>
      <c r="K1723" s="109" t="s">
        <v>816</v>
      </c>
      <c r="L1723" s="92">
        <v>30000</v>
      </c>
      <c r="M1723" s="69" t="s">
        <v>22</v>
      </c>
      <c r="N1723" s="39" t="s">
        <v>48</v>
      </c>
      <c r="O1723" s="39" t="s">
        <v>49</v>
      </c>
      <c r="P1723" s="130"/>
      <c r="Q1723" s="19">
        <f>R1723*I1723</f>
        <v>0</v>
      </c>
      <c r="R1723" s="15">
        <v>0</v>
      </c>
      <c r="S1723" s="5">
        <f>($AC1723*$AD1723)/(($Z1723/$Y1723)+($AA1723/$Z1723)+($AB1723/$AA1723))</f>
        <v>62.448979591836739</v>
      </c>
      <c r="U1723" s="109" t="s">
        <v>767</v>
      </c>
      <c r="V1723" s="2" t="s">
        <v>121</v>
      </c>
      <c r="W1723" s="205"/>
      <c r="Y1723" s="2">
        <v>2</v>
      </c>
      <c r="Z1723" s="2">
        <v>5</v>
      </c>
      <c r="AA1723" s="2">
        <v>15</v>
      </c>
      <c r="AB1723" s="2">
        <v>40</v>
      </c>
      <c r="AC1723" s="2">
        <v>30</v>
      </c>
      <c r="AD1723" s="2">
        <v>17</v>
      </c>
      <c r="AE1723" s="2">
        <f>AC1723*AD1723</f>
        <v>510</v>
      </c>
      <c r="AF1723" s="2">
        <f>Z1723/Y1723</f>
        <v>2.5</v>
      </c>
      <c r="AG1723" s="2">
        <f>AA1723/Z1723</f>
        <v>3</v>
      </c>
      <c r="AH1723" s="2">
        <f>AB1723/AA1723</f>
        <v>2.6666666666666665</v>
      </c>
    </row>
    <row r="1724" spans="1:34">
      <c r="A1724" s="165" t="s">
        <v>1383</v>
      </c>
      <c r="B1724" s="36" t="s">
        <v>63</v>
      </c>
      <c r="C1724" s="173">
        <v>46214</v>
      </c>
      <c r="D1724" s="144" t="s">
        <v>120</v>
      </c>
      <c r="E1724" s="35">
        <v>82</v>
      </c>
      <c r="F1724" s="8" t="s">
        <v>1159</v>
      </c>
      <c r="G1724" s="2">
        <v>8</v>
      </c>
      <c r="H1724" s="2">
        <v>9</v>
      </c>
      <c r="I1724" s="45">
        <v>10000</v>
      </c>
      <c r="J1724" s="2" t="s">
        <v>110</v>
      </c>
      <c r="K1724" s="109" t="s">
        <v>737</v>
      </c>
      <c r="L1724" s="92">
        <v>60000</v>
      </c>
      <c r="M1724" s="69">
        <v>120</v>
      </c>
      <c r="N1724" s="39" t="s">
        <v>48</v>
      </c>
      <c r="O1724" s="39" t="s">
        <v>49</v>
      </c>
      <c r="P1724" s="130"/>
      <c r="Q1724" s="19">
        <f>R1724*I1724</f>
        <v>700.00000000000011</v>
      </c>
      <c r="R1724" s="15">
        <v>7.0000000000000007E-2</v>
      </c>
      <c r="S1724" s="5">
        <f>($AC1724*$AD1724)/(($Z1724/$Y1724)+($AA1724/$Z1724)+($AB1724/$AA1724))</f>
        <v>340.18691588785049</v>
      </c>
      <c r="U1724" s="109" t="s">
        <v>853</v>
      </c>
      <c r="V1724" s="205" t="s">
        <v>121</v>
      </c>
      <c r="Y1724" s="2">
        <v>2</v>
      </c>
      <c r="Z1724" s="2">
        <v>5</v>
      </c>
      <c r="AA1724" s="2">
        <v>13</v>
      </c>
      <c r="AB1724" s="2">
        <v>30</v>
      </c>
      <c r="AC1724" s="2">
        <v>120</v>
      </c>
      <c r="AD1724" s="2">
        <v>21</v>
      </c>
      <c r="AE1724" s="2">
        <f>AC1724*AD1724</f>
        <v>2520</v>
      </c>
      <c r="AF1724" s="2">
        <f>Z1724/Y1724</f>
        <v>2.5</v>
      </c>
      <c r="AG1724" s="2">
        <f>AA1724/Z1724</f>
        <v>2.6</v>
      </c>
      <c r="AH1724" s="2">
        <f>AB1724/AA1724</f>
        <v>2.3076923076923075</v>
      </c>
    </row>
    <row r="1725" spans="1:34">
      <c r="A1725" s="165" t="s">
        <v>1383</v>
      </c>
      <c r="B1725" s="36" t="s">
        <v>63</v>
      </c>
      <c r="C1725" s="173">
        <v>46214</v>
      </c>
      <c r="D1725" s="144" t="s">
        <v>115</v>
      </c>
      <c r="E1725" s="35">
        <v>89</v>
      </c>
      <c r="F1725" s="8" t="s">
        <v>1180</v>
      </c>
      <c r="G1725" s="2">
        <v>4</v>
      </c>
      <c r="H1725" s="2">
        <v>9</v>
      </c>
      <c r="I1725" s="45">
        <v>3000</v>
      </c>
      <c r="J1725" s="2" t="s">
        <v>761</v>
      </c>
      <c r="K1725" s="109" t="s">
        <v>816</v>
      </c>
      <c r="L1725" s="92">
        <v>40000</v>
      </c>
      <c r="M1725" s="69">
        <v>60</v>
      </c>
      <c r="N1725" s="39" t="s">
        <v>48</v>
      </c>
      <c r="O1725" s="39" t="s">
        <v>49</v>
      </c>
      <c r="P1725" s="130"/>
      <c r="Q1725" s="19">
        <f>R1725*I1725</f>
        <v>330</v>
      </c>
      <c r="R1725" s="15">
        <v>0.11</v>
      </c>
      <c r="S1725" s="5">
        <f>($AC1725*$AD1725)/(($Z1725/$Y1725)+($AA1725/$Z1725)+($AB1725/$AA1725))</f>
        <v>153.89408099688475</v>
      </c>
      <c r="U1725" s="109" t="s">
        <v>767</v>
      </c>
      <c r="V1725" s="205" t="s">
        <v>121</v>
      </c>
      <c r="Y1725" s="2">
        <v>2</v>
      </c>
      <c r="Z1725" s="2">
        <v>5</v>
      </c>
      <c r="AA1725" s="2">
        <v>13</v>
      </c>
      <c r="AB1725" s="2">
        <v>30</v>
      </c>
      <c r="AC1725" s="2">
        <v>60</v>
      </c>
      <c r="AD1725" s="2">
        <v>19</v>
      </c>
      <c r="AE1725" s="2">
        <f>AC1725*AD1725</f>
        <v>1140</v>
      </c>
      <c r="AF1725" s="2">
        <f>Z1725/Y1725</f>
        <v>2.5</v>
      </c>
      <c r="AG1725" s="2">
        <f>AA1725/Z1725</f>
        <v>2.6</v>
      </c>
      <c r="AH1725" s="2">
        <f>AB1725/AA1725</f>
        <v>2.3076923076923075</v>
      </c>
    </row>
    <row r="1726" spans="1:34">
      <c r="A1726" s="165" t="s">
        <v>1383</v>
      </c>
      <c r="B1726" s="36" t="s">
        <v>63</v>
      </c>
      <c r="C1726" s="41">
        <v>46214</v>
      </c>
      <c r="D1726" s="144" t="s">
        <v>115</v>
      </c>
      <c r="E1726" s="228">
        <v>93</v>
      </c>
      <c r="F1726" s="8" t="s">
        <v>1014</v>
      </c>
      <c r="G1726" s="2">
        <v>2</v>
      </c>
      <c r="H1726" s="2">
        <v>9</v>
      </c>
      <c r="I1726" s="45">
        <v>1500</v>
      </c>
      <c r="J1726" s="2" t="s">
        <v>766</v>
      </c>
      <c r="K1726" s="109" t="s">
        <v>601</v>
      </c>
      <c r="L1726" s="92">
        <v>50000</v>
      </c>
      <c r="M1726" s="69">
        <v>30</v>
      </c>
      <c r="N1726" s="39" t="s">
        <v>48</v>
      </c>
      <c r="O1726" s="39" t="s">
        <v>49</v>
      </c>
      <c r="P1726" s="130"/>
      <c r="Q1726" s="19">
        <f>R1726*I1726</f>
        <v>172.5</v>
      </c>
      <c r="R1726" s="15">
        <v>0.115</v>
      </c>
      <c r="S1726" s="5">
        <f>($AC1726*$AD1726)/(($Z1726/$Y1726)+($AA1726/$Z1726)+($AB1726/$AA1726))</f>
        <v>82.173913043478265</v>
      </c>
      <c r="U1726" s="109" t="s">
        <v>767</v>
      </c>
      <c r="V1726" s="205" t="s">
        <v>121</v>
      </c>
      <c r="W1726" s="205"/>
      <c r="Y1726" s="2">
        <v>1.5</v>
      </c>
      <c r="Z1726" s="2">
        <v>4</v>
      </c>
      <c r="AA1726" s="2">
        <v>10</v>
      </c>
      <c r="AB1726" s="2">
        <v>25</v>
      </c>
      <c r="AC1726" s="2">
        <v>30</v>
      </c>
      <c r="AD1726" s="2">
        <v>21</v>
      </c>
      <c r="AE1726" s="2">
        <f>AC1726*AD1726</f>
        <v>630</v>
      </c>
      <c r="AF1726" s="2">
        <f>Z1726/Y1726</f>
        <v>2.6666666666666665</v>
      </c>
      <c r="AG1726" s="2">
        <f>AA1726/Z1726</f>
        <v>2.5</v>
      </c>
      <c r="AH1726" s="2">
        <f>AB1726/AA1726</f>
        <v>2.5</v>
      </c>
    </row>
    <row r="1727" spans="1:34">
      <c r="A1727" s="165" t="s">
        <v>1383</v>
      </c>
      <c r="B1727" s="36" t="s">
        <v>63</v>
      </c>
      <c r="C1727" s="41">
        <v>46214</v>
      </c>
      <c r="D1727" s="144" t="s">
        <v>116</v>
      </c>
      <c r="E1727" s="194">
        <v>94</v>
      </c>
      <c r="F1727" s="8" t="s">
        <v>1016</v>
      </c>
      <c r="G1727" s="2">
        <v>3</v>
      </c>
      <c r="H1727" s="2">
        <v>6</v>
      </c>
      <c r="I1727" s="45">
        <v>10000</v>
      </c>
      <c r="J1727" s="2" t="s">
        <v>110</v>
      </c>
      <c r="K1727" s="109" t="s">
        <v>601</v>
      </c>
      <c r="L1727" s="92">
        <v>60000</v>
      </c>
      <c r="M1727" s="69">
        <v>60</v>
      </c>
      <c r="N1727" s="39" t="s">
        <v>48</v>
      </c>
      <c r="O1727" s="39" t="s">
        <v>49</v>
      </c>
      <c r="P1727" s="130"/>
      <c r="Q1727" s="19">
        <f>R1727*I1727</f>
        <v>700.00000000000011</v>
      </c>
      <c r="R1727" s="15">
        <v>7.0000000000000007E-2</v>
      </c>
      <c r="S1727" s="5">
        <f>($AC1727*$AD1727)/(($Z1727/$Y1727)+($AA1727/$Z1727)+($AB1727/$AA1727))</f>
        <v>170.09345794392524</v>
      </c>
      <c r="U1727" s="109" t="s">
        <v>375</v>
      </c>
      <c r="V1727" s="205" t="s">
        <v>121</v>
      </c>
      <c r="W1727" s="205"/>
      <c r="Y1727" s="2">
        <v>2</v>
      </c>
      <c r="Z1727" s="2">
        <v>5</v>
      </c>
      <c r="AA1727" s="2">
        <v>13</v>
      </c>
      <c r="AB1727" s="2">
        <v>30</v>
      </c>
      <c r="AC1727" s="2">
        <v>60</v>
      </c>
      <c r="AD1727" s="2">
        <v>21</v>
      </c>
      <c r="AE1727" s="2">
        <f>AC1727*AD1727</f>
        <v>1260</v>
      </c>
      <c r="AF1727" s="2">
        <f>Z1727/Y1727</f>
        <v>2.5</v>
      </c>
      <c r="AG1727" s="2">
        <f>AA1727/Z1727</f>
        <v>2.6</v>
      </c>
      <c r="AH1727" s="2">
        <f>AB1727/AA1727</f>
        <v>2.3076923076923075</v>
      </c>
    </row>
    <row r="1728" spans="1:34">
      <c r="A1728" s="165" t="s">
        <v>1383</v>
      </c>
      <c r="B1728" s="36" t="s">
        <v>63</v>
      </c>
      <c r="C1728" s="41">
        <v>46214</v>
      </c>
      <c r="D1728" s="144" t="s">
        <v>876</v>
      </c>
      <c r="E1728" s="194">
        <v>90</v>
      </c>
      <c r="F1728" s="8" t="s">
        <v>1284</v>
      </c>
      <c r="G1728" s="2">
        <v>3</v>
      </c>
      <c r="H1728" s="2">
        <v>8</v>
      </c>
      <c r="I1728" s="45">
        <v>50000</v>
      </c>
      <c r="J1728" s="2" t="s">
        <v>760</v>
      </c>
      <c r="K1728" s="109" t="s">
        <v>815</v>
      </c>
      <c r="L1728" s="89">
        <v>300000</v>
      </c>
      <c r="M1728" s="202">
        <v>60</v>
      </c>
      <c r="N1728" s="39" t="s">
        <v>48</v>
      </c>
      <c r="O1728" s="39" t="s">
        <v>49</v>
      </c>
      <c r="P1728" s="130"/>
      <c r="Q1728" s="19">
        <f>R1728*I1728</f>
        <v>2500</v>
      </c>
      <c r="R1728" s="15">
        <v>0.05</v>
      </c>
      <c r="S1728" s="5">
        <f>($AC1728*$AD1728)/(($Z1728/$Y1728)+($AA1728/$Z1728)+($AB1728/$AA1728))</f>
        <v>182.60869565217391</v>
      </c>
      <c r="U1728" s="109" t="s">
        <v>767</v>
      </c>
      <c r="V1728" s="2" t="s">
        <v>121</v>
      </c>
      <c r="W1728" s="205"/>
      <c r="Y1728" s="2">
        <v>12.5</v>
      </c>
      <c r="Z1728" s="2">
        <v>30</v>
      </c>
      <c r="AA1728" s="2">
        <v>60</v>
      </c>
      <c r="AB1728" s="2">
        <v>150</v>
      </c>
      <c r="AC1728" s="2">
        <v>60</v>
      </c>
      <c r="AD1728" s="2">
        <v>21</v>
      </c>
      <c r="AE1728" s="2">
        <f>AC1728*AD1728</f>
        <v>1260</v>
      </c>
      <c r="AF1728" s="2">
        <f>Z1728/Y1728</f>
        <v>2.4</v>
      </c>
      <c r="AG1728" s="2">
        <f>AA1728/Z1728</f>
        <v>2</v>
      </c>
      <c r="AH1728" s="2">
        <f>AB1728/AA1728</f>
        <v>2.5</v>
      </c>
    </row>
    <row r="1729" spans="1:34">
      <c r="A1729" s="165" t="s">
        <v>1383</v>
      </c>
      <c r="B1729" s="36" t="s">
        <v>63</v>
      </c>
      <c r="C1729" s="41">
        <v>46214</v>
      </c>
      <c r="D1729" s="144" t="s">
        <v>876</v>
      </c>
      <c r="E1729" s="194">
        <v>91</v>
      </c>
      <c r="F1729" s="8" t="s">
        <v>1230</v>
      </c>
      <c r="G1729" s="2">
        <v>3</v>
      </c>
      <c r="H1729" s="2">
        <v>8</v>
      </c>
      <c r="I1729" s="45">
        <v>1500</v>
      </c>
      <c r="J1729" s="2" t="s">
        <v>762</v>
      </c>
      <c r="K1729" s="109" t="s">
        <v>598</v>
      </c>
      <c r="L1729" s="89">
        <v>25000</v>
      </c>
      <c r="M1729" s="202" t="s">
        <v>97</v>
      </c>
      <c r="N1729" s="39" t="s">
        <v>48</v>
      </c>
      <c r="O1729" s="39" t="s">
        <v>57</v>
      </c>
      <c r="P1729" s="66"/>
      <c r="Q1729" s="38">
        <f>R1729*I1729</f>
        <v>172.5</v>
      </c>
      <c r="R1729" s="15">
        <v>0.115</v>
      </c>
      <c r="S1729" s="149" t="s">
        <v>110</v>
      </c>
      <c r="T1729" s="149"/>
      <c r="U1729" s="109" t="s">
        <v>767</v>
      </c>
      <c r="V1729" s="2" t="s">
        <v>121</v>
      </c>
      <c r="W1729" s="205"/>
      <c r="AE1729" s="2">
        <f>AC1729*AD1729</f>
        <v>0</v>
      </c>
      <c r="AF1729" s="2" t="e">
        <f>Z1729/Y1729</f>
        <v>#DIV/0!</v>
      </c>
      <c r="AG1729" s="2" t="e">
        <f>AA1729/Z1729</f>
        <v>#DIV/0!</v>
      </c>
      <c r="AH1729" s="2" t="e">
        <f>AB1729/AA1729</f>
        <v>#DIV/0!</v>
      </c>
    </row>
    <row r="1730" spans="1:34">
      <c r="A1730" s="96" t="s">
        <v>461</v>
      </c>
      <c r="B1730" s="96" t="s">
        <v>462</v>
      </c>
      <c r="C1730" s="41">
        <v>46215</v>
      </c>
      <c r="D1730" s="42">
        <v>0.4236111111111111</v>
      </c>
      <c r="E1730" s="43"/>
      <c r="F1730" s="8" t="s">
        <v>457</v>
      </c>
      <c r="G1730" s="2">
        <v>1</v>
      </c>
      <c r="I1730" s="126">
        <v>120</v>
      </c>
      <c r="J1730" s="2" t="s">
        <v>766</v>
      </c>
      <c r="K1730" s="109" t="s">
        <v>602</v>
      </c>
      <c r="L1730" s="194">
        <v>20000</v>
      </c>
      <c r="M1730" s="69">
        <v>20</v>
      </c>
      <c r="N1730" s="39" t="s">
        <v>48</v>
      </c>
      <c r="O1730" s="39" t="s">
        <v>49</v>
      </c>
      <c r="P1730" s="211" t="s">
        <v>832</v>
      </c>
      <c r="Q1730" s="19">
        <v>24</v>
      </c>
      <c r="R1730" s="15">
        <f>Q1730/I1730</f>
        <v>0.2</v>
      </c>
      <c r="S1730" s="5">
        <f>($AC1730*$AD1730)/(($Z1730/$Y1730)+($AA1730/$Z1730)+($AB1730/$AA1730))</f>
        <v>25.161290322580644</v>
      </c>
      <c r="U1730" s="109" t="s">
        <v>767</v>
      </c>
      <c r="V1730" s="205" t="s">
        <v>735</v>
      </c>
      <c r="Y1730" s="2">
        <v>2.5</v>
      </c>
      <c r="Z1730" s="2">
        <v>7.5</v>
      </c>
      <c r="AA1730" s="2">
        <v>30</v>
      </c>
      <c r="AB1730" s="2">
        <v>100</v>
      </c>
      <c r="AC1730" s="2">
        <v>13</v>
      </c>
      <c r="AD1730" s="2">
        <v>20</v>
      </c>
      <c r="AE1730" s="2">
        <f>AC1730*AD1730</f>
        <v>260</v>
      </c>
      <c r="AF1730" s="2">
        <f>Z1730/Y1730</f>
        <v>3</v>
      </c>
      <c r="AG1730" s="2">
        <f>AA1730/Z1730</f>
        <v>4</v>
      </c>
      <c r="AH1730" s="2">
        <f>AB1730/AA1730</f>
        <v>3.3333333333333335</v>
      </c>
    </row>
    <row r="1731" spans="1:34">
      <c r="A1731" s="95" t="s">
        <v>447</v>
      </c>
      <c r="B1731" s="95" t="s">
        <v>448</v>
      </c>
      <c r="C1731" s="190">
        <v>46215</v>
      </c>
      <c r="D1731" s="42">
        <v>0.45833333333333331</v>
      </c>
      <c r="E1731" s="43"/>
      <c r="F1731" s="8" t="s">
        <v>405</v>
      </c>
      <c r="G1731" s="2">
        <v>1</v>
      </c>
      <c r="H1731" s="2">
        <v>9</v>
      </c>
      <c r="I1731" s="126">
        <v>800</v>
      </c>
      <c r="J1731" s="2" t="s">
        <v>766</v>
      </c>
      <c r="K1731" s="109" t="s">
        <v>602</v>
      </c>
      <c r="L1731" s="8">
        <v>30000</v>
      </c>
      <c r="M1731" s="8">
        <v>30</v>
      </c>
      <c r="N1731" s="39" t="s">
        <v>48</v>
      </c>
      <c r="O1731" s="39" t="s">
        <v>49</v>
      </c>
      <c r="P1731" s="140" t="s">
        <v>838</v>
      </c>
      <c r="Q1731" s="19">
        <v>100</v>
      </c>
      <c r="R1731" s="15">
        <f>Q1731/I1731</f>
        <v>0.125</v>
      </c>
      <c r="S1731" s="5">
        <f>($AC1731*$AD1731)/(($Z1731/$Y1731)+($AA1731/$Z1731)+($AB1731/$AA1731))</f>
        <v>72.897196261682254</v>
      </c>
      <c r="U1731" s="109" t="s">
        <v>767</v>
      </c>
      <c r="V1731" s="205" t="s">
        <v>741</v>
      </c>
      <c r="W1731" s="205"/>
      <c r="Y1731" s="2">
        <v>2</v>
      </c>
      <c r="Z1731" s="2">
        <v>5</v>
      </c>
      <c r="AA1731" s="2">
        <v>13</v>
      </c>
      <c r="AB1731" s="2">
        <v>30</v>
      </c>
      <c r="AC1731" s="2">
        <v>18</v>
      </c>
      <c r="AD1731" s="2">
        <v>30</v>
      </c>
      <c r="AE1731" s="2">
        <f>AC1731*AD1731</f>
        <v>540</v>
      </c>
      <c r="AF1731" s="2">
        <f>Z1731/Y1731</f>
        <v>2.5</v>
      </c>
      <c r="AG1731" s="2">
        <f>AA1731/Z1731</f>
        <v>2.6</v>
      </c>
      <c r="AH1731" s="2">
        <f>AB1731/AA1731</f>
        <v>2.3076923076923075</v>
      </c>
    </row>
    <row r="1732" spans="1:34">
      <c r="A1732" s="165" t="s">
        <v>1383</v>
      </c>
      <c r="B1732" s="36" t="s">
        <v>63</v>
      </c>
      <c r="C1732" s="41">
        <v>46215</v>
      </c>
      <c r="D1732" s="144">
        <v>0.45833333333333331</v>
      </c>
      <c r="E1732" s="35">
        <v>88</v>
      </c>
      <c r="F1732" s="8" t="s">
        <v>1184</v>
      </c>
      <c r="G1732" s="2">
        <v>3</v>
      </c>
      <c r="H1732" s="2">
        <v>9</v>
      </c>
      <c r="I1732" s="45">
        <v>300</v>
      </c>
      <c r="J1732" s="2" t="s">
        <v>763</v>
      </c>
      <c r="K1732" s="109" t="s">
        <v>816</v>
      </c>
      <c r="L1732" s="89">
        <v>30000</v>
      </c>
      <c r="M1732" s="54" t="s">
        <v>22</v>
      </c>
      <c r="N1732" s="39" t="s">
        <v>48</v>
      </c>
      <c r="O1732" s="39" t="s">
        <v>49</v>
      </c>
      <c r="P1732" s="130"/>
      <c r="Q1732" s="19">
        <f>R1732*I1732</f>
        <v>0</v>
      </c>
      <c r="R1732" s="15">
        <v>0</v>
      </c>
      <c r="S1732" s="5">
        <f>($AC1732*$AD1732)/(($Z1732/$Y1732)+($AA1732/$Z1732)+($AB1732/$AA1732))</f>
        <v>62.448979591836739</v>
      </c>
      <c r="U1732" s="109" t="s">
        <v>767</v>
      </c>
      <c r="V1732" s="205" t="s">
        <v>121</v>
      </c>
      <c r="Y1732" s="2">
        <v>2</v>
      </c>
      <c r="Z1732" s="2">
        <v>5</v>
      </c>
      <c r="AA1732" s="2">
        <v>15</v>
      </c>
      <c r="AB1732" s="2">
        <v>40</v>
      </c>
      <c r="AC1732" s="2">
        <v>30</v>
      </c>
      <c r="AD1732" s="2">
        <v>17</v>
      </c>
      <c r="AE1732" s="2">
        <f>AC1732*AD1732</f>
        <v>510</v>
      </c>
      <c r="AF1732" s="2">
        <f>Z1732/Y1732</f>
        <v>2.5</v>
      </c>
      <c r="AG1732" s="2">
        <f>AA1732/Z1732</f>
        <v>3</v>
      </c>
      <c r="AH1732" s="2">
        <f>AB1732/AA1732</f>
        <v>2.6666666666666665</v>
      </c>
    </row>
    <row r="1733" spans="1:34">
      <c r="A1733" s="52" t="s">
        <v>229</v>
      </c>
      <c r="B1733" s="52" t="s">
        <v>230</v>
      </c>
      <c r="C1733" s="190">
        <v>46215</v>
      </c>
      <c r="D1733" s="42">
        <v>0.45833333333333331</v>
      </c>
      <c r="E1733" s="43"/>
      <c r="F1733" s="8" t="s">
        <v>245</v>
      </c>
      <c r="G1733" s="2">
        <v>1</v>
      </c>
      <c r="I1733" s="126">
        <v>300</v>
      </c>
      <c r="J1733" s="2" t="s">
        <v>766</v>
      </c>
      <c r="K1733" s="88" t="s">
        <v>788</v>
      </c>
      <c r="L1733" s="90">
        <v>25000</v>
      </c>
      <c r="M1733" s="8">
        <v>30</v>
      </c>
      <c r="N1733" s="39" t="s">
        <v>48</v>
      </c>
      <c r="O1733" s="39" t="s">
        <v>49</v>
      </c>
      <c r="P1733" s="140" t="s">
        <v>838</v>
      </c>
      <c r="Q1733" s="19">
        <v>60</v>
      </c>
      <c r="R1733" s="15">
        <f>IF(Q1733&gt;0,Q1733/I1733,"")</f>
        <v>0.2</v>
      </c>
      <c r="S1733" s="5">
        <f>($AC1733*$AD1733)/(($Z1733/$Y1733)+($AA1733/$Z1733)+($AB1733/$AA1733))</f>
        <v>80.996884735202499</v>
      </c>
      <c r="U1733" s="109" t="s">
        <v>767</v>
      </c>
      <c r="V1733" s="205" t="s">
        <v>719</v>
      </c>
      <c r="W1733" s="205"/>
      <c r="Y1733" s="2">
        <v>2</v>
      </c>
      <c r="Z1733" s="2">
        <v>5</v>
      </c>
      <c r="AA1733" s="2">
        <v>13</v>
      </c>
      <c r="AB1733" s="2">
        <v>30</v>
      </c>
      <c r="AC1733" s="2">
        <v>30</v>
      </c>
      <c r="AD1733" s="2">
        <v>20</v>
      </c>
      <c r="AE1733" s="2">
        <f>AC1733*AD1733</f>
        <v>600</v>
      </c>
      <c r="AF1733" s="2">
        <f>Z1733/Y1733</f>
        <v>2.5</v>
      </c>
      <c r="AG1733" s="2">
        <f>AA1733/Z1733</f>
        <v>2.6</v>
      </c>
      <c r="AH1733" s="2">
        <f>AB1733/AA1733</f>
        <v>2.3076923076923075</v>
      </c>
    </row>
    <row r="1734" spans="1:34">
      <c r="A1734" s="52" t="s">
        <v>220</v>
      </c>
      <c r="B1734" s="52" t="s">
        <v>221</v>
      </c>
      <c r="C1734" s="191">
        <v>46215</v>
      </c>
      <c r="D1734" s="42">
        <v>0.5</v>
      </c>
      <c r="E1734" s="43"/>
      <c r="F1734" s="8" t="s">
        <v>1053</v>
      </c>
      <c r="G1734" s="2">
        <v>1</v>
      </c>
      <c r="H1734" s="2">
        <v>9</v>
      </c>
      <c r="I1734" s="126">
        <v>600</v>
      </c>
      <c r="J1734" s="2" t="s">
        <v>766</v>
      </c>
      <c r="K1734" s="88" t="s">
        <v>780</v>
      </c>
      <c r="L1734" s="90">
        <v>30000</v>
      </c>
      <c r="M1734" s="64">
        <v>30</v>
      </c>
      <c r="N1734" s="39" t="s">
        <v>48</v>
      </c>
      <c r="O1734" s="39" t="s">
        <v>49</v>
      </c>
      <c r="P1734" s="140" t="s">
        <v>837</v>
      </c>
      <c r="Q1734" s="19">
        <v>85</v>
      </c>
      <c r="R1734" s="15">
        <f>Q1734/I1734</f>
        <v>0.14166666666666666</v>
      </c>
      <c r="S1734" s="5">
        <f>($AC1734*$AD1734)/(($Z1734/$Y1734)+($AA1734/$Z1734)+($AB1734/$AA1734))</f>
        <v>62.448979591836739</v>
      </c>
      <c r="U1734" s="109" t="s">
        <v>767</v>
      </c>
      <c r="V1734" s="2" t="s">
        <v>738</v>
      </c>
      <c r="W1734" s="205"/>
      <c r="Y1734" s="2">
        <v>2</v>
      </c>
      <c r="Z1734" s="2">
        <v>5</v>
      </c>
      <c r="AA1734" s="2">
        <v>15</v>
      </c>
      <c r="AB1734" s="2">
        <v>40</v>
      </c>
      <c r="AC1734" s="2">
        <v>17</v>
      </c>
      <c r="AD1734" s="2">
        <v>30</v>
      </c>
      <c r="AE1734" s="2">
        <f>AC1734*AD1734</f>
        <v>510</v>
      </c>
      <c r="AF1734" s="2">
        <f>Z1734/Y1734</f>
        <v>2.5</v>
      </c>
      <c r="AG1734" s="2">
        <f>AA1734/Z1734</f>
        <v>3</v>
      </c>
      <c r="AH1734" s="2">
        <f>AB1734/AA1734</f>
        <v>2.6666666666666665</v>
      </c>
    </row>
    <row r="1735" spans="1:34">
      <c r="A1735" s="68" t="s">
        <v>357</v>
      </c>
      <c r="B1735" s="68" t="s">
        <v>358</v>
      </c>
      <c r="C1735" s="191">
        <v>46215</v>
      </c>
      <c r="D1735" s="42">
        <v>0.50694444444444442</v>
      </c>
      <c r="E1735" s="194">
        <v>87</v>
      </c>
      <c r="F1735" s="63" t="s">
        <v>335</v>
      </c>
      <c r="G1735" s="2">
        <v>2</v>
      </c>
      <c r="H1735" s="2">
        <v>9</v>
      </c>
      <c r="I1735" s="126">
        <v>1100</v>
      </c>
      <c r="J1735" s="2" t="s">
        <v>766</v>
      </c>
      <c r="K1735" s="137" t="s">
        <v>598</v>
      </c>
      <c r="L1735" s="89">
        <v>40000</v>
      </c>
      <c r="M1735" s="202">
        <v>40</v>
      </c>
      <c r="N1735" s="39" t="s">
        <v>48</v>
      </c>
      <c r="O1735" s="39" t="s">
        <v>49</v>
      </c>
      <c r="P1735" s="211" t="s">
        <v>848</v>
      </c>
      <c r="Q1735" s="19">
        <v>140</v>
      </c>
      <c r="R1735" s="15">
        <f>Q1735/I1735</f>
        <v>0.12727272727272726</v>
      </c>
      <c r="S1735" s="5">
        <f>($AC1735*$AD1735)/(($Z1735/$Y1735)+($AA1735/$Z1735)+($AB1735/$AA1735))</f>
        <v>102.59605399792316</v>
      </c>
      <c r="U1735" s="109" t="s">
        <v>767</v>
      </c>
      <c r="V1735" s="205" t="s">
        <v>703</v>
      </c>
      <c r="W1735" s="205"/>
      <c r="Y1735" s="2">
        <v>2</v>
      </c>
      <c r="Z1735" s="2">
        <v>5</v>
      </c>
      <c r="AA1735" s="2">
        <v>13</v>
      </c>
      <c r="AB1735" s="2">
        <v>30</v>
      </c>
      <c r="AC1735" s="2">
        <v>40</v>
      </c>
      <c r="AD1735" s="2">
        <v>19</v>
      </c>
      <c r="AE1735" s="2">
        <f>AC1735*AD1735</f>
        <v>760</v>
      </c>
      <c r="AF1735" s="2">
        <f>Z1735/Y1735</f>
        <v>2.5</v>
      </c>
      <c r="AG1735" s="2">
        <f>AA1735/Z1735</f>
        <v>2.6</v>
      </c>
      <c r="AH1735" s="2">
        <f>AB1735/AA1735</f>
        <v>2.3076923076923075</v>
      </c>
    </row>
    <row r="1736" spans="1:34">
      <c r="A1736" s="165" t="s">
        <v>1383</v>
      </c>
      <c r="B1736" s="36" t="s">
        <v>63</v>
      </c>
      <c r="C1736" s="41">
        <v>46215</v>
      </c>
      <c r="D1736" s="144">
        <v>0.54166666666666663</v>
      </c>
      <c r="E1736" s="194">
        <v>94</v>
      </c>
      <c r="F1736" s="8" t="s">
        <v>1147</v>
      </c>
      <c r="G1736" s="2">
        <v>3</v>
      </c>
      <c r="H1736" s="2">
        <v>6</v>
      </c>
      <c r="I1736" s="45">
        <v>10000</v>
      </c>
      <c r="J1736" s="2" t="s">
        <v>110</v>
      </c>
      <c r="K1736" s="109" t="s">
        <v>601</v>
      </c>
      <c r="L1736" s="89">
        <v>60000</v>
      </c>
      <c r="M1736" s="54">
        <v>60</v>
      </c>
      <c r="N1736" s="39" t="s">
        <v>48</v>
      </c>
      <c r="O1736" s="39" t="s">
        <v>49</v>
      </c>
      <c r="P1736" s="130"/>
      <c r="Q1736" s="19">
        <f>R1736*I1736</f>
        <v>700.00000000000011</v>
      </c>
      <c r="R1736" s="15">
        <v>7.0000000000000007E-2</v>
      </c>
      <c r="S1736" s="5">
        <f>($AC1736*$AD1736)/(($Z1736/$Y1736)+($AA1736/$Z1736)+($AB1736/$AA1736))</f>
        <v>170.09345794392524</v>
      </c>
      <c r="U1736" s="109" t="s">
        <v>375</v>
      </c>
      <c r="V1736" s="205" t="s">
        <v>121</v>
      </c>
      <c r="W1736" s="205"/>
      <c r="Y1736" s="2">
        <v>2</v>
      </c>
      <c r="Z1736" s="2">
        <v>5</v>
      </c>
      <c r="AA1736" s="2">
        <v>13</v>
      </c>
      <c r="AB1736" s="2">
        <v>30</v>
      </c>
      <c r="AC1736" s="2">
        <v>60</v>
      </c>
      <c r="AD1736" s="2">
        <v>21</v>
      </c>
      <c r="AE1736" s="2">
        <f>AC1736*AD1736</f>
        <v>1260</v>
      </c>
      <c r="AF1736" s="2">
        <f>Z1736/Y1736</f>
        <v>2.5</v>
      </c>
      <c r="AG1736" s="2">
        <f>AA1736/Z1736</f>
        <v>2.6</v>
      </c>
      <c r="AH1736" s="2">
        <f>AB1736/AA1736</f>
        <v>2.3076923076923075</v>
      </c>
    </row>
    <row r="1737" spans="1:34">
      <c r="A1737" s="165" t="s">
        <v>1383</v>
      </c>
      <c r="B1737" s="39" t="s">
        <v>63</v>
      </c>
      <c r="C1737" s="41">
        <v>46215</v>
      </c>
      <c r="D1737" s="144">
        <v>0.54166666666666663</v>
      </c>
      <c r="E1737" s="194"/>
      <c r="F1737" s="8" t="s">
        <v>881</v>
      </c>
      <c r="G1737" s="2">
        <v>1</v>
      </c>
      <c r="H1737" s="2">
        <v>9</v>
      </c>
      <c r="I1737" s="45">
        <v>250</v>
      </c>
      <c r="J1737" s="2" t="s">
        <v>766</v>
      </c>
      <c r="K1737" s="88" t="s">
        <v>787</v>
      </c>
      <c r="L1737" s="89">
        <v>25000</v>
      </c>
      <c r="M1737" s="205">
        <v>30</v>
      </c>
      <c r="N1737" s="39" t="s">
        <v>817</v>
      </c>
      <c r="O1737" s="39" t="s">
        <v>49</v>
      </c>
      <c r="P1737" s="130"/>
      <c r="Q1737" s="19">
        <v>50</v>
      </c>
      <c r="R1737" s="15">
        <f>Q1737/I1737</f>
        <v>0.2</v>
      </c>
      <c r="S1737" s="5">
        <v>44</v>
      </c>
      <c r="U1737" s="109" t="s">
        <v>767</v>
      </c>
      <c r="V1737" s="71" t="s">
        <v>360</v>
      </c>
      <c r="W1737" s="205"/>
      <c r="Y1737" s="175"/>
      <c r="Z1737" s="175"/>
      <c r="AA1737" s="175"/>
      <c r="AB1737" s="175"/>
      <c r="AC1737" s="175"/>
      <c r="AD1737" s="175"/>
      <c r="AE1737" s="175"/>
      <c r="AF1737" s="175"/>
      <c r="AG1737" s="175"/>
      <c r="AH1737" s="175"/>
    </row>
    <row r="1738" spans="1:34">
      <c r="A1738" s="96" t="s">
        <v>461</v>
      </c>
      <c r="B1738" s="96" t="s">
        <v>462</v>
      </c>
      <c r="C1738" s="41">
        <v>46215</v>
      </c>
      <c r="D1738" s="42">
        <v>0.59027777777777779</v>
      </c>
      <c r="E1738" s="43"/>
      <c r="F1738" s="8" t="s">
        <v>456</v>
      </c>
      <c r="G1738" s="2">
        <v>1</v>
      </c>
      <c r="I1738" s="126">
        <v>120</v>
      </c>
      <c r="J1738" s="2" t="s">
        <v>766</v>
      </c>
      <c r="K1738" s="109" t="s">
        <v>737</v>
      </c>
      <c r="L1738" s="8">
        <v>20000</v>
      </c>
      <c r="M1738" s="202">
        <v>15</v>
      </c>
      <c r="N1738" s="39" t="s">
        <v>48</v>
      </c>
      <c r="O1738" s="39" t="s">
        <v>49</v>
      </c>
      <c r="P1738" s="136" t="s">
        <v>829</v>
      </c>
      <c r="Q1738" s="19">
        <v>24</v>
      </c>
      <c r="R1738" s="15">
        <f>Q1738/I1738</f>
        <v>0.2</v>
      </c>
      <c r="S1738" s="5">
        <f>($AC1738*$AD1738)/(($Z1738/$Y1738)+($AA1738/$Z1738)+($AB1738/$AA1738))</f>
        <v>25.161290322580644</v>
      </c>
      <c r="U1738" s="109" t="s">
        <v>463</v>
      </c>
      <c r="V1738" s="2" t="s">
        <v>735</v>
      </c>
      <c r="W1738" s="2" t="s">
        <v>464</v>
      </c>
      <c r="Y1738" s="2">
        <v>2.5</v>
      </c>
      <c r="Z1738" s="2">
        <v>7.5</v>
      </c>
      <c r="AA1738" s="2">
        <v>30</v>
      </c>
      <c r="AB1738" s="2">
        <v>100</v>
      </c>
      <c r="AC1738" s="2">
        <v>13</v>
      </c>
      <c r="AD1738" s="2">
        <v>20</v>
      </c>
      <c r="AE1738" s="2">
        <f>AC1738*AD1738</f>
        <v>260</v>
      </c>
      <c r="AF1738" s="2">
        <f>Z1738/Y1738</f>
        <v>3</v>
      </c>
      <c r="AG1738" s="2">
        <f>AA1738/Z1738</f>
        <v>4</v>
      </c>
      <c r="AH1738" s="2">
        <f>AB1738/AA1738</f>
        <v>3.3333333333333335</v>
      </c>
    </row>
    <row r="1739" spans="1:34">
      <c r="A1739" s="165" t="s">
        <v>1383</v>
      </c>
      <c r="B1739" s="39" t="s">
        <v>63</v>
      </c>
      <c r="C1739" s="41">
        <v>46215</v>
      </c>
      <c r="D1739" s="144">
        <v>0.625</v>
      </c>
      <c r="E1739" s="43"/>
      <c r="F1739" s="8" t="s">
        <v>912</v>
      </c>
      <c r="G1739" s="2">
        <v>1</v>
      </c>
      <c r="H1739" s="2">
        <v>9</v>
      </c>
      <c r="I1739" s="45">
        <v>240</v>
      </c>
      <c r="J1739" s="2" t="s">
        <v>766</v>
      </c>
      <c r="K1739" s="88" t="s">
        <v>784</v>
      </c>
      <c r="L1739" s="89">
        <v>10000</v>
      </c>
      <c r="M1739" s="202">
        <v>20</v>
      </c>
      <c r="N1739" s="132" t="s">
        <v>821</v>
      </c>
      <c r="O1739" s="39" t="s">
        <v>49</v>
      </c>
      <c r="P1739" s="130"/>
      <c r="Q1739" s="19">
        <v>40</v>
      </c>
      <c r="R1739" s="15">
        <v>0.16666666666666666</v>
      </c>
      <c r="S1739" s="5">
        <v>29</v>
      </c>
      <c r="U1739" s="109" t="s">
        <v>767</v>
      </c>
      <c r="V1739" s="71" t="s">
        <v>362</v>
      </c>
      <c r="W1739" s="8" t="s">
        <v>367</v>
      </c>
      <c r="Y1739" s="175"/>
      <c r="Z1739" s="175"/>
      <c r="AA1739" s="175"/>
      <c r="AB1739" s="175"/>
      <c r="AC1739" s="175"/>
      <c r="AD1739" s="175"/>
      <c r="AE1739" s="175"/>
      <c r="AF1739" s="175"/>
      <c r="AG1739" s="175"/>
      <c r="AH1739" s="175"/>
    </row>
    <row r="1740" spans="1:34">
      <c r="A1740" s="165" t="s">
        <v>1383</v>
      </c>
      <c r="B1740" s="39" t="s">
        <v>63</v>
      </c>
      <c r="C1740" s="41">
        <v>46215</v>
      </c>
      <c r="D1740" s="144">
        <v>0.66666666666666663</v>
      </c>
      <c r="E1740" s="194"/>
      <c r="F1740" s="8" t="s">
        <v>1024</v>
      </c>
      <c r="G1740" s="2">
        <v>1</v>
      </c>
      <c r="H1740" s="2">
        <v>9</v>
      </c>
      <c r="I1740" s="45">
        <v>400</v>
      </c>
      <c r="J1740" s="2" t="s">
        <v>766</v>
      </c>
      <c r="K1740" s="88" t="s">
        <v>794</v>
      </c>
      <c r="L1740" s="89">
        <v>30000</v>
      </c>
      <c r="M1740" s="2">
        <v>20</v>
      </c>
      <c r="N1740" s="39" t="s">
        <v>817</v>
      </c>
      <c r="O1740" s="39" t="s">
        <v>49</v>
      </c>
      <c r="P1740" s="130"/>
      <c r="Q1740" s="19">
        <v>70</v>
      </c>
      <c r="R1740" s="15">
        <f>Q1740/I1740</f>
        <v>0.17499999999999999</v>
      </c>
      <c r="S1740" s="5">
        <v>37</v>
      </c>
      <c r="U1740" s="109" t="s">
        <v>129</v>
      </c>
      <c r="V1740" s="71" t="s">
        <v>360</v>
      </c>
      <c r="W1740" s="205"/>
      <c r="Y1740" s="175"/>
      <c r="Z1740" s="175"/>
      <c r="AA1740" s="175"/>
      <c r="AB1740" s="175"/>
      <c r="AC1740" s="175"/>
      <c r="AD1740" s="175"/>
      <c r="AE1740" s="175"/>
      <c r="AF1740" s="175"/>
      <c r="AG1740" s="175"/>
      <c r="AH1740" s="175"/>
    </row>
    <row r="1741" spans="1:34">
      <c r="A1741" s="165" t="s">
        <v>1383</v>
      </c>
      <c r="B1741" s="39" t="s">
        <v>63</v>
      </c>
      <c r="C1741" s="190">
        <v>46215</v>
      </c>
      <c r="D1741" s="144">
        <v>0.75</v>
      </c>
      <c r="E1741" s="43"/>
      <c r="F1741" s="8" t="s">
        <v>884</v>
      </c>
      <c r="G1741" s="2">
        <v>1</v>
      </c>
      <c r="I1741" s="126">
        <v>2750</v>
      </c>
      <c r="J1741" s="2" t="s">
        <v>766</v>
      </c>
      <c r="K1741" s="88" t="s">
        <v>796</v>
      </c>
      <c r="L1741" s="90">
        <v>20000</v>
      </c>
      <c r="M1741" s="8">
        <v>30</v>
      </c>
      <c r="N1741" s="132" t="s">
        <v>821</v>
      </c>
      <c r="O1741" s="39" t="s">
        <v>122</v>
      </c>
      <c r="P1741" s="66"/>
      <c r="Q1741" s="2">
        <f>250</f>
        <v>250</v>
      </c>
      <c r="R1741" s="15">
        <f>Q1741/I1741</f>
        <v>9.0909090909090912E-2</v>
      </c>
      <c r="S1741" s="149" t="s">
        <v>110</v>
      </c>
      <c r="T1741" s="149"/>
      <c r="U1741" s="109" t="s">
        <v>767</v>
      </c>
      <c r="V1741" s="71" t="s">
        <v>362</v>
      </c>
      <c r="W1741" s="8" t="s">
        <v>384</v>
      </c>
      <c r="AE1741" s="2">
        <f>AC1741*AD1741</f>
        <v>0</v>
      </c>
      <c r="AF1741" s="2" t="e">
        <f>Z1741/Y1741</f>
        <v>#DIV/0!</v>
      </c>
      <c r="AG1741" s="2" t="e">
        <f>AA1741/Z1741</f>
        <v>#DIV/0!</v>
      </c>
      <c r="AH1741" s="2" t="e">
        <f>AB1741/AA1741</f>
        <v>#DIV/0!</v>
      </c>
    </row>
    <row r="1742" spans="1:34">
      <c r="A1742" s="52" t="s">
        <v>229</v>
      </c>
      <c r="B1742" s="52" t="s">
        <v>230</v>
      </c>
      <c r="C1742" s="190">
        <v>46215</v>
      </c>
      <c r="D1742" s="42">
        <v>0.75</v>
      </c>
      <c r="E1742" s="43"/>
      <c r="F1742" s="8" t="s">
        <v>264</v>
      </c>
      <c r="G1742" s="2">
        <v>1</v>
      </c>
      <c r="I1742" s="126">
        <v>240</v>
      </c>
      <c r="J1742" s="2" t="s">
        <v>766</v>
      </c>
      <c r="K1742" s="88" t="s">
        <v>804</v>
      </c>
      <c r="L1742" s="90">
        <v>30000</v>
      </c>
      <c r="M1742" s="8">
        <v>20</v>
      </c>
      <c r="N1742" s="39" t="s">
        <v>48</v>
      </c>
      <c r="O1742" s="39" t="s">
        <v>373</v>
      </c>
      <c r="P1742" s="66">
        <v>10000</v>
      </c>
      <c r="Q1742" s="2">
        <v>40</v>
      </c>
      <c r="R1742" s="15">
        <f>IF(Q1742&gt;0,Q1742/I1742,"")</f>
        <v>0.16666666666666666</v>
      </c>
      <c r="S1742" s="149" t="s">
        <v>110</v>
      </c>
      <c r="T1742" s="149"/>
      <c r="U1742" s="109" t="s">
        <v>767</v>
      </c>
      <c r="V1742" s="205" t="s">
        <v>719</v>
      </c>
      <c r="W1742" s="205"/>
      <c r="AE1742" s="2">
        <f>AC1742*AD1742</f>
        <v>0</v>
      </c>
      <c r="AF1742" s="2" t="e">
        <f>Z1742/Y1742</f>
        <v>#DIV/0!</v>
      </c>
      <c r="AG1742" s="2" t="e">
        <f>AA1742/Z1742</f>
        <v>#DIV/0!</v>
      </c>
      <c r="AH1742" s="2" t="e">
        <f>AB1742/AA1742</f>
        <v>#DIV/0!</v>
      </c>
    </row>
    <row r="1743" spans="1:34">
      <c r="A1743" s="52" t="s">
        <v>220</v>
      </c>
      <c r="B1743" s="52" t="s">
        <v>221</v>
      </c>
      <c r="C1743" s="191">
        <v>46215</v>
      </c>
      <c r="D1743" s="42">
        <v>0.75</v>
      </c>
      <c r="E1743" s="43"/>
      <c r="F1743" s="8" t="s">
        <v>1073</v>
      </c>
      <c r="G1743" s="2">
        <v>1</v>
      </c>
      <c r="H1743" s="2">
        <v>9</v>
      </c>
      <c r="I1743" s="126">
        <v>600</v>
      </c>
      <c r="J1743" s="2" t="s">
        <v>766</v>
      </c>
      <c r="K1743" s="88" t="s">
        <v>799</v>
      </c>
      <c r="L1743" s="90">
        <v>30000</v>
      </c>
      <c r="M1743" s="64">
        <v>20</v>
      </c>
      <c r="N1743" s="39" t="s">
        <v>48</v>
      </c>
      <c r="O1743" s="39" t="s">
        <v>49</v>
      </c>
      <c r="P1743" s="140" t="s">
        <v>837</v>
      </c>
      <c r="Q1743" s="19">
        <v>85</v>
      </c>
      <c r="R1743" s="15">
        <f>Q1743/I1743</f>
        <v>0.14166666666666666</v>
      </c>
      <c r="S1743" s="5">
        <f>($AC1743*$AD1743)/(($Z1743/$Y1743)+($AA1743/$Z1743)+($AB1743/$AA1743))</f>
        <v>41.632653061224495</v>
      </c>
      <c r="U1743" s="109" t="s">
        <v>129</v>
      </c>
      <c r="V1743" s="205" t="s">
        <v>738</v>
      </c>
      <c r="W1743" s="205"/>
      <c r="Y1743" s="2">
        <v>2</v>
      </c>
      <c r="Z1743" s="2">
        <v>5</v>
      </c>
      <c r="AA1743" s="2">
        <v>15</v>
      </c>
      <c r="AB1743" s="2">
        <v>40</v>
      </c>
      <c r="AC1743" s="2">
        <v>17</v>
      </c>
      <c r="AD1743" s="2">
        <v>20</v>
      </c>
      <c r="AE1743" s="2">
        <f>AC1743*AD1743</f>
        <v>340</v>
      </c>
      <c r="AF1743" s="2">
        <f>Z1743/Y1743</f>
        <v>2.5</v>
      </c>
      <c r="AG1743" s="2">
        <f>AA1743/Z1743</f>
        <v>3</v>
      </c>
      <c r="AH1743" s="2">
        <f>AB1743/AA1743</f>
        <v>2.6666666666666665</v>
      </c>
    </row>
    <row r="1744" spans="1:34">
      <c r="A1744" s="96" t="s">
        <v>461</v>
      </c>
      <c r="B1744" s="96" t="s">
        <v>462</v>
      </c>
      <c r="C1744" s="41">
        <v>46215</v>
      </c>
      <c r="D1744" s="42">
        <v>0.75694444444444442</v>
      </c>
      <c r="E1744" s="43"/>
      <c r="F1744" s="8" t="s">
        <v>459</v>
      </c>
      <c r="G1744" s="2">
        <v>1</v>
      </c>
      <c r="I1744" s="126">
        <v>120</v>
      </c>
      <c r="J1744" s="2" t="s">
        <v>766</v>
      </c>
      <c r="K1744" s="109" t="s">
        <v>602</v>
      </c>
      <c r="L1744" s="8">
        <v>20000</v>
      </c>
      <c r="M1744" s="202">
        <v>20</v>
      </c>
      <c r="N1744" s="39" t="s">
        <v>48</v>
      </c>
      <c r="O1744" s="39" t="s">
        <v>465</v>
      </c>
      <c r="P1744" s="197">
        <v>10000</v>
      </c>
      <c r="Q1744" s="2">
        <v>24</v>
      </c>
      <c r="R1744" s="15">
        <f>Q1744/I1744</f>
        <v>0.2</v>
      </c>
      <c r="S1744" s="149" t="s">
        <v>110</v>
      </c>
      <c r="T1744" s="149"/>
      <c r="U1744" s="109" t="s">
        <v>767</v>
      </c>
      <c r="V1744" s="205" t="s">
        <v>735</v>
      </c>
      <c r="W1744" s="205"/>
      <c r="AE1744" s="2">
        <f>AC1744*AD1744</f>
        <v>0</v>
      </c>
      <c r="AF1744" s="2" t="e">
        <f>Z1744/Y1744</f>
        <v>#DIV/0!</v>
      </c>
      <c r="AG1744" s="2" t="e">
        <f>AA1744/Z1744</f>
        <v>#DIV/0!</v>
      </c>
      <c r="AH1744" s="2" t="e">
        <f>AB1744/AA1744</f>
        <v>#DIV/0!</v>
      </c>
    </row>
    <row r="1745" spans="1:34">
      <c r="A1745" s="68" t="s">
        <v>357</v>
      </c>
      <c r="B1745" s="68" t="s">
        <v>358</v>
      </c>
      <c r="C1745" s="191">
        <v>46215</v>
      </c>
      <c r="D1745" s="42">
        <v>0.75694444444444442</v>
      </c>
      <c r="E1745" s="194">
        <v>87</v>
      </c>
      <c r="F1745" s="63" t="s">
        <v>336</v>
      </c>
      <c r="G1745" s="2">
        <v>2</v>
      </c>
      <c r="H1745" s="2">
        <v>9</v>
      </c>
      <c r="I1745" s="126">
        <v>1100</v>
      </c>
      <c r="J1745" s="2" t="s">
        <v>766</v>
      </c>
      <c r="K1745" s="137" t="s">
        <v>598</v>
      </c>
      <c r="L1745" s="92">
        <v>40000</v>
      </c>
      <c r="M1745" s="69">
        <v>30</v>
      </c>
      <c r="N1745" s="39" t="s">
        <v>48</v>
      </c>
      <c r="O1745" s="39" t="s">
        <v>49</v>
      </c>
      <c r="P1745" s="211" t="s">
        <v>848</v>
      </c>
      <c r="Q1745" s="19">
        <v>140</v>
      </c>
      <c r="R1745" s="15">
        <f>Q1745/I1745</f>
        <v>0.12727272727272726</v>
      </c>
      <c r="S1745" s="5">
        <f>($AC1745*$AD1745)/(($Z1745/$Y1745)+($AA1745/$Z1745)+($AB1745/$AA1745))</f>
        <v>76.947040498442377</v>
      </c>
      <c r="U1745" s="109" t="s">
        <v>767</v>
      </c>
      <c r="V1745" s="71" t="s">
        <v>1417</v>
      </c>
      <c r="W1745" s="205"/>
      <c r="Y1745" s="2">
        <v>2</v>
      </c>
      <c r="Z1745" s="2">
        <v>5</v>
      </c>
      <c r="AA1745" s="2">
        <v>13</v>
      </c>
      <c r="AB1745" s="2">
        <v>30</v>
      </c>
      <c r="AC1745" s="2">
        <v>30</v>
      </c>
      <c r="AD1745" s="2">
        <v>19</v>
      </c>
      <c r="AE1745" s="2">
        <f>AC1745*AD1745</f>
        <v>570</v>
      </c>
      <c r="AF1745" s="2">
        <f>Z1745/Y1745</f>
        <v>2.5</v>
      </c>
      <c r="AG1745" s="2">
        <f>AA1745/Z1745</f>
        <v>2.6</v>
      </c>
      <c r="AH1745" s="2">
        <f>AB1745/AA1745</f>
        <v>2.3076923076923075</v>
      </c>
    </row>
    <row r="1746" spans="1:34">
      <c r="A1746" s="165" t="s">
        <v>1383</v>
      </c>
      <c r="B1746" s="39" t="s">
        <v>63</v>
      </c>
      <c r="C1746" s="41">
        <v>46215</v>
      </c>
      <c r="D1746" s="144">
        <v>0.79166666666666663</v>
      </c>
      <c r="E1746" s="43"/>
      <c r="F1746" s="8" t="s">
        <v>916</v>
      </c>
      <c r="G1746" s="2">
        <v>1</v>
      </c>
      <c r="H1746" s="2">
        <v>8</v>
      </c>
      <c r="I1746" s="81">
        <v>585</v>
      </c>
      <c r="J1746" s="2" t="s">
        <v>766</v>
      </c>
      <c r="K1746" s="88" t="s">
        <v>800</v>
      </c>
      <c r="L1746" s="89">
        <v>10000</v>
      </c>
      <c r="M1746" s="202">
        <v>20</v>
      </c>
      <c r="N1746" s="132" t="s">
        <v>821</v>
      </c>
      <c r="O1746" s="39" t="s">
        <v>49</v>
      </c>
      <c r="P1746" s="130"/>
      <c r="Q1746" s="19">
        <v>89</v>
      </c>
      <c r="R1746" s="59">
        <f>Q1746/I1746</f>
        <v>0.15213675213675212</v>
      </c>
      <c r="S1746" s="5">
        <v>29</v>
      </c>
      <c r="U1746" s="109" t="s">
        <v>767</v>
      </c>
      <c r="V1746" s="83" t="s">
        <v>362</v>
      </c>
      <c r="W1746" s="8" t="s">
        <v>368</v>
      </c>
      <c r="Y1746" s="175"/>
      <c r="Z1746" s="175"/>
      <c r="AA1746" s="175"/>
      <c r="AB1746" s="175"/>
      <c r="AC1746" s="175"/>
      <c r="AD1746" s="175"/>
      <c r="AE1746" s="175"/>
      <c r="AF1746" s="175"/>
      <c r="AG1746" s="175"/>
      <c r="AH1746" s="175"/>
    </row>
    <row r="1747" spans="1:34">
      <c r="A1747" s="165" t="s">
        <v>1383</v>
      </c>
      <c r="B1747" s="39" t="s">
        <v>63</v>
      </c>
      <c r="C1747" s="41">
        <v>46215</v>
      </c>
      <c r="D1747" s="144">
        <v>0.83333333333333337</v>
      </c>
      <c r="E1747" s="194"/>
      <c r="F1747" s="8" t="s">
        <v>1023</v>
      </c>
      <c r="G1747" s="2">
        <v>1</v>
      </c>
      <c r="H1747" s="2">
        <v>9</v>
      </c>
      <c r="I1747" s="45">
        <v>200</v>
      </c>
      <c r="J1747" s="2" t="s">
        <v>766</v>
      </c>
      <c r="K1747" s="88" t="s">
        <v>806</v>
      </c>
      <c r="L1747" s="89">
        <v>20000</v>
      </c>
      <c r="M1747" s="2">
        <v>20</v>
      </c>
      <c r="N1747" s="39" t="s">
        <v>817</v>
      </c>
      <c r="O1747" s="39" t="s">
        <v>49</v>
      </c>
      <c r="P1747" s="130"/>
      <c r="Q1747" s="19">
        <v>45</v>
      </c>
      <c r="R1747" s="15">
        <f>Q1747/I1747</f>
        <v>0.22500000000000001</v>
      </c>
      <c r="S1747" s="5">
        <v>23</v>
      </c>
      <c r="U1747" s="109" t="s">
        <v>129</v>
      </c>
      <c r="V1747" s="71" t="s">
        <v>360</v>
      </c>
      <c r="W1747" s="205"/>
      <c r="Y1747" s="175"/>
      <c r="Z1747" s="175"/>
      <c r="AA1747" s="175"/>
      <c r="AB1747" s="175"/>
      <c r="AC1747" s="175"/>
      <c r="AD1747" s="175"/>
      <c r="AE1747" s="175"/>
      <c r="AF1747" s="175"/>
      <c r="AG1747" s="175"/>
      <c r="AH1747" s="175"/>
    </row>
    <row r="1748" spans="1:34">
      <c r="A1748" s="165" t="s">
        <v>1383</v>
      </c>
      <c r="B1748" s="39" t="s">
        <v>63</v>
      </c>
      <c r="C1748" s="41">
        <v>46215</v>
      </c>
      <c r="D1748" s="144">
        <v>0.91666666666666663</v>
      </c>
      <c r="E1748" s="43"/>
      <c r="F1748" s="8" t="s">
        <v>909</v>
      </c>
      <c r="G1748" s="2">
        <v>1</v>
      </c>
      <c r="H1748" s="2">
        <v>9</v>
      </c>
      <c r="I1748" s="37">
        <v>135</v>
      </c>
      <c r="J1748" s="2" t="s">
        <v>766</v>
      </c>
      <c r="K1748" s="88" t="s">
        <v>813</v>
      </c>
      <c r="L1748" s="89">
        <v>10000</v>
      </c>
      <c r="M1748" s="202">
        <v>15</v>
      </c>
      <c r="N1748" s="132" t="s">
        <v>821</v>
      </c>
      <c r="O1748" s="39" t="s">
        <v>49</v>
      </c>
      <c r="P1748" s="210"/>
      <c r="Q1748" s="19">
        <v>35</v>
      </c>
      <c r="R1748" s="15">
        <f>Q1748/I1748</f>
        <v>0.25925925925925924</v>
      </c>
      <c r="S1748" s="5">
        <v>22</v>
      </c>
      <c r="U1748" s="109" t="s">
        <v>767</v>
      </c>
      <c r="V1748" s="71" t="s">
        <v>362</v>
      </c>
      <c r="W1748" s="8" t="s">
        <v>369</v>
      </c>
      <c r="Y1748" s="175"/>
      <c r="Z1748" s="175"/>
      <c r="AA1748" s="175"/>
      <c r="AB1748" s="175"/>
      <c r="AC1748" s="175"/>
      <c r="AD1748" s="175"/>
      <c r="AE1748" s="175"/>
      <c r="AF1748" s="175"/>
      <c r="AG1748" s="175"/>
      <c r="AH1748" s="175"/>
    </row>
    <row r="1749" spans="1:34">
      <c r="A1749" s="96" t="s">
        <v>461</v>
      </c>
      <c r="B1749" s="96" t="s">
        <v>462</v>
      </c>
      <c r="C1749" s="41">
        <v>46215</v>
      </c>
      <c r="D1749" s="42">
        <v>0.92361111111111116</v>
      </c>
      <c r="E1749" s="43"/>
      <c r="F1749" s="8" t="s">
        <v>456</v>
      </c>
      <c r="G1749" s="2">
        <v>1</v>
      </c>
      <c r="I1749" s="126">
        <v>120</v>
      </c>
      <c r="J1749" s="2" t="s">
        <v>766</v>
      </c>
      <c r="K1749" s="109" t="s">
        <v>737</v>
      </c>
      <c r="L1749" s="8">
        <v>20000</v>
      </c>
      <c r="M1749" s="202">
        <v>15</v>
      </c>
      <c r="N1749" s="39" t="s">
        <v>48</v>
      </c>
      <c r="O1749" s="39" t="s">
        <v>49</v>
      </c>
      <c r="P1749" s="211" t="s">
        <v>827</v>
      </c>
      <c r="Q1749" s="19">
        <v>24</v>
      </c>
      <c r="R1749" s="15">
        <f>Q1749/I1749</f>
        <v>0.2</v>
      </c>
      <c r="S1749" s="5">
        <f>($AC1749*$AD1749)/(($Z1749/$Y1749)+($AA1749/$Z1749)+($AB1749/$AA1749))</f>
        <v>25.161290322580644</v>
      </c>
      <c r="U1749" s="109" t="s">
        <v>463</v>
      </c>
      <c r="V1749" s="2" t="s">
        <v>735</v>
      </c>
      <c r="W1749" s="205" t="s">
        <v>464</v>
      </c>
      <c r="Y1749" s="2">
        <v>2.5</v>
      </c>
      <c r="Z1749" s="2">
        <v>7.5</v>
      </c>
      <c r="AA1749" s="2">
        <v>30</v>
      </c>
      <c r="AB1749" s="2">
        <v>100</v>
      </c>
      <c r="AC1749" s="2">
        <v>13</v>
      </c>
      <c r="AD1749" s="2">
        <v>20</v>
      </c>
      <c r="AE1749" s="2">
        <f>AC1749*AD1749</f>
        <v>260</v>
      </c>
      <c r="AF1749" s="2">
        <f>Z1749/Y1749</f>
        <v>3</v>
      </c>
      <c r="AG1749" s="2">
        <f>AA1749/Z1749</f>
        <v>4</v>
      </c>
      <c r="AH1749" s="2">
        <f>AB1749/AA1749</f>
        <v>3.3333333333333335</v>
      </c>
    </row>
    <row r="1750" spans="1:34">
      <c r="A1750" s="165" t="s">
        <v>1383</v>
      </c>
      <c r="B1750" s="36" t="s">
        <v>63</v>
      </c>
      <c r="C1750" s="41">
        <v>46215</v>
      </c>
      <c r="D1750" s="144" t="s">
        <v>117</v>
      </c>
      <c r="E1750" s="228">
        <v>95</v>
      </c>
      <c r="F1750" s="8" t="s">
        <v>1017</v>
      </c>
      <c r="G1750" s="2">
        <v>2</v>
      </c>
      <c r="H1750" s="2">
        <v>9</v>
      </c>
      <c r="I1750" s="45">
        <v>500</v>
      </c>
      <c r="J1750" s="2" t="s">
        <v>763</v>
      </c>
      <c r="K1750" s="109" t="s">
        <v>601</v>
      </c>
      <c r="L1750" s="89">
        <v>50000</v>
      </c>
      <c r="M1750" s="202">
        <v>30</v>
      </c>
      <c r="N1750" s="39" t="s">
        <v>48</v>
      </c>
      <c r="O1750" s="39" t="s">
        <v>49</v>
      </c>
      <c r="P1750" s="130"/>
      <c r="Q1750" s="19">
        <f>R1750*I1750</f>
        <v>85</v>
      </c>
      <c r="R1750" s="15">
        <v>0.17</v>
      </c>
      <c r="S1750" s="5">
        <f>($AC1750*$AD1750)/(($Z1750/$Y1750)+($AA1750/$Z1750)+($AB1750/$AA1750))</f>
        <v>82.173913043478265</v>
      </c>
      <c r="U1750" s="109" t="s">
        <v>767</v>
      </c>
      <c r="V1750" s="2" t="s">
        <v>121</v>
      </c>
      <c r="W1750" s="205"/>
      <c r="Y1750" s="2">
        <v>1.5</v>
      </c>
      <c r="Z1750" s="2">
        <v>4</v>
      </c>
      <c r="AA1750" s="2">
        <v>10</v>
      </c>
      <c r="AB1750" s="2">
        <v>25</v>
      </c>
      <c r="AC1750" s="2">
        <v>30</v>
      </c>
      <c r="AD1750" s="2">
        <v>21</v>
      </c>
      <c r="AE1750" s="2">
        <f>AC1750*AD1750</f>
        <v>630</v>
      </c>
      <c r="AF1750" s="2">
        <f>Z1750/Y1750</f>
        <v>2.6666666666666665</v>
      </c>
      <c r="AG1750" s="2">
        <f>AA1750/Z1750</f>
        <v>2.5</v>
      </c>
      <c r="AH1750" s="2">
        <f>AB1750/AA1750</f>
        <v>2.5</v>
      </c>
    </row>
    <row r="1751" spans="1:34">
      <c r="A1751" s="165" t="s">
        <v>1383</v>
      </c>
      <c r="B1751" s="36" t="s">
        <v>63</v>
      </c>
      <c r="C1751" s="41">
        <v>46215</v>
      </c>
      <c r="D1751" s="144" t="s">
        <v>120</v>
      </c>
      <c r="E1751" s="35">
        <v>82</v>
      </c>
      <c r="F1751" s="8" t="s">
        <v>1160</v>
      </c>
      <c r="G1751" s="2">
        <v>8</v>
      </c>
      <c r="H1751" s="2">
        <v>9</v>
      </c>
      <c r="I1751" s="45">
        <v>10000</v>
      </c>
      <c r="J1751" s="2" t="s">
        <v>110</v>
      </c>
      <c r="K1751" s="109" t="s">
        <v>737</v>
      </c>
      <c r="L1751" s="89">
        <v>60000</v>
      </c>
      <c r="M1751" s="54">
        <v>120</v>
      </c>
      <c r="N1751" s="39" t="s">
        <v>48</v>
      </c>
      <c r="O1751" s="39" t="s">
        <v>49</v>
      </c>
      <c r="P1751" s="130"/>
      <c r="Q1751" s="19">
        <f>R1751*I1751</f>
        <v>700.00000000000011</v>
      </c>
      <c r="R1751" s="15">
        <v>7.0000000000000007E-2</v>
      </c>
      <c r="S1751" s="5">
        <f>($AC1751*$AD1751)/(($Z1751/$Y1751)+($AA1751/$Z1751)+($AB1751/$AA1751))</f>
        <v>340.18691588785049</v>
      </c>
      <c r="U1751" s="109" t="s">
        <v>853</v>
      </c>
      <c r="V1751" s="2" t="s">
        <v>121</v>
      </c>
      <c r="Y1751" s="2">
        <v>2</v>
      </c>
      <c r="Z1751" s="2">
        <v>5</v>
      </c>
      <c r="AA1751" s="2">
        <v>13</v>
      </c>
      <c r="AB1751" s="2">
        <v>30</v>
      </c>
      <c r="AC1751" s="2">
        <v>120</v>
      </c>
      <c r="AD1751" s="2">
        <v>21</v>
      </c>
      <c r="AE1751" s="2">
        <f>AC1751*AD1751</f>
        <v>2520</v>
      </c>
      <c r="AF1751" s="2">
        <f>Z1751/Y1751</f>
        <v>2.5</v>
      </c>
      <c r="AG1751" s="2">
        <f>AA1751/Z1751</f>
        <v>2.6</v>
      </c>
      <c r="AH1751" s="2">
        <f>AB1751/AA1751</f>
        <v>2.3076923076923075</v>
      </c>
    </row>
    <row r="1752" spans="1:34">
      <c r="A1752" s="165" t="s">
        <v>1383</v>
      </c>
      <c r="B1752" s="36" t="s">
        <v>63</v>
      </c>
      <c r="C1752" s="41">
        <v>46215</v>
      </c>
      <c r="D1752" s="144" t="s">
        <v>115</v>
      </c>
      <c r="E1752" s="228">
        <v>89</v>
      </c>
      <c r="F1752" s="8" t="s">
        <v>1275</v>
      </c>
      <c r="G1752" s="2">
        <v>4</v>
      </c>
      <c r="H1752" s="2">
        <v>9</v>
      </c>
      <c r="I1752" s="45">
        <v>3000</v>
      </c>
      <c r="J1752" s="2" t="s">
        <v>761</v>
      </c>
      <c r="K1752" s="109" t="s">
        <v>816</v>
      </c>
      <c r="L1752" s="89">
        <v>40000</v>
      </c>
      <c r="M1752" s="202">
        <v>60</v>
      </c>
      <c r="N1752" s="39" t="s">
        <v>48</v>
      </c>
      <c r="O1752" s="39" t="s">
        <v>49</v>
      </c>
      <c r="P1752" s="130"/>
      <c r="Q1752" s="19">
        <f>R1752*I1752</f>
        <v>330</v>
      </c>
      <c r="R1752" s="15">
        <v>0.11</v>
      </c>
      <c r="S1752" s="5">
        <f>($AC1752*$AD1752)/(($Z1752/$Y1752)+($AA1752/$Z1752)+($AB1752/$AA1752))</f>
        <v>153.89408099688475</v>
      </c>
      <c r="U1752" s="109" t="s">
        <v>767</v>
      </c>
      <c r="V1752" s="2" t="s">
        <v>121</v>
      </c>
      <c r="W1752" s="205"/>
      <c r="Y1752" s="2">
        <v>2</v>
      </c>
      <c r="Z1752" s="2">
        <v>5</v>
      </c>
      <c r="AA1752" s="2">
        <v>13</v>
      </c>
      <c r="AB1752" s="2">
        <v>30</v>
      </c>
      <c r="AC1752" s="2">
        <v>60</v>
      </c>
      <c r="AD1752" s="2">
        <v>19</v>
      </c>
      <c r="AE1752" s="2">
        <f>AC1752*AD1752</f>
        <v>1140</v>
      </c>
      <c r="AF1752" s="2">
        <f>Z1752/Y1752</f>
        <v>2.5</v>
      </c>
      <c r="AG1752" s="2">
        <f>AA1752/Z1752</f>
        <v>2.6</v>
      </c>
      <c r="AH1752" s="2">
        <f>AB1752/AA1752</f>
        <v>2.3076923076923075</v>
      </c>
    </row>
    <row r="1753" spans="1:34">
      <c r="A1753" s="165" t="s">
        <v>1383</v>
      </c>
      <c r="B1753" s="36" t="s">
        <v>63</v>
      </c>
      <c r="C1753" s="41">
        <v>46215</v>
      </c>
      <c r="D1753" s="144" t="s">
        <v>115</v>
      </c>
      <c r="E1753" s="228">
        <v>93</v>
      </c>
      <c r="F1753" s="194" t="s">
        <v>1015</v>
      </c>
      <c r="G1753" s="2">
        <v>2</v>
      </c>
      <c r="H1753" s="2">
        <v>9</v>
      </c>
      <c r="I1753" s="45">
        <v>1500</v>
      </c>
      <c r="J1753" s="2" t="s">
        <v>766</v>
      </c>
      <c r="K1753" s="109" t="s">
        <v>601</v>
      </c>
      <c r="L1753" s="89">
        <v>50000</v>
      </c>
      <c r="M1753" s="202">
        <v>30</v>
      </c>
      <c r="N1753" s="39" t="s">
        <v>48</v>
      </c>
      <c r="O1753" s="39" t="s">
        <v>49</v>
      </c>
      <c r="P1753" s="130"/>
      <c r="Q1753" s="19">
        <f>R1753*I1753</f>
        <v>172.5</v>
      </c>
      <c r="R1753" s="15">
        <v>0.115</v>
      </c>
      <c r="S1753" s="5">
        <f>($AC1753*$AD1753)/(($Z1753/$Y1753)+($AA1753/$Z1753)+($AB1753/$AA1753))</f>
        <v>82.173913043478265</v>
      </c>
      <c r="U1753" s="109" t="s">
        <v>767</v>
      </c>
      <c r="V1753" s="205" t="s">
        <v>121</v>
      </c>
      <c r="W1753" s="205"/>
      <c r="Y1753" s="2">
        <v>1.5</v>
      </c>
      <c r="Z1753" s="2">
        <v>4</v>
      </c>
      <c r="AA1753" s="2">
        <v>10</v>
      </c>
      <c r="AB1753" s="2">
        <v>25</v>
      </c>
      <c r="AC1753" s="2">
        <v>30</v>
      </c>
      <c r="AD1753" s="2">
        <v>21</v>
      </c>
      <c r="AE1753" s="2">
        <f>AC1753*AD1753</f>
        <v>630</v>
      </c>
      <c r="AF1753" s="2">
        <f>Z1753/Y1753</f>
        <v>2.6666666666666665</v>
      </c>
      <c r="AG1753" s="2">
        <f>AA1753/Z1753</f>
        <v>2.5</v>
      </c>
      <c r="AH1753" s="2">
        <f>AB1753/AA1753</f>
        <v>2.5</v>
      </c>
    </row>
    <row r="1754" spans="1:34">
      <c r="A1754" s="165" t="s">
        <v>1383</v>
      </c>
      <c r="B1754" s="36" t="s">
        <v>63</v>
      </c>
      <c r="C1754" s="41">
        <v>46215</v>
      </c>
      <c r="D1754" s="144" t="s">
        <v>116</v>
      </c>
      <c r="E1754" s="194">
        <v>96</v>
      </c>
      <c r="F1754" s="8" t="s">
        <v>181</v>
      </c>
      <c r="G1754" s="2">
        <v>3</v>
      </c>
      <c r="H1754" s="2">
        <v>6</v>
      </c>
      <c r="I1754" s="45">
        <v>3000</v>
      </c>
      <c r="J1754" s="2" t="s">
        <v>762</v>
      </c>
      <c r="K1754" s="109" t="s">
        <v>602</v>
      </c>
      <c r="L1754" s="89">
        <v>40000</v>
      </c>
      <c r="M1754" s="202" t="s">
        <v>97</v>
      </c>
      <c r="N1754" s="39" t="s">
        <v>48</v>
      </c>
      <c r="O1754" s="39" t="s">
        <v>57</v>
      </c>
      <c r="P1754" s="66"/>
      <c r="Q1754" s="38">
        <f>R1754*I1754</f>
        <v>330</v>
      </c>
      <c r="R1754" s="15">
        <v>0.11</v>
      </c>
      <c r="S1754" s="149" t="s">
        <v>110</v>
      </c>
      <c r="T1754" s="149"/>
      <c r="U1754" s="109" t="s">
        <v>375</v>
      </c>
      <c r="V1754" s="205" t="s">
        <v>121</v>
      </c>
      <c r="W1754" s="205"/>
      <c r="AE1754" s="2">
        <f>AC1754*AD1754</f>
        <v>0</v>
      </c>
      <c r="AF1754" s="2" t="e">
        <f>Z1754/Y1754</f>
        <v>#DIV/0!</v>
      </c>
      <c r="AG1754" s="2" t="e">
        <f>AA1754/Z1754</f>
        <v>#DIV/0!</v>
      </c>
      <c r="AH1754" s="2" t="e">
        <f>AB1754/AA1754</f>
        <v>#DIV/0!</v>
      </c>
    </row>
    <row r="1755" spans="1:34">
      <c r="A1755" s="165" t="s">
        <v>1383</v>
      </c>
      <c r="B1755" s="36" t="s">
        <v>63</v>
      </c>
      <c r="C1755" s="41">
        <v>46215</v>
      </c>
      <c r="D1755" s="144" t="s">
        <v>876</v>
      </c>
      <c r="E1755" s="194">
        <v>92</v>
      </c>
      <c r="F1755" s="8" t="s">
        <v>1277</v>
      </c>
      <c r="G1755" s="2">
        <v>3</v>
      </c>
      <c r="H1755" s="2">
        <v>9</v>
      </c>
      <c r="I1755" s="45">
        <v>3000</v>
      </c>
      <c r="J1755" s="2" t="s">
        <v>110</v>
      </c>
      <c r="K1755" s="109" t="s">
        <v>815</v>
      </c>
      <c r="L1755" s="89">
        <v>40000</v>
      </c>
      <c r="M1755" s="202">
        <v>60</v>
      </c>
      <c r="N1755" s="39" t="s">
        <v>48</v>
      </c>
      <c r="O1755" s="39" t="s">
        <v>123</v>
      </c>
      <c r="P1755" s="66"/>
      <c r="Q1755" s="38">
        <f>R1755*I1755</f>
        <v>330</v>
      </c>
      <c r="R1755" s="15">
        <v>0.11</v>
      </c>
      <c r="S1755" s="149" t="s">
        <v>110</v>
      </c>
      <c r="T1755" s="149"/>
      <c r="U1755" s="109" t="s">
        <v>767</v>
      </c>
      <c r="V1755" s="2" t="s">
        <v>121</v>
      </c>
      <c r="W1755" s="205"/>
      <c r="AE1755" s="2">
        <f>AC1755*AD1755</f>
        <v>0</v>
      </c>
      <c r="AF1755" s="2" t="e">
        <f>Z1755/Y1755</f>
        <v>#DIV/0!</v>
      </c>
      <c r="AG1755" s="2" t="e">
        <f>AA1755/Z1755</f>
        <v>#DIV/0!</v>
      </c>
      <c r="AH1755" s="2" t="e">
        <f>AB1755/AA1755</f>
        <v>#DIV/0!</v>
      </c>
    </row>
    <row r="1756" spans="1:34">
      <c r="A1756" s="68" t="s">
        <v>357</v>
      </c>
      <c r="B1756" s="68" t="s">
        <v>358</v>
      </c>
      <c r="C1756" s="191">
        <v>46216</v>
      </c>
      <c r="D1756" s="42">
        <v>0.4236111111111111</v>
      </c>
      <c r="E1756" s="194">
        <v>87</v>
      </c>
      <c r="F1756" s="63" t="s">
        <v>337</v>
      </c>
      <c r="G1756" s="2">
        <v>2</v>
      </c>
      <c r="H1756" s="2">
        <v>9</v>
      </c>
      <c r="I1756" s="126">
        <v>1100</v>
      </c>
      <c r="J1756" s="2" t="s">
        <v>766</v>
      </c>
      <c r="K1756" s="137" t="s">
        <v>598</v>
      </c>
      <c r="L1756" s="89">
        <v>40000</v>
      </c>
      <c r="M1756" s="54">
        <v>40</v>
      </c>
      <c r="N1756" s="39" t="s">
        <v>48</v>
      </c>
      <c r="O1756" s="39" t="s">
        <v>49</v>
      </c>
      <c r="P1756" s="211" t="s">
        <v>848</v>
      </c>
      <c r="Q1756" s="19">
        <v>140</v>
      </c>
      <c r="R1756" s="15">
        <f>Q1756/I1756</f>
        <v>0.12727272727272726</v>
      </c>
      <c r="S1756" s="5">
        <f>($AC1756*$AD1756)/(($Z1756/$Y1756)+($AA1756/$Z1756)+($AB1756/$AA1756))</f>
        <v>102.59605399792316</v>
      </c>
      <c r="U1756" s="109" t="s">
        <v>767</v>
      </c>
      <c r="V1756" s="2" t="s">
        <v>703</v>
      </c>
      <c r="W1756" s="205"/>
      <c r="X1756" s="205"/>
      <c r="Y1756" s="2">
        <v>2</v>
      </c>
      <c r="Z1756" s="2">
        <v>5</v>
      </c>
      <c r="AA1756" s="2">
        <v>13</v>
      </c>
      <c r="AB1756" s="2">
        <v>30</v>
      </c>
      <c r="AC1756" s="2">
        <v>40</v>
      </c>
      <c r="AD1756" s="2">
        <v>19</v>
      </c>
      <c r="AE1756" s="2">
        <f>AC1756*AD1756</f>
        <v>760</v>
      </c>
      <c r="AF1756" s="2">
        <f>Z1756/Y1756</f>
        <v>2.5</v>
      </c>
      <c r="AG1756" s="2">
        <f>AA1756/Z1756</f>
        <v>2.6</v>
      </c>
      <c r="AH1756" s="2">
        <f>AB1756/AA1756</f>
        <v>2.3076923076923075</v>
      </c>
    </row>
    <row r="1757" spans="1:34">
      <c r="A1757" s="52" t="s">
        <v>220</v>
      </c>
      <c r="B1757" s="52" t="s">
        <v>221</v>
      </c>
      <c r="C1757" s="191">
        <v>46216</v>
      </c>
      <c r="D1757" s="42">
        <v>0.5</v>
      </c>
      <c r="E1757" s="43"/>
      <c r="F1757" s="8" t="s">
        <v>1053</v>
      </c>
      <c r="G1757" s="2">
        <v>1</v>
      </c>
      <c r="H1757" s="2">
        <v>9</v>
      </c>
      <c r="I1757" s="125">
        <v>600</v>
      </c>
      <c r="J1757" s="2" t="s">
        <v>766</v>
      </c>
      <c r="K1757" s="88" t="s">
        <v>780</v>
      </c>
      <c r="L1757" s="90">
        <v>30000</v>
      </c>
      <c r="M1757" s="64">
        <v>30</v>
      </c>
      <c r="N1757" s="39" t="s">
        <v>48</v>
      </c>
      <c r="O1757" s="39" t="s">
        <v>49</v>
      </c>
      <c r="P1757" s="212" t="s">
        <v>837</v>
      </c>
      <c r="Q1757" s="19">
        <v>85</v>
      </c>
      <c r="R1757" s="15">
        <f>Q1757/I1757</f>
        <v>0.14166666666666666</v>
      </c>
      <c r="S1757" s="5">
        <f>($AC1757*$AD1757)/(($Z1757/$Y1757)+($AA1757/$Z1757)+($AB1757/$AA1757))</f>
        <v>41.632653061224495</v>
      </c>
      <c r="U1757" s="109" t="s">
        <v>767</v>
      </c>
      <c r="V1757" s="2" t="s">
        <v>738</v>
      </c>
      <c r="W1757" s="205"/>
      <c r="Y1757" s="2">
        <v>2</v>
      </c>
      <c r="Z1757" s="2">
        <v>5</v>
      </c>
      <c r="AA1757" s="2">
        <v>15</v>
      </c>
      <c r="AB1757" s="2">
        <v>40</v>
      </c>
      <c r="AC1757" s="2">
        <v>17</v>
      </c>
      <c r="AD1757" s="2">
        <v>20</v>
      </c>
      <c r="AE1757" s="2">
        <f>AC1757*AD1757</f>
        <v>340</v>
      </c>
      <c r="AF1757" s="2">
        <f>Z1757/Y1757</f>
        <v>2.5</v>
      </c>
      <c r="AG1757" s="2">
        <f>AA1757/Z1757</f>
        <v>3</v>
      </c>
      <c r="AH1757" s="2">
        <f>AB1757/AA1757</f>
        <v>2.6666666666666665</v>
      </c>
    </row>
    <row r="1758" spans="1:34">
      <c r="A1758" s="165" t="s">
        <v>1383</v>
      </c>
      <c r="B1758" s="39" t="s">
        <v>63</v>
      </c>
      <c r="C1758" s="41">
        <v>46216</v>
      </c>
      <c r="D1758" s="144">
        <v>0.625</v>
      </c>
      <c r="E1758" s="43"/>
      <c r="F1758" s="194" t="s">
        <v>912</v>
      </c>
      <c r="G1758" s="2">
        <v>1</v>
      </c>
      <c r="H1758" s="2">
        <v>9</v>
      </c>
      <c r="I1758" s="45">
        <v>240</v>
      </c>
      <c r="J1758" s="2" t="s">
        <v>766</v>
      </c>
      <c r="K1758" s="88" t="s">
        <v>784</v>
      </c>
      <c r="L1758" s="89">
        <v>10000</v>
      </c>
      <c r="M1758" s="202">
        <v>20</v>
      </c>
      <c r="N1758" s="132" t="s">
        <v>821</v>
      </c>
      <c r="O1758" s="39" t="s">
        <v>49</v>
      </c>
      <c r="P1758" s="130"/>
      <c r="Q1758" s="19">
        <v>40</v>
      </c>
      <c r="R1758" s="15">
        <v>0.16666666666666666</v>
      </c>
      <c r="S1758" s="5">
        <v>29</v>
      </c>
      <c r="U1758" s="109" t="s">
        <v>767</v>
      </c>
      <c r="V1758" s="71" t="s">
        <v>362</v>
      </c>
      <c r="W1758" s="8" t="s">
        <v>367</v>
      </c>
      <c r="Y1758" s="175"/>
      <c r="Z1758" s="175"/>
      <c r="AA1758" s="175"/>
      <c r="AB1758" s="175"/>
      <c r="AC1758" s="175"/>
      <c r="AD1758" s="175"/>
      <c r="AE1758" s="175"/>
      <c r="AF1758" s="175"/>
      <c r="AG1758" s="175"/>
      <c r="AH1758" s="175"/>
    </row>
    <row r="1759" spans="1:34">
      <c r="A1759" s="52" t="s">
        <v>220</v>
      </c>
      <c r="B1759" s="52" t="s">
        <v>221</v>
      </c>
      <c r="C1759" s="191">
        <v>46216</v>
      </c>
      <c r="D1759" s="42">
        <v>0.75</v>
      </c>
      <c r="E1759" s="43"/>
      <c r="F1759" s="194" t="s">
        <v>1073</v>
      </c>
      <c r="G1759" s="2">
        <v>1</v>
      </c>
      <c r="H1759" s="2">
        <v>9</v>
      </c>
      <c r="I1759" s="126">
        <v>600</v>
      </c>
      <c r="J1759" s="2" t="s">
        <v>766</v>
      </c>
      <c r="K1759" s="88" t="s">
        <v>799</v>
      </c>
      <c r="L1759" s="90">
        <v>30000</v>
      </c>
      <c r="M1759" s="64">
        <v>20</v>
      </c>
      <c r="N1759" s="39" t="s">
        <v>48</v>
      </c>
      <c r="O1759" s="39" t="s">
        <v>49</v>
      </c>
      <c r="P1759" s="140" t="s">
        <v>837</v>
      </c>
      <c r="Q1759" s="19">
        <v>85</v>
      </c>
      <c r="R1759" s="15">
        <f>Q1759/I1759</f>
        <v>0.14166666666666666</v>
      </c>
      <c r="S1759" s="5">
        <f>($AC1759*$AD1759)/(($Z1759/$Y1759)+($AA1759/$Z1759)+($AB1759/$AA1759))</f>
        <v>41.632653061224495</v>
      </c>
      <c r="U1759" s="109" t="s">
        <v>129</v>
      </c>
      <c r="V1759" s="205" t="s">
        <v>738</v>
      </c>
      <c r="W1759" s="205"/>
      <c r="Y1759" s="2">
        <v>2</v>
      </c>
      <c r="Z1759" s="2">
        <v>5</v>
      </c>
      <c r="AA1759" s="2">
        <v>15</v>
      </c>
      <c r="AB1759" s="2">
        <v>40</v>
      </c>
      <c r="AC1759" s="2">
        <v>17</v>
      </c>
      <c r="AD1759" s="2">
        <v>20</v>
      </c>
      <c r="AE1759" s="2">
        <f>AC1759*AD1759</f>
        <v>340</v>
      </c>
      <c r="AF1759" s="2">
        <f>Z1759/Y1759</f>
        <v>2.5</v>
      </c>
      <c r="AG1759" s="2">
        <f>AA1759/Z1759</f>
        <v>3</v>
      </c>
      <c r="AH1759" s="2">
        <f>AB1759/AA1759</f>
        <v>2.6666666666666665</v>
      </c>
    </row>
    <row r="1760" spans="1:34">
      <c r="A1760" s="68" t="s">
        <v>357</v>
      </c>
      <c r="B1760" s="68" t="s">
        <v>358</v>
      </c>
      <c r="C1760" s="191">
        <v>46216</v>
      </c>
      <c r="D1760" s="42">
        <v>0.75694444444444442</v>
      </c>
      <c r="E1760" s="194">
        <v>87</v>
      </c>
      <c r="F1760" s="189" t="s">
        <v>1418</v>
      </c>
      <c r="G1760" s="2">
        <v>2</v>
      </c>
      <c r="H1760" s="2">
        <v>9</v>
      </c>
      <c r="I1760" s="126">
        <v>1100</v>
      </c>
      <c r="J1760" s="2" t="s">
        <v>766</v>
      </c>
      <c r="K1760" s="137" t="s">
        <v>598</v>
      </c>
      <c r="L1760" s="89">
        <v>40000</v>
      </c>
      <c r="M1760" s="54">
        <v>20</v>
      </c>
      <c r="N1760" s="39" t="s">
        <v>48</v>
      </c>
      <c r="O1760" s="39" t="s">
        <v>49</v>
      </c>
      <c r="P1760" s="211" t="s">
        <v>848</v>
      </c>
      <c r="Q1760" s="19">
        <v>140</v>
      </c>
      <c r="R1760" s="15">
        <f>Q1760/I1760</f>
        <v>0.12727272727272726</v>
      </c>
      <c r="S1760" s="5">
        <f>($AC1760*$AD1760)/(($Z1760/$Y1760)+($AA1760/$Z1760)+($AB1760/$AA1760))</f>
        <v>51.298026998961582</v>
      </c>
      <c r="U1760" s="109" t="s">
        <v>767</v>
      </c>
      <c r="V1760" s="71" t="s">
        <v>1419</v>
      </c>
      <c r="Y1760" s="2">
        <v>2</v>
      </c>
      <c r="Z1760" s="2">
        <v>5</v>
      </c>
      <c r="AA1760" s="2">
        <v>13</v>
      </c>
      <c r="AB1760" s="2">
        <v>30</v>
      </c>
      <c r="AC1760" s="2">
        <v>20</v>
      </c>
      <c r="AD1760" s="2">
        <v>19</v>
      </c>
      <c r="AE1760" s="2">
        <f>AC1760*AD1760</f>
        <v>380</v>
      </c>
      <c r="AF1760" s="2">
        <f>Z1760/Y1760</f>
        <v>2.5</v>
      </c>
      <c r="AG1760" s="2">
        <f>AA1760/Z1760</f>
        <v>2.6</v>
      </c>
      <c r="AH1760" s="2">
        <f>AB1760/AA1760</f>
        <v>2.3076923076923075</v>
      </c>
    </row>
    <row r="1761" spans="1:34">
      <c r="A1761" s="165" t="s">
        <v>1383</v>
      </c>
      <c r="B1761" s="39" t="s">
        <v>63</v>
      </c>
      <c r="C1761" s="41">
        <v>46216</v>
      </c>
      <c r="D1761" s="144">
        <v>0.83333333333333337</v>
      </c>
      <c r="E1761" s="194"/>
      <c r="F1761" s="8" t="s">
        <v>1023</v>
      </c>
      <c r="G1761" s="2">
        <v>1</v>
      </c>
      <c r="H1761" s="2">
        <v>9</v>
      </c>
      <c r="I1761" s="45">
        <v>200</v>
      </c>
      <c r="J1761" s="2" t="s">
        <v>766</v>
      </c>
      <c r="K1761" s="88" t="s">
        <v>806</v>
      </c>
      <c r="L1761" s="89">
        <v>20000</v>
      </c>
      <c r="M1761" s="2">
        <v>20</v>
      </c>
      <c r="N1761" s="39" t="s">
        <v>817</v>
      </c>
      <c r="O1761" s="39" t="s">
        <v>49</v>
      </c>
      <c r="P1761" s="130"/>
      <c r="Q1761" s="19">
        <v>45</v>
      </c>
      <c r="R1761" s="15">
        <f>Q1761/I1761</f>
        <v>0.22500000000000001</v>
      </c>
      <c r="S1761" s="5">
        <v>23</v>
      </c>
      <c r="U1761" s="109" t="s">
        <v>129</v>
      </c>
      <c r="V1761" s="71" t="s">
        <v>360</v>
      </c>
      <c r="Y1761" s="175"/>
      <c r="Z1761" s="175"/>
      <c r="AA1761" s="175"/>
      <c r="AB1761" s="175"/>
      <c r="AC1761" s="175"/>
      <c r="AD1761" s="175"/>
      <c r="AE1761" s="175"/>
      <c r="AF1761" s="175"/>
      <c r="AG1761" s="175"/>
      <c r="AH1761" s="175"/>
    </row>
    <row r="1762" spans="1:34">
      <c r="A1762" s="165" t="s">
        <v>1383</v>
      </c>
      <c r="B1762" s="39" t="s">
        <v>63</v>
      </c>
      <c r="C1762" s="41">
        <v>46216</v>
      </c>
      <c r="D1762" s="144">
        <v>0.91666666666666663</v>
      </c>
      <c r="E1762" s="43"/>
      <c r="F1762" s="8" t="s">
        <v>909</v>
      </c>
      <c r="G1762" s="2">
        <v>1</v>
      </c>
      <c r="H1762" s="2">
        <v>9</v>
      </c>
      <c r="I1762" s="45">
        <v>135</v>
      </c>
      <c r="J1762" s="2" t="s">
        <v>766</v>
      </c>
      <c r="K1762" s="88" t="s">
        <v>813</v>
      </c>
      <c r="L1762" s="89">
        <v>10000</v>
      </c>
      <c r="M1762" s="54">
        <v>15</v>
      </c>
      <c r="N1762" s="132" t="s">
        <v>821</v>
      </c>
      <c r="O1762" s="39" t="s">
        <v>49</v>
      </c>
      <c r="P1762" s="130"/>
      <c r="Q1762" s="19">
        <v>35</v>
      </c>
      <c r="R1762" s="15">
        <f>Q1762/I1762</f>
        <v>0.25925925925925924</v>
      </c>
      <c r="S1762" s="5">
        <v>22</v>
      </c>
      <c r="U1762" s="109" t="s">
        <v>767</v>
      </c>
      <c r="V1762" s="71" t="s">
        <v>362</v>
      </c>
      <c r="W1762" s="8" t="s">
        <v>369</v>
      </c>
      <c r="Y1762" s="175"/>
      <c r="Z1762" s="175"/>
      <c r="AA1762" s="175"/>
      <c r="AB1762" s="175"/>
      <c r="AC1762" s="175"/>
      <c r="AD1762" s="175"/>
      <c r="AE1762" s="175"/>
      <c r="AF1762" s="175"/>
      <c r="AG1762" s="175"/>
      <c r="AH1762" s="175"/>
    </row>
    <row r="1763" spans="1:34">
      <c r="A1763" s="165" t="s">
        <v>1383</v>
      </c>
      <c r="B1763" s="36" t="s">
        <v>63</v>
      </c>
      <c r="C1763" s="41">
        <v>46216</v>
      </c>
      <c r="D1763" s="144" t="s">
        <v>117</v>
      </c>
      <c r="E1763" s="228">
        <v>95</v>
      </c>
      <c r="F1763" s="8" t="s">
        <v>1018</v>
      </c>
      <c r="G1763" s="2">
        <v>2</v>
      </c>
      <c r="H1763" s="2">
        <v>9</v>
      </c>
      <c r="I1763" s="45">
        <v>500</v>
      </c>
      <c r="J1763" s="2" t="s">
        <v>763</v>
      </c>
      <c r="K1763" s="109" t="s">
        <v>601</v>
      </c>
      <c r="L1763" s="89">
        <v>50000</v>
      </c>
      <c r="M1763" s="202">
        <v>30</v>
      </c>
      <c r="N1763" s="39" t="s">
        <v>48</v>
      </c>
      <c r="O1763" s="39" t="s">
        <v>49</v>
      </c>
      <c r="P1763" s="130"/>
      <c r="Q1763" s="19">
        <f>R1763*I1763</f>
        <v>85</v>
      </c>
      <c r="R1763" s="15">
        <v>0.17</v>
      </c>
      <c r="S1763" s="5">
        <f>($AC1763*$AD1763)/(($Z1763/$Y1763)+($AA1763/$Z1763)+($AB1763/$AA1763))</f>
        <v>82.173913043478265</v>
      </c>
      <c r="U1763" s="109" t="s">
        <v>767</v>
      </c>
      <c r="V1763" s="205" t="s">
        <v>121</v>
      </c>
      <c r="W1763" s="205"/>
      <c r="Y1763" s="2">
        <v>1.5</v>
      </c>
      <c r="Z1763" s="2">
        <v>4</v>
      </c>
      <c r="AA1763" s="2">
        <v>10</v>
      </c>
      <c r="AB1763" s="2">
        <v>25</v>
      </c>
      <c r="AC1763" s="2">
        <v>30</v>
      </c>
      <c r="AD1763" s="2">
        <v>21</v>
      </c>
      <c r="AE1763" s="2">
        <f>AC1763*AD1763</f>
        <v>630</v>
      </c>
      <c r="AF1763" s="2">
        <f>Z1763/Y1763</f>
        <v>2.6666666666666665</v>
      </c>
      <c r="AG1763" s="2">
        <f>AA1763/Z1763</f>
        <v>2.5</v>
      </c>
      <c r="AH1763" s="2">
        <f>AB1763/AA1763</f>
        <v>2.5</v>
      </c>
    </row>
    <row r="1764" spans="1:34">
      <c r="A1764" s="165" t="s">
        <v>1383</v>
      </c>
      <c r="B1764" s="36" t="s">
        <v>63</v>
      </c>
      <c r="C1764" s="41">
        <v>46216</v>
      </c>
      <c r="D1764" s="144" t="s">
        <v>120</v>
      </c>
      <c r="E1764" s="35">
        <v>82</v>
      </c>
      <c r="F1764" s="194" t="s">
        <v>1161</v>
      </c>
      <c r="G1764" s="2">
        <v>8</v>
      </c>
      <c r="H1764" s="2">
        <v>9</v>
      </c>
      <c r="I1764" s="45">
        <v>10000</v>
      </c>
      <c r="J1764" s="2" t="s">
        <v>110</v>
      </c>
      <c r="K1764" s="109" t="s">
        <v>737</v>
      </c>
      <c r="L1764" s="92">
        <v>60000</v>
      </c>
      <c r="M1764" s="69">
        <v>120</v>
      </c>
      <c r="N1764" s="39" t="s">
        <v>48</v>
      </c>
      <c r="O1764" s="39" t="s">
        <v>49</v>
      </c>
      <c r="P1764" s="130"/>
      <c r="Q1764" s="19">
        <f>R1764*I1764</f>
        <v>700.00000000000011</v>
      </c>
      <c r="R1764" s="15">
        <v>7.0000000000000007E-2</v>
      </c>
      <c r="S1764" s="5">
        <f>($AC1764*$AD1764)/(($Z1764/$Y1764)+($AA1764/$Z1764)+($AB1764/$AA1764))</f>
        <v>340.18691588785049</v>
      </c>
      <c r="U1764" s="109" t="s">
        <v>853</v>
      </c>
      <c r="V1764" s="2" t="s">
        <v>121</v>
      </c>
      <c r="Y1764" s="2">
        <v>2</v>
      </c>
      <c r="Z1764" s="2">
        <v>5</v>
      </c>
      <c r="AA1764" s="2">
        <v>13</v>
      </c>
      <c r="AB1764" s="2">
        <v>30</v>
      </c>
      <c r="AC1764" s="2">
        <v>120</v>
      </c>
      <c r="AD1764" s="2">
        <v>21</v>
      </c>
      <c r="AE1764" s="2">
        <f>AC1764*AD1764</f>
        <v>2520</v>
      </c>
      <c r="AF1764" s="2">
        <f>Z1764/Y1764</f>
        <v>2.5</v>
      </c>
      <c r="AG1764" s="2">
        <f>AA1764/Z1764</f>
        <v>2.6</v>
      </c>
      <c r="AH1764" s="2">
        <f>AB1764/AA1764</f>
        <v>2.3076923076923075</v>
      </c>
    </row>
    <row r="1765" spans="1:34">
      <c r="A1765" s="165" t="s">
        <v>1383</v>
      </c>
      <c r="B1765" s="36" t="s">
        <v>63</v>
      </c>
      <c r="C1765" s="41">
        <v>46216</v>
      </c>
      <c r="D1765" s="144" t="s">
        <v>115</v>
      </c>
      <c r="E1765" s="35">
        <v>93</v>
      </c>
      <c r="F1765" s="194" t="s">
        <v>1132</v>
      </c>
      <c r="G1765" s="2">
        <v>2</v>
      </c>
      <c r="H1765" s="2">
        <v>9</v>
      </c>
      <c r="I1765" s="45">
        <v>1500</v>
      </c>
      <c r="J1765" s="2" t="s">
        <v>766</v>
      </c>
      <c r="K1765" s="109" t="s">
        <v>601</v>
      </c>
      <c r="L1765" s="89">
        <v>50000</v>
      </c>
      <c r="M1765" s="202">
        <v>30</v>
      </c>
      <c r="N1765" s="39" t="s">
        <v>48</v>
      </c>
      <c r="O1765" s="39" t="s">
        <v>49</v>
      </c>
      <c r="P1765" s="130"/>
      <c r="Q1765" s="19">
        <f>R1765*I1765</f>
        <v>172.5</v>
      </c>
      <c r="R1765" s="15">
        <v>0.115</v>
      </c>
      <c r="S1765" s="5">
        <f>($AC1765*$AD1765)/(($Z1765/$Y1765)+($AA1765/$Z1765)+($AB1765/$AA1765))</f>
        <v>82.173913043478265</v>
      </c>
      <c r="U1765" s="109" t="s">
        <v>767</v>
      </c>
      <c r="V1765" s="205" t="s">
        <v>121</v>
      </c>
      <c r="Y1765" s="2">
        <v>1.5</v>
      </c>
      <c r="Z1765" s="2">
        <v>4</v>
      </c>
      <c r="AA1765" s="2">
        <v>10</v>
      </c>
      <c r="AB1765" s="2">
        <v>25</v>
      </c>
      <c r="AC1765" s="2">
        <v>30</v>
      </c>
      <c r="AD1765" s="2">
        <v>21</v>
      </c>
      <c r="AE1765" s="2">
        <f>AC1765*AD1765</f>
        <v>630</v>
      </c>
      <c r="AF1765" s="2">
        <f>Z1765/Y1765</f>
        <v>2.6666666666666665</v>
      </c>
      <c r="AG1765" s="2">
        <f>AA1765/Z1765</f>
        <v>2.5</v>
      </c>
      <c r="AH1765" s="2">
        <f>AB1765/AA1765</f>
        <v>2.5</v>
      </c>
    </row>
    <row r="1766" spans="1:34">
      <c r="A1766" s="165" t="s">
        <v>1383</v>
      </c>
      <c r="B1766" s="36" t="s">
        <v>63</v>
      </c>
      <c r="C1766" s="41">
        <v>46216</v>
      </c>
      <c r="D1766" s="144" t="s">
        <v>115</v>
      </c>
      <c r="E1766" s="35">
        <v>89</v>
      </c>
      <c r="F1766" s="8" t="s">
        <v>1181</v>
      </c>
      <c r="G1766" s="2">
        <v>4</v>
      </c>
      <c r="H1766" s="2">
        <v>9</v>
      </c>
      <c r="I1766" s="37">
        <v>3000</v>
      </c>
      <c r="J1766" s="2" t="s">
        <v>761</v>
      </c>
      <c r="K1766" s="109" t="s">
        <v>816</v>
      </c>
      <c r="L1766" s="89">
        <v>40000</v>
      </c>
      <c r="M1766" s="202">
        <v>60</v>
      </c>
      <c r="N1766" s="39" t="s">
        <v>48</v>
      </c>
      <c r="O1766" s="39" t="s">
        <v>49</v>
      </c>
      <c r="P1766" s="210"/>
      <c r="Q1766" s="19">
        <f>R1766*I1766</f>
        <v>330</v>
      </c>
      <c r="R1766" s="15">
        <v>0.11</v>
      </c>
      <c r="S1766" s="5">
        <f>($AC1766*$AD1766)/(($Z1766/$Y1766)+($AA1766/$Z1766)+($AB1766/$AA1766))</f>
        <v>153.89408099688475</v>
      </c>
      <c r="U1766" s="109" t="s">
        <v>767</v>
      </c>
      <c r="V1766" s="205" t="s">
        <v>121</v>
      </c>
      <c r="Y1766" s="2">
        <v>2</v>
      </c>
      <c r="Z1766" s="2">
        <v>5</v>
      </c>
      <c r="AA1766" s="2">
        <v>13</v>
      </c>
      <c r="AB1766" s="2">
        <v>30</v>
      </c>
      <c r="AC1766" s="2">
        <v>60</v>
      </c>
      <c r="AD1766" s="2">
        <v>19</v>
      </c>
      <c r="AE1766" s="2">
        <f>AC1766*AD1766</f>
        <v>1140</v>
      </c>
      <c r="AF1766" s="2">
        <f>Z1766/Y1766</f>
        <v>2.5</v>
      </c>
      <c r="AG1766" s="2">
        <f>AA1766/Z1766</f>
        <v>2.6</v>
      </c>
      <c r="AH1766" s="2">
        <f>AB1766/AA1766</f>
        <v>2.3076923076923075</v>
      </c>
    </row>
    <row r="1767" spans="1:34">
      <c r="A1767" s="165" t="s">
        <v>1383</v>
      </c>
      <c r="B1767" s="36" t="s">
        <v>63</v>
      </c>
      <c r="C1767" s="41">
        <v>46216</v>
      </c>
      <c r="D1767" s="144" t="s">
        <v>116</v>
      </c>
      <c r="E1767" s="194">
        <v>97</v>
      </c>
      <c r="F1767" s="8" t="s">
        <v>1019</v>
      </c>
      <c r="G1767" s="2">
        <v>3</v>
      </c>
      <c r="H1767" s="2">
        <v>9</v>
      </c>
      <c r="I1767" s="45">
        <v>25000</v>
      </c>
      <c r="J1767" s="2" t="s">
        <v>760</v>
      </c>
      <c r="K1767" s="109" t="s">
        <v>601</v>
      </c>
      <c r="L1767" s="89">
        <v>150000</v>
      </c>
      <c r="M1767" s="202">
        <v>60</v>
      </c>
      <c r="N1767" s="39" t="s">
        <v>48</v>
      </c>
      <c r="O1767" s="39" t="s">
        <v>122</v>
      </c>
      <c r="P1767" s="66"/>
      <c r="Q1767" s="38">
        <f>R1767*I1767</f>
        <v>1500</v>
      </c>
      <c r="R1767" s="15">
        <v>0.06</v>
      </c>
      <c r="S1767" s="149" t="s">
        <v>110</v>
      </c>
      <c r="T1767" s="149"/>
      <c r="U1767" s="109" t="s">
        <v>767</v>
      </c>
      <c r="V1767" s="2" t="s">
        <v>121</v>
      </c>
      <c r="W1767" s="205"/>
      <c r="AE1767" s="2">
        <f>AC1767*AD1767</f>
        <v>0</v>
      </c>
      <c r="AF1767" s="2" t="e">
        <f>Z1767/Y1767</f>
        <v>#DIV/0!</v>
      </c>
      <c r="AG1767" s="2" t="e">
        <f>AA1767/Z1767</f>
        <v>#DIV/0!</v>
      </c>
      <c r="AH1767" s="2" t="e">
        <f>AB1767/AA1767</f>
        <v>#DIV/0!</v>
      </c>
    </row>
    <row r="1768" spans="1:34">
      <c r="A1768" s="165" t="s">
        <v>1383</v>
      </c>
      <c r="B1768" s="36" t="s">
        <v>63</v>
      </c>
      <c r="C1768" s="41">
        <v>46216</v>
      </c>
      <c r="D1768" s="144" t="s">
        <v>876</v>
      </c>
      <c r="E1768" s="194">
        <v>94</v>
      </c>
      <c r="F1768" s="8" t="s">
        <v>1247</v>
      </c>
      <c r="G1768" s="2">
        <v>3</v>
      </c>
      <c r="H1768" s="2">
        <v>6</v>
      </c>
      <c r="I1768" s="45">
        <v>10000</v>
      </c>
      <c r="J1768" s="2" t="s">
        <v>110</v>
      </c>
      <c r="K1768" s="109" t="s">
        <v>601</v>
      </c>
      <c r="L1768" s="89">
        <v>60000</v>
      </c>
      <c r="M1768" s="202">
        <v>60</v>
      </c>
      <c r="N1768" s="39" t="s">
        <v>48</v>
      </c>
      <c r="O1768" s="39" t="s">
        <v>49</v>
      </c>
      <c r="P1768" s="130"/>
      <c r="Q1768" s="19">
        <f>R1768*I1768</f>
        <v>700.00000000000011</v>
      </c>
      <c r="R1768" s="15">
        <v>7.0000000000000007E-2</v>
      </c>
      <c r="S1768" s="5">
        <f>($AC1768*$AD1768)/(($Z1768/$Y1768)+($AA1768/$Z1768)+($AB1768/$AA1768))</f>
        <v>170.09345794392524</v>
      </c>
      <c r="U1768" s="109" t="s">
        <v>375</v>
      </c>
      <c r="V1768" s="205" t="s">
        <v>121</v>
      </c>
      <c r="W1768" s="205"/>
      <c r="Y1768" s="2">
        <v>2</v>
      </c>
      <c r="Z1768" s="2">
        <v>5</v>
      </c>
      <c r="AA1768" s="2">
        <v>13</v>
      </c>
      <c r="AB1768" s="2">
        <v>30</v>
      </c>
      <c r="AC1768" s="2">
        <v>60</v>
      </c>
      <c r="AD1768" s="2">
        <v>21</v>
      </c>
      <c r="AE1768" s="2">
        <f>AC1768*AD1768</f>
        <v>1260</v>
      </c>
      <c r="AF1768" s="2">
        <f>Z1768/Y1768</f>
        <v>2.5</v>
      </c>
      <c r="AG1768" s="2">
        <f>AA1768/Z1768</f>
        <v>2.6</v>
      </c>
      <c r="AH1768" s="2">
        <f>AB1768/AA1768</f>
        <v>2.3076923076923075</v>
      </c>
    </row>
    <row r="1769" spans="1:34">
      <c r="A1769" s="165" t="s">
        <v>1383</v>
      </c>
      <c r="B1769" s="36" t="s">
        <v>63</v>
      </c>
      <c r="C1769" s="41">
        <v>46216</v>
      </c>
      <c r="D1769" s="144" t="s">
        <v>876</v>
      </c>
      <c r="E1769" s="228">
        <v>88</v>
      </c>
      <c r="F1769" s="194" t="s">
        <v>1278</v>
      </c>
      <c r="G1769" s="2">
        <v>3</v>
      </c>
      <c r="H1769" s="2">
        <v>9</v>
      </c>
      <c r="I1769" s="45">
        <v>300</v>
      </c>
      <c r="J1769" s="2" t="s">
        <v>763</v>
      </c>
      <c r="K1769" s="109" t="s">
        <v>816</v>
      </c>
      <c r="L1769" s="89">
        <v>30000</v>
      </c>
      <c r="M1769" s="202" t="s">
        <v>22</v>
      </c>
      <c r="N1769" s="39" t="s">
        <v>48</v>
      </c>
      <c r="O1769" s="39" t="s">
        <v>49</v>
      </c>
      <c r="P1769" s="130"/>
      <c r="Q1769" s="19">
        <f>R1769*I1769</f>
        <v>0</v>
      </c>
      <c r="R1769" s="15">
        <v>0</v>
      </c>
      <c r="S1769" s="5">
        <f>($AC1769*$AD1769)/(($Z1769/$Y1769)+($AA1769/$Z1769)+($AB1769/$AA1769))</f>
        <v>62.448979591836739</v>
      </c>
      <c r="U1769" s="109" t="s">
        <v>767</v>
      </c>
      <c r="V1769" s="2" t="s">
        <v>121</v>
      </c>
      <c r="W1769" s="205"/>
      <c r="Y1769" s="2">
        <v>2</v>
      </c>
      <c r="Z1769" s="2">
        <v>5</v>
      </c>
      <c r="AA1769" s="2">
        <v>15</v>
      </c>
      <c r="AB1769" s="2">
        <v>40</v>
      </c>
      <c r="AC1769" s="2">
        <v>30</v>
      </c>
      <c r="AD1769" s="2">
        <v>17</v>
      </c>
      <c r="AE1769" s="2">
        <f>AC1769*AD1769</f>
        <v>510</v>
      </c>
      <c r="AF1769" s="2">
        <f>Z1769/Y1769</f>
        <v>2.5</v>
      </c>
      <c r="AG1769" s="2">
        <f>AA1769/Z1769</f>
        <v>3</v>
      </c>
      <c r="AH1769" s="2">
        <f>AB1769/AA1769</f>
        <v>2.6666666666666665</v>
      </c>
    </row>
    <row r="1770" spans="1:34">
      <c r="A1770" s="68" t="s">
        <v>357</v>
      </c>
      <c r="B1770" s="68" t="s">
        <v>358</v>
      </c>
      <c r="C1770" s="191">
        <v>46217</v>
      </c>
      <c r="D1770" s="42">
        <v>0.4236111111111111</v>
      </c>
      <c r="E1770" s="194">
        <v>88</v>
      </c>
      <c r="F1770" s="63" t="s">
        <v>281</v>
      </c>
      <c r="G1770" s="2">
        <v>1</v>
      </c>
      <c r="H1770" s="2">
        <v>9</v>
      </c>
      <c r="I1770" s="126">
        <v>600</v>
      </c>
      <c r="J1770" s="2" t="s">
        <v>766</v>
      </c>
      <c r="K1770" s="137" t="s">
        <v>815</v>
      </c>
      <c r="L1770" s="89">
        <v>30000</v>
      </c>
      <c r="M1770" s="54">
        <v>30</v>
      </c>
      <c r="N1770" s="39" t="s">
        <v>48</v>
      </c>
      <c r="O1770" s="39" t="s">
        <v>49</v>
      </c>
      <c r="P1770" s="140" t="s">
        <v>835</v>
      </c>
      <c r="Q1770" s="19">
        <v>90</v>
      </c>
      <c r="R1770" s="15">
        <f>Q1770/I1770</f>
        <v>0.15</v>
      </c>
      <c r="S1770" s="5">
        <f>($AC1770*$AD1770)/(($Z1770/$Y1770)+($AA1770/$Z1770)+($AB1770/$AA1770))</f>
        <v>67.332430602572785</v>
      </c>
      <c r="U1770" s="109" t="s">
        <v>767</v>
      </c>
      <c r="V1770" s="2" t="s">
        <v>653</v>
      </c>
      <c r="W1770" s="205"/>
      <c r="Y1770" s="2">
        <v>2.5</v>
      </c>
      <c r="Z1770" s="2">
        <v>6.5</v>
      </c>
      <c r="AA1770" s="2">
        <v>15</v>
      </c>
      <c r="AB1770" s="2">
        <v>40</v>
      </c>
      <c r="AC1770" s="2">
        <v>30</v>
      </c>
      <c r="AD1770" s="2">
        <v>17</v>
      </c>
      <c r="AE1770" s="2">
        <f>AC1770*AD1770</f>
        <v>510</v>
      </c>
      <c r="AF1770" s="2">
        <f>Z1770/Y1770</f>
        <v>2.6</v>
      </c>
      <c r="AG1770" s="2">
        <f>AA1770/Z1770</f>
        <v>2.3076923076923075</v>
      </c>
      <c r="AH1770" s="2">
        <f>AB1770/AA1770</f>
        <v>2.6666666666666665</v>
      </c>
    </row>
    <row r="1771" spans="1:34">
      <c r="A1771" s="165" t="s">
        <v>1384</v>
      </c>
      <c r="B1771" s="50" t="s">
        <v>218</v>
      </c>
      <c r="C1771" s="224">
        <v>46217</v>
      </c>
      <c r="D1771" s="42">
        <v>0.45833333333333331</v>
      </c>
      <c r="E1771" s="196">
        <v>1</v>
      </c>
      <c r="F1771" s="114" t="s">
        <v>194</v>
      </c>
      <c r="G1771" s="2">
        <v>2</v>
      </c>
      <c r="I1771" s="128">
        <v>400</v>
      </c>
      <c r="J1771" s="2" t="s">
        <v>766</v>
      </c>
      <c r="K1771" s="109" t="s">
        <v>601</v>
      </c>
      <c r="L1771" s="93">
        <v>40000</v>
      </c>
      <c r="M1771" s="65" t="s">
        <v>195</v>
      </c>
      <c r="N1771" s="39" t="s">
        <v>48</v>
      </c>
      <c r="O1771" s="39" t="s">
        <v>49</v>
      </c>
      <c r="P1771" s="210"/>
      <c r="Q1771" s="19">
        <v>70</v>
      </c>
      <c r="R1771" s="15">
        <f>Q1771/I1771</f>
        <v>0.17499999999999999</v>
      </c>
      <c r="S1771" s="5">
        <f>($AC1771*$AD1771)/(($Z1771/$Y1771)+($AA1771/$Z1771)+($AB1771/$AA1771))</f>
        <v>72.897196261682254</v>
      </c>
      <c r="U1771" s="109" t="s">
        <v>767</v>
      </c>
      <c r="V1771" s="2" t="s">
        <v>877</v>
      </c>
      <c r="Y1771" s="2">
        <v>2</v>
      </c>
      <c r="Z1771" s="2">
        <v>5</v>
      </c>
      <c r="AA1771" s="2">
        <v>13</v>
      </c>
      <c r="AB1771" s="2">
        <v>30</v>
      </c>
      <c r="AC1771" s="2">
        <v>18</v>
      </c>
      <c r="AD1771" s="2">
        <v>30</v>
      </c>
      <c r="AE1771" s="2">
        <f>AC1771*AD1771</f>
        <v>540</v>
      </c>
      <c r="AF1771" s="2">
        <f>Z1771/Y1771</f>
        <v>2.5</v>
      </c>
      <c r="AG1771" s="2">
        <f>AA1771/Z1771</f>
        <v>2.6</v>
      </c>
      <c r="AH1771" s="2">
        <f>AB1771/AA1771</f>
        <v>2.3076923076923075</v>
      </c>
    </row>
    <row r="1772" spans="1:34">
      <c r="A1772" s="165" t="s">
        <v>1383</v>
      </c>
      <c r="B1772" s="36" t="s">
        <v>63</v>
      </c>
      <c r="C1772" s="41">
        <v>46217</v>
      </c>
      <c r="D1772" s="144">
        <v>0.5</v>
      </c>
      <c r="E1772" s="228">
        <v>95</v>
      </c>
      <c r="F1772" s="8" t="s">
        <v>1199</v>
      </c>
      <c r="G1772" s="2">
        <v>2</v>
      </c>
      <c r="H1772" s="2">
        <v>9</v>
      </c>
      <c r="I1772" s="45">
        <v>500</v>
      </c>
      <c r="J1772" s="2" t="s">
        <v>763</v>
      </c>
      <c r="K1772" s="109" t="s">
        <v>601</v>
      </c>
      <c r="L1772" s="89">
        <v>50000</v>
      </c>
      <c r="M1772" s="202">
        <v>30</v>
      </c>
      <c r="N1772" s="39" t="s">
        <v>48</v>
      </c>
      <c r="O1772" s="39" t="s">
        <v>49</v>
      </c>
      <c r="P1772" s="130"/>
      <c r="Q1772" s="19">
        <f>R1772*I1772</f>
        <v>85</v>
      </c>
      <c r="R1772" s="15">
        <v>0.17</v>
      </c>
      <c r="S1772" s="5">
        <f>($AC1772*$AD1772)/(($Z1772/$Y1772)+($AA1772/$Z1772)+($AB1772/$AA1772))</f>
        <v>82.173913043478265</v>
      </c>
      <c r="U1772" s="109" t="s">
        <v>767</v>
      </c>
      <c r="V1772" s="205" t="s">
        <v>121</v>
      </c>
      <c r="W1772" s="205"/>
      <c r="Y1772" s="2">
        <v>1.5</v>
      </c>
      <c r="Z1772" s="2">
        <v>4</v>
      </c>
      <c r="AA1772" s="2">
        <v>10</v>
      </c>
      <c r="AB1772" s="2">
        <v>25</v>
      </c>
      <c r="AC1772" s="2">
        <v>30</v>
      </c>
      <c r="AD1772" s="2">
        <v>21</v>
      </c>
      <c r="AE1772" s="2">
        <f>AC1772*AD1772</f>
        <v>630</v>
      </c>
      <c r="AF1772" s="2">
        <f>Z1772/Y1772</f>
        <v>2.6666666666666665</v>
      </c>
      <c r="AG1772" s="2">
        <f>AA1772/Z1772</f>
        <v>2.5</v>
      </c>
      <c r="AH1772" s="2">
        <f>AB1772/AA1772</f>
        <v>2.5</v>
      </c>
    </row>
    <row r="1773" spans="1:34">
      <c r="A1773" s="165" t="s">
        <v>1383</v>
      </c>
      <c r="B1773" s="36" t="s">
        <v>63</v>
      </c>
      <c r="C1773" s="41">
        <v>46217</v>
      </c>
      <c r="D1773" s="144">
        <v>0.54166666666666663</v>
      </c>
      <c r="E1773" s="194">
        <v>97</v>
      </c>
      <c r="F1773" s="8" t="s">
        <v>1169</v>
      </c>
      <c r="G1773" s="2">
        <v>3</v>
      </c>
      <c r="H1773" s="2">
        <v>9</v>
      </c>
      <c r="I1773" s="45">
        <v>25000</v>
      </c>
      <c r="J1773" s="2" t="s">
        <v>760</v>
      </c>
      <c r="K1773" s="109" t="s">
        <v>601</v>
      </c>
      <c r="L1773" s="89">
        <v>150000</v>
      </c>
      <c r="M1773" s="202">
        <v>60</v>
      </c>
      <c r="N1773" s="39" t="s">
        <v>48</v>
      </c>
      <c r="O1773" s="39" t="s">
        <v>122</v>
      </c>
      <c r="P1773" s="66"/>
      <c r="Q1773" s="38">
        <f>R1773*I1773</f>
        <v>1500</v>
      </c>
      <c r="R1773" s="15">
        <v>0.06</v>
      </c>
      <c r="S1773" s="149" t="s">
        <v>110</v>
      </c>
      <c r="T1773" s="149"/>
      <c r="U1773" s="109" t="s">
        <v>767</v>
      </c>
      <c r="V1773" s="2" t="s">
        <v>121</v>
      </c>
      <c r="W1773" s="205"/>
      <c r="AE1773" s="2">
        <f>AC1773*AD1773</f>
        <v>0</v>
      </c>
      <c r="AF1773" s="2" t="e">
        <f>Z1773/Y1773</f>
        <v>#DIV/0!</v>
      </c>
      <c r="AG1773" s="2" t="e">
        <f>AA1773/Z1773</f>
        <v>#DIV/0!</v>
      </c>
      <c r="AH1773" s="2" t="e">
        <f>AB1773/AA1773</f>
        <v>#DIV/0!</v>
      </c>
    </row>
    <row r="1774" spans="1:34">
      <c r="A1774" s="165" t="s">
        <v>1383</v>
      </c>
      <c r="B1774" s="36" t="s">
        <v>63</v>
      </c>
      <c r="C1774" s="41">
        <v>46217</v>
      </c>
      <c r="D1774" s="144">
        <v>0.54166666666666663</v>
      </c>
      <c r="E1774" s="194">
        <v>96</v>
      </c>
      <c r="F1774" s="8" t="s">
        <v>1276</v>
      </c>
      <c r="G1774" s="2">
        <v>3</v>
      </c>
      <c r="H1774" s="2">
        <v>6</v>
      </c>
      <c r="I1774" s="45">
        <v>3000</v>
      </c>
      <c r="J1774" s="2" t="s">
        <v>762</v>
      </c>
      <c r="K1774" s="109" t="s">
        <v>602</v>
      </c>
      <c r="L1774" s="89">
        <v>40000</v>
      </c>
      <c r="M1774" s="202" t="s">
        <v>97</v>
      </c>
      <c r="N1774" s="39" t="s">
        <v>48</v>
      </c>
      <c r="O1774" s="39" t="s">
        <v>57</v>
      </c>
      <c r="P1774" s="66"/>
      <c r="Q1774" s="38">
        <f>R1774*I1774</f>
        <v>330</v>
      </c>
      <c r="R1774" s="15">
        <v>0.11</v>
      </c>
      <c r="S1774" s="149" t="s">
        <v>110</v>
      </c>
      <c r="T1774" s="149"/>
      <c r="U1774" s="109" t="s">
        <v>375</v>
      </c>
      <c r="V1774" s="205" t="s">
        <v>121</v>
      </c>
      <c r="W1774" s="205"/>
      <c r="AE1774" s="2">
        <f>AC1774*AD1774</f>
        <v>0</v>
      </c>
      <c r="AF1774" s="2" t="e">
        <f>Z1774/Y1774</f>
        <v>#DIV/0!</v>
      </c>
      <c r="AG1774" s="2" t="e">
        <f>AA1774/Z1774</f>
        <v>#DIV/0!</v>
      </c>
      <c r="AH1774" s="2" t="e">
        <f>AB1774/AA1774</f>
        <v>#DIV/0!</v>
      </c>
    </row>
    <row r="1775" spans="1:34">
      <c r="A1775" s="68" t="s">
        <v>357</v>
      </c>
      <c r="B1775" s="68" t="s">
        <v>358</v>
      </c>
      <c r="C1775" s="191">
        <v>46217</v>
      </c>
      <c r="D1775" s="42">
        <v>0.58333333333333337</v>
      </c>
      <c r="E1775" s="194">
        <v>87</v>
      </c>
      <c r="F1775" s="63" t="s">
        <v>1378</v>
      </c>
      <c r="G1775" s="2">
        <v>2</v>
      </c>
      <c r="H1775" s="2">
        <v>9</v>
      </c>
      <c r="I1775" s="126">
        <v>1100</v>
      </c>
      <c r="J1775" s="2" t="s">
        <v>766</v>
      </c>
      <c r="K1775" s="137" t="s">
        <v>598</v>
      </c>
      <c r="L1775" s="89">
        <v>40000</v>
      </c>
      <c r="M1775" s="202">
        <v>40</v>
      </c>
      <c r="N1775" s="39" t="s">
        <v>48</v>
      </c>
      <c r="O1775" s="39" t="s">
        <v>49</v>
      </c>
      <c r="P1775" s="211" t="s">
        <v>848</v>
      </c>
      <c r="Q1775" s="19">
        <v>140</v>
      </c>
      <c r="R1775" s="15">
        <f>Q1775/I1775</f>
        <v>0.12727272727272726</v>
      </c>
      <c r="S1775" s="5">
        <f>($AC1775*$AD1775)/(($Z1775/$Y1775)+($AA1775/$Z1775)+($AB1775/$AA1775))</f>
        <v>102.59605399792316</v>
      </c>
      <c r="U1775" s="109" t="s">
        <v>767</v>
      </c>
      <c r="V1775" s="2" t="s">
        <v>703</v>
      </c>
      <c r="Y1775" s="2">
        <v>2</v>
      </c>
      <c r="Z1775" s="2">
        <v>5</v>
      </c>
      <c r="AA1775" s="2">
        <v>13</v>
      </c>
      <c r="AB1775" s="2">
        <v>30</v>
      </c>
      <c r="AC1775" s="2">
        <v>40</v>
      </c>
      <c r="AD1775" s="2">
        <v>19</v>
      </c>
      <c r="AE1775" s="2">
        <f>AC1775*AD1775</f>
        <v>760</v>
      </c>
      <c r="AF1775" s="2">
        <f>Z1775/Y1775</f>
        <v>2.5</v>
      </c>
      <c r="AG1775" s="2">
        <f>AA1775/Z1775</f>
        <v>2.6</v>
      </c>
      <c r="AH1775" s="2">
        <f>AB1775/AA1775</f>
        <v>2.3076923076923075</v>
      </c>
    </row>
    <row r="1776" spans="1:34">
      <c r="A1776" s="165" t="s">
        <v>1384</v>
      </c>
      <c r="B1776" s="50" t="s">
        <v>218</v>
      </c>
      <c r="C1776" s="224">
        <v>46217</v>
      </c>
      <c r="D1776" s="42">
        <v>0.625</v>
      </c>
      <c r="E1776" s="196">
        <v>2</v>
      </c>
      <c r="F1776" s="198" t="s">
        <v>196</v>
      </c>
      <c r="G1776" s="2">
        <v>2</v>
      </c>
      <c r="I1776" s="158">
        <v>600</v>
      </c>
      <c r="J1776" s="2" t="s">
        <v>766</v>
      </c>
      <c r="K1776" s="109" t="s">
        <v>602</v>
      </c>
      <c r="L1776" s="93">
        <v>25000</v>
      </c>
      <c r="M1776" s="65" t="s">
        <v>195</v>
      </c>
      <c r="N1776" s="39" t="s">
        <v>48</v>
      </c>
      <c r="O1776" s="39" t="s">
        <v>451</v>
      </c>
      <c r="P1776" s="66"/>
      <c r="Q1776" s="38">
        <v>85</v>
      </c>
      <c r="R1776" s="15">
        <f>Q1776/I1776</f>
        <v>0.14166666666666666</v>
      </c>
      <c r="S1776" s="149" t="s">
        <v>110</v>
      </c>
      <c r="T1776" s="149"/>
      <c r="U1776" s="109" t="s">
        <v>767</v>
      </c>
      <c r="V1776" s="2" t="s">
        <v>877</v>
      </c>
      <c r="AE1776" s="2">
        <f>AC1776*AD1776</f>
        <v>0</v>
      </c>
      <c r="AF1776" s="2" t="e">
        <f>Z1776/Y1776</f>
        <v>#DIV/0!</v>
      </c>
      <c r="AG1776" s="2" t="e">
        <f>AA1776/Z1776</f>
        <v>#DIV/0!</v>
      </c>
      <c r="AH1776" s="2" t="e">
        <f>AB1776/AA1776</f>
        <v>#DIV/0!</v>
      </c>
    </row>
    <row r="1777" spans="1:34">
      <c r="A1777" s="68" t="s">
        <v>357</v>
      </c>
      <c r="B1777" s="68" t="s">
        <v>358</v>
      </c>
      <c r="C1777" s="191">
        <v>46217</v>
      </c>
      <c r="D1777" s="42">
        <v>0.67361111111111116</v>
      </c>
      <c r="E1777" s="194">
        <v>89</v>
      </c>
      <c r="F1777" s="63" t="s">
        <v>338</v>
      </c>
      <c r="G1777" s="2">
        <v>1</v>
      </c>
      <c r="H1777" s="2">
        <v>9</v>
      </c>
      <c r="I1777" s="125">
        <v>200</v>
      </c>
      <c r="J1777" s="2" t="s">
        <v>766</v>
      </c>
      <c r="K1777" s="137" t="s">
        <v>603</v>
      </c>
      <c r="L1777" s="89">
        <v>20000</v>
      </c>
      <c r="M1777" s="54">
        <v>20</v>
      </c>
      <c r="N1777" s="132" t="s">
        <v>821</v>
      </c>
      <c r="O1777" s="39" t="s">
        <v>49</v>
      </c>
      <c r="P1777" s="212" t="s">
        <v>825</v>
      </c>
      <c r="Q1777" s="19">
        <v>30</v>
      </c>
      <c r="R1777" s="15">
        <f>Q1777/I1777</f>
        <v>0.15</v>
      </c>
      <c r="S1777" s="5">
        <f>($AC1777*$AD1777)/(($Z1777/$Y1777)+($AA1777/$Z1777)+($AB1777/$AA1777))</f>
        <v>34.242709313264342</v>
      </c>
      <c r="U1777" s="109" t="s">
        <v>767</v>
      </c>
      <c r="V1777" s="2" t="s">
        <v>704</v>
      </c>
      <c r="W1777" s="218" t="s">
        <v>705</v>
      </c>
      <c r="Y1777" s="2">
        <v>2.5</v>
      </c>
      <c r="Z1777" s="2">
        <v>6.5</v>
      </c>
      <c r="AA1777" s="2">
        <v>20</v>
      </c>
      <c r="AB1777" s="2">
        <v>50</v>
      </c>
      <c r="AC1777" s="2">
        <v>20</v>
      </c>
      <c r="AD1777" s="2">
        <v>14</v>
      </c>
      <c r="AE1777" s="2">
        <f>AC1777*AD1777</f>
        <v>280</v>
      </c>
      <c r="AF1777" s="2">
        <f>Z1777/Y1777</f>
        <v>2.6</v>
      </c>
      <c r="AG1777" s="2">
        <f>AA1777/Z1777</f>
        <v>3.0769230769230771</v>
      </c>
      <c r="AH1777" s="2">
        <f>AB1777/AA1777</f>
        <v>2.5</v>
      </c>
    </row>
    <row r="1778" spans="1:34">
      <c r="A1778" s="68" t="s">
        <v>357</v>
      </c>
      <c r="B1778" s="68" t="s">
        <v>358</v>
      </c>
      <c r="C1778" s="191">
        <v>46217</v>
      </c>
      <c r="D1778" s="42">
        <v>0.75694444444444442</v>
      </c>
      <c r="E1778" s="194">
        <v>90</v>
      </c>
      <c r="F1778" s="63" t="s">
        <v>285</v>
      </c>
      <c r="G1778" s="2">
        <v>1</v>
      </c>
      <c r="H1778" s="2">
        <v>9</v>
      </c>
      <c r="I1778" s="126">
        <v>250</v>
      </c>
      <c r="J1778" s="2" t="s">
        <v>766</v>
      </c>
      <c r="K1778" s="137" t="s">
        <v>603</v>
      </c>
      <c r="L1778" s="89">
        <v>25000</v>
      </c>
      <c r="M1778" s="54">
        <v>30</v>
      </c>
      <c r="N1778" s="39" t="s">
        <v>48</v>
      </c>
      <c r="O1778" s="39" t="s">
        <v>49</v>
      </c>
      <c r="P1778" s="211" t="s">
        <v>832</v>
      </c>
      <c r="Q1778" s="19">
        <v>45</v>
      </c>
      <c r="R1778" s="15">
        <f>Q1778/I1778</f>
        <v>0.18</v>
      </c>
      <c r="S1778" s="5">
        <f>($AC1778*$AD1778)/(($Z1778/$Y1778)+($AA1778/$Z1778)+($AB1778/$AA1778))</f>
        <v>55.03292568203198</v>
      </c>
      <c r="U1778" s="109" t="s">
        <v>219</v>
      </c>
      <c r="V1778" s="205" t="s">
        <v>658</v>
      </c>
      <c r="W1778" s="205"/>
      <c r="Y1778" s="2">
        <v>2.5</v>
      </c>
      <c r="Z1778" s="2">
        <v>6.5</v>
      </c>
      <c r="AA1778" s="2">
        <v>20</v>
      </c>
      <c r="AB1778" s="2">
        <v>50</v>
      </c>
      <c r="AC1778" s="2">
        <v>30</v>
      </c>
      <c r="AD1778" s="2">
        <v>15</v>
      </c>
      <c r="AE1778" s="2">
        <f>AC1778*AD1778</f>
        <v>450</v>
      </c>
      <c r="AF1778" s="2">
        <f>Z1778/Y1778</f>
        <v>2.6</v>
      </c>
      <c r="AG1778" s="2">
        <f>AA1778/Z1778</f>
        <v>3.0769230769230771</v>
      </c>
      <c r="AH1778" s="2">
        <f>AB1778/AA1778</f>
        <v>2.5</v>
      </c>
    </row>
    <row r="1779" spans="1:34">
      <c r="A1779" s="165" t="s">
        <v>1383</v>
      </c>
      <c r="B1779" s="36" t="s">
        <v>63</v>
      </c>
      <c r="C1779" s="41">
        <v>46217</v>
      </c>
      <c r="D1779" s="144" t="s">
        <v>117</v>
      </c>
      <c r="E1779" s="194">
        <v>98</v>
      </c>
      <c r="F1779" s="194" t="s">
        <v>1020</v>
      </c>
      <c r="G1779" s="2">
        <v>2</v>
      </c>
      <c r="H1779" s="2">
        <v>9</v>
      </c>
      <c r="I1779" s="45">
        <v>800</v>
      </c>
      <c r="J1779" s="2" t="s">
        <v>760</v>
      </c>
      <c r="K1779" s="109" t="s">
        <v>601</v>
      </c>
      <c r="L1779" s="89">
        <v>40000</v>
      </c>
      <c r="M1779" s="202">
        <v>30</v>
      </c>
      <c r="N1779" s="39" t="s">
        <v>48</v>
      </c>
      <c r="O1779" s="39" t="s">
        <v>49</v>
      </c>
      <c r="P1779" s="130"/>
      <c r="Q1779" s="19">
        <f>R1779*I1779</f>
        <v>100</v>
      </c>
      <c r="R1779" s="15">
        <v>0.125</v>
      </c>
      <c r="S1779" s="5">
        <f>($AC1779*$AD1779)/(($Z1779/$Y1779)+($AA1779/$Z1779)+($AB1779/$AA1779))</f>
        <v>78.260869565217391</v>
      </c>
      <c r="U1779" s="109" t="s">
        <v>767</v>
      </c>
      <c r="V1779" s="205" t="s">
        <v>121</v>
      </c>
      <c r="W1779" s="205"/>
      <c r="Y1779" s="2">
        <v>1.5</v>
      </c>
      <c r="Z1779" s="2">
        <v>4</v>
      </c>
      <c r="AA1779" s="2">
        <v>10</v>
      </c>
      <c r="AB1779" s="2">
        <v>25</v>
      </c>
      <c r="AC1779" s="2">
        <v>30</v>
      </c>
      <c r="AD1779" s="2">
        <v>20</v>
      </c>
      <c r="AE1779" s="2">
        <f>AC1779*AD1779</f>
        <v>600</v>
      </c>
      <c r="AF1779" s="2">
        <f>Z1779/Y1779</f>
        <v>2.6666666666666665</v>
      </c>
      <c r="AG1779" s="2">
        <f>AA1779/Z1779</f>
        <v>2.5</v>
      </c>
      <c r="AH1779" s="2">
        <f>AB1779/AA1779</f>
        <v>2.5</v>
      </c>
    </row>
    <row r="1780" spans="1:34">
      <c r="A1780" s="165" t="s">
        <v>1383</v>
      </c>
      <c r="B1780" s="36" t="s">
        <v>63</v>
      </c>
      <c r="C1780" s="41">
        <v>46217</v>
      </c>
      <c r="D1780" s="144" t="s">
        <v>116</v>
      </c>
      <c r="E1780" s="194">
        <v>99</v>
      </c>
      <c r="F1780" s="8" t="s">
        <v>1021</v>
      </c>
      <c r="G1780" s="2">
        <v>2</v>
      </c>
      <c r="H1780" s="2">
        <v>8</v>
      </c>
      <c r="I1780" s="45">
        <v>5000</v>
      </c>
      <c r="J1780" s="2" t="s">
        <v>760</v>
      </c>
      <c r="K1780" s="109" t="s">
        <v>601</v>
      </c>
      <c r="L1780" s="89">
        <v>50000</v>
      </c>
      <c r="M1780" s="202">
        <v>30</v>
      </c>
      <c r="N1780" s="39" t="s">
        <v>48</v>
      </c>
      <c r="O1780" s="39" t="s">
        <v>49</v>
      </c>
      <c r="P1780" s="130"/>
      <c r="Q1780" s="19">
        <f>R1780*I1780</f>
        <v>400</v>
      </c>
      <c r="R1780" s="15">
        <v>0.08</v>
      </c>
      <c r="S1780" s="5">
        <f>($AC1780*$AD1780)/(($Z1780/$Y1780)+($AA1780/$Z1780)+($AB1780/$AA1780))</f>
        <v>80.996884735202499</v>
      </c>
      <c r="U1780" s="109" t="s">
        <v>767</v>
      </c>
      <c r="V1780" s="205" t="s">
        <v>121</v>
      </c>
      <c r="W1780" s="205"/>
      <c r="Y1780" s="2">
        <v>2</v>
      </c>
      <c r="Z1780" s="2">
        <v>5</v>
      </c>
      <c r="AA1780" s="2">
        <v>13</v>
      </c>
      <c r="AB1780" s="2">
        <v>30</v>
      </c>
      <c r="AC1780" s="2">
        <v>30</v>
      </c>
      <c r="AD1780" s="2">
        <v>20</v>
      </c>
      <c r="AE1780" s="2">
        <f>AC1780*AD1780</f>
        <v>600</v>
      </c>
      <c r="AF1780" s="2">
        <f>Z1780/Y1780</f>
        <v>2.5</v>
      </c>
      <c r="AG1780" s="2">
        <f>AA1780/Z1780</f>
        <v>2.6</v>
      </c>
      <c r="AH1780" s="2">
        <f>AB1780/AA1780</f>
        <v>2.3076923076923075</v>
      </c>
    </row>
    <row r="1781" spans="1:34">
      <c r="A1781" s="165" t="s">
        <v>1384</v>
      </c>
      <c r="B1781" s="50" t="s">
        <v>218</v>
      </c>
      <c r="C1781" s="224">
        <v>46218</v>
      </c>
      <c r="D1781" s="42">
        <v>0.45833333333333331</v>
      </c>
      <c r="E1781" s="196">
        <v>1</v>
      </c>
      <c r="F1781" s="114" t="s">
        <v>197</v>
      </c>
      <c r="G1781" s="2">
        <v>2</v>
      </c>
      <c r="I1781" s="158">
        <v>400</v>
      </c>
      <c r="J1781" s="2" t="s">
        <v>766</v>
      </c>
      <c r="K1781" s="109" t="s">
        <v>601</v>
      </c>
      <c r="L1781" s="93">
        <v>40000</v>
      </c>
      <c r="M1781" s="65" t="s">
        <v>195</v>
      </c>
      <c r="N1781" s="39" t="s">
        <v>48</v>
      </c>
      <c r="O1781" s="39" t="s">
        <v>49</v>
      </c>
      <c r="P1781" s="130"/>
      <c r="Q1781" s="19">
        <v>70</v>
      </c>
      <c r="R1781" s="15">
        <f>Q1781/I1781</f>
        <v>0.17499999999999999</v>
      </c>
      <c r="S1781" s="5">
        <f>($AC1781*$AD1781)/(($Z1781/$Y1781)+($AA1781/$Z1781)+($AB1781/$AA1781))</f>
        <v>72.897196261682254</v>
      </c>
      <c r="U1781" s="109" t="s">
        <v>767</v>
      </c>
      <c r="V1781" s="2" t="s">
        <v>877</v>
      </c>
      <c r="Y1781" s="2">
        <v>2</v>
      </c>
      <c r="Z1781" s="2">
        <v>5</v>
      </c>
      <c r="AA1781" s="2">
        <v>13</v>
      </c>
      <c r="AB1781" s="2">
        <v>30</v>
      </c>
      <c r="AC1781" s="2">
        <v>18</v>
      </c>
      <c r="AD1781" s="2">
        <v>30</v>
      </c>
      <c r="AE1781" s="2">
        <f>AC1781*AD1781</f>
        <v>540</v>
      </c>
      <c r="AF1781" s="2">
        <f>Z1781/Y1781</f>
        <v>2.5</v>
      </c>
      <c r="AG1781" s="2">
        <f>AA1781/Z1781</f>
        <v>2.6</v>
      </c>
      <c r="AH1781" s="2">
        <f>AB1781/AA1781</f>
        <v>2.3076923076923075</v>
      </c>
    </row>
    <row r="1782" spans="1:34">
      <c r="A1782" s="165" t="s">
        <v>1383</v>
      </c>
      <c r="B1782" s="36" t="s">
        <v>63</v>
      </c>
      <c r="C1782" s="41">
        <v>46218</v>
      </c>
      <c r="D1782" s="144">
        <v>0.45833333333333331</v>
      </c>
      <c r="E1782" s="194">
        <v>98</v>
      </c>
      <c r="F1782" s="8" t="s">
        <v>1204</v>
      </c>
      <c r="G1782" s="2">
        <v>2</v>
      </c>
      <c r="H1782" s="2">
        <v>9</v>
      </c>
      <c r="I1782" s="45">
        <v>800</v>
      </c>
      <c r="J1782" s="2" t="s">
        <v>760</v>
      </c>
      <c r="K1782" s="109" t="s">
        <v>601</v>
      </c>
      <c r="L1782" s="89">
        <v>40000</v>
      </c>
      <c r="M1782" s="202">
        <v>30</v>
      </c>
      <c r="N1782" s="39" t="s">
        <v>48</v>
      </c>
      <c r="O1782" s="39" t="s">
        <v>49</v>
      </c>
      <c r="P1782" s="130"/>
      <c r="Q1782" s="19">
        <f>R1782*I1782</f>
        <v>100</v>
      </c>
      <c r="R1782" s="15">
        <v>0.125</v>
      </c>
      <c r="S1782" s="5">
        <f>($AC1782*$AD1782)/(($Z1782/$Y1782)+($AA1782/$Z1782)+($AB1782/$AA1782))</f>
        <v>78.260869565217391</v>
      </c>
      <c r="U1782" s="109" t="s">
        <v>767</v>
      </c>
      <c r="V1782" s="205" t="s">
        <v>121</v>
      </c>
      <c r="W1782" s="205"/>
      <c r="Y1782" s="2">
        <v>1.5</v>
      </c>
      <c r="Z1782" s="2">
        <v>4</v>
      </c>
      <c r="AA1782" s="2">
        <v>10</v>
      </c>
      <c r="AB1782" s="2">
        <v>25</v>
      </c>
      <c r="AC1782" s="2">
        <v>30</v>
      </c>
      <c r="AD1782" s="2">
        <v>20</v>
      </c>
      <c r="AE1782" s="2">
        <f>AC1782*AD1782</f>
        <v>600</v>
      </c>
      <c r="AF1782" s="2">
        <f>Z1782/Y1782</f>
        <v>2.6666666666666665</v>
      </c>
      <c r="AG1782" s="2">
        <f>AA1782/Z1782</f>
        <v>2.5</v>
      </c>
      <c r="AH1782" s="2">
        <f>AB1782/AA1782</f>
        <v>2.5</v>
      </c>
    </row>
    <row r="1783" spans="1:34">
      <c r="A1783" s="68" t="s">
        <v>357</v>
      </c>
      <c r="B1783" s="68" t="s">
        <v>358</v>
      </c>
      <c r="C1783" s="191">
        <v>46218</v>
      </c>
      <c r="D1783" s="42">
        <v>0.46527777777777779</v>
      </c>
      <c r="E1783" s="194">
        <v>91</v>
      </c>
      <c r="F1783" s="63" t="s">
        <v>339</v>
      </c>
      <c r="G1783" s="2">
        <v>2</v>
      </c>
      <c r="H1783" s="2">
        <v>9</v>
      </c>
      <c r="I1783" s="126">
        <v>1600</v>
      </c>
      <c r="J1783" s="2" t="s">
        <v>766</v>
      </c>
      <c r="K1783" s="137" t="s">
        <v>598</v>
      </c>
      <c r="L1783" s="89">
        <v>40000</v>
      </c>
      <c r="M1783" s="202">
        <v>40</v>
      </c>
      <c r="N1783" s="39" t="s">
        <v>48</v>
      </c>
      <c r="O1783" s="39" t="s">
        <v>49</v>
      </c>
      <c r="P1783" s="211" t="s">
        <v>848</v>
      </c>
      <c r="Q1783" s="19">
        <v>180</v>
      </c>
      <c r="R1783" s="15">
        <f>Q1783/I1783</f>
        <v>0.1125</v>
      </c>
      <c r="S1783" s="5">
        <f>($AC1783*$AD1783)/(($Z1783/$Y1783)+($AA1783/$Z1783)+($AB1783/$AA1783))</f>
        <v>102.59605399792316</v>
      </c>
      <c r="U1783" s="109" t="s">
        <v>767</v>
      </c>
      <c r="V1783" s="205" t="s">
        <v>706</v>
      </c>
      <c r="W1783" s="220" t="s">
        <v>391</v>
      </c>
      <c r="Y1783" s="2">
        <v>2</v>
      </c>
      <c r="Z1783" s="2">
        <v>5</v>
      </c>
      <c r="AA1783" s="2">
        <v>13</v>
      </c>
      <c r="AB1783" s="2">
        <v>30</v>
      </c>
      <c r="AC1783" s="2">
        <v>40</v>
      </c>
      <c r="AD1783" s="2">
        <v>19</v>
      </c>
      <c r="AE1783" s="2">
        <f>AC1783*AD1783</f>
        <v>760</v>
      </c>
      <c r="AF1783" s="2">
        <f>Z1783/Y1783</f>
        <v>2.5</v>
      </c>
      <c r="AG1783" s="2">
        <f>AA1783/Z1783</f>
        <v>2.6</v>
      </c>
      <c r="AH1783" s="2">
        <f>AB1783/AA1783</f>
        <v>2.3076923076923075</v>
      </c>
    </row>
    <row r="1784" spans="1:34">
      <c r="A1784" s="165" t="s">
        <v>1384</v>
      </c>
      <c r="B1784" s="50" t="s">
        <v>218</v>
      </c>
      <c r="C1784" s="224">
        <v>46218</v>
      </c>
      <c r="D1784" s="42">
        <v>0.54166666666666663</v>
      </c>
      <c r="E1784" s="196">
        <v>2</v>
      </c>
      <c r="F1784" s="200" t="s">
        <v>1207</v>
      </c>
      <c r="G1784" s="2">
        <v>2</v>
      </c>
      <c r="I1784" s="158">
        <v>600</v>
      </c>
      <c r="J1784" s="2" t="s">
        <v>766</v>
      </c>
      <c r="K1784" s="109" t="s">
        <v>602</v>
      </c>
      <c r="L1784" s="93">
        <v>25000</v>
      </c>
      <c r="M1784" s="65" t="s">
        <v>195</v>
      </c>
      <c r="N1784" s="39" t="s">
        <v>48</v>
      </c>
      <c r="O1784" s="39" t="s">
        <v>451</v>
      </c>
      <c r="P1784" s="66"/>
      <c r="Q1784" s="38">
        <v>85</v>
      </c>
      <c r="R1784" s="15">
        <f>Q1784/I1784</f>
        <v>0.14166666666666666</v>
      </c>
      <c r="S1784" s="149" t="s">
        <v>110</v>
      </c>
      <c r="T1784" s="149"/>
      <c r="U1784" s="109" t="s">
        <v>767</v>
      </c>
      <c r="V1784" s="2" t="s">
        <v>877</v>
      </c>
      <c r="W1784" s="205"/>
      <c r="AE1784" s="2">
        <f>AC1784*AD1784</f>
        <v>0</v>
      </c>
      <c r="AF1784" s="2" t="e">
        <f>Z1784/Y1784</f>
        <v>#DIV/0!</v>
      </c>
      <c r="AG1784" s="2" t="e">
        <f>AA1784/Z1784</f>
        <v>#DIV/0!</v>
      </c>
      <c r="AH1784" s="2" t="e">
        <f>AB1784/AA1784</f>
        <v>#DIV/0!</v>
      </c>
    </row>
    <row r="1785" spans="1:34">
      <c r="A1785" s="165" t="s">
        <v>1383</v>
      </c>
      <c r="B1785" s="36" t="s">
        <v>63</v>
      </c>
      <c r="C1785" s="41">
        <v>46218</v>
      </c>
      <c r="D1785" s="144">
        <v>0.54166666666666663</v>
      </c>
      <c r="E1785" s="194">
        <v>99</v>
      </c>
      <c r="F1785" s="8" t="s">
        <v>1187</v>
      </c>
      <c r="G1785" s="2">
        <v>2</v>
      </c>
      <c r="H1785" s="2">
        <v>8</v>
      </c>
      <c r="I1785" s="45">
        <v>5000</v>
      </c>
      <c r="J1785" s="2" t="s">
        <v>760</v>
      </c>
      <c r="K1785" s="109" t="s">
        <v>601</v>
      </c>
      <c r="L1785" s="89">
        <v>50000</v>
      </c>
      <c r="M1785" s="202">
        <v>30</v>
      </c>
      <c r="N1785" s="39" t="s">
        <v>48</v>
      </c>
      <c r="O1785" s="39" t="s">
        <v>49</v>
      </c>
      <c r="P1785" s="130"/>
      <c r="Q1785" s="19">
        <f>R1785*I1785</f>
        <v>400</v>
      </c>
      <c r="R1785" s="15">
        <v>0.08</v>
      </c>
      <c r="S1785" s="5">
        <f>($AC1785*$AD1785)/(($Z1785/$Y1785)+($AA1785/$Z1785)+($AB1785/$AA1785))</f>
        <v>80.996884735202499</v>
      </c>
      <c r="U1785" s="109" t="s">
        <v>767</v>
      </c>
      <c r="V1785" s="205" t="s">
        <v>121</v>
      </c>
      <c r="W1785" s="205"/>
      <c r="Y1785" s="2">
        <v>2</v>
      </c>
      <c r="Z1785" s="2">
        <v>5</v>
      </c>
      <c r="AA1785" s="2">
        <v>13</v>
      </c>
      <c r="AB1785" s="2">
        <v>30</v>
      </c>
      <c r="AC1785" s="2">
        <v>30</v>
      </c>
      <c r="AD1785" s="2">
        <v>20</v>
      </c>
      <c r="AE1785" s="2">
        <f>AC1785*AD1785</f>
        <v>600</v>
      </c>
      <c r="AF1785" s="2">
        <f>Z1785/Y1785</f>
        <v>2.5</v>
      </c>
      <c r="AG1785" s="2">
        <f>AA1785/Z1785</f>
        <v>2.6</v>
      </c>
      <c r="AH1785" s="2">
        <f>AB1785/AA1785</f>
        <v>2.3076923076923075</v>
      </c>
    </row>
    <row r="1786" spans="1:34">
      <c r="A1786" s="165" t="s">
        <v>1384</v>
      </c>
      <c r="B1786" s="50" t="s">
        <v>218</v>
      </c>
      <c r="C1786" s="224">
        <v>46218</v>
      </c>
      <c r="D1786" s="42">
        <v>0.625</v>
      </c>
      <c r="E1786" s="196">
        <v>3</v>
      </c>
      <c r="F1786" s="198" t="s">
        <v>198</v>
      </c>
      <c r="G1786" s="2">
        <v>2</v>
      </c>
      <c r="I1786" s="158">
        <v>600</v>
      </c>
      <c r="J1786" s="2" t="s">
        <v>766</v>
      </c>
      <c r="K1786" s="109" t="s">
        <v>602</v>
      </c>
      <c r="L1786" s="93">
        <v>25000</v>
      </c>
      <c r="M1786" s="65" t="s">
        <v>195</v>
      </c>
      <c r="N1786" s="39" t="s">
        <v>48</v>
      </c>
      <c r="O1786" s="39" t="s">
        <v>57</v>
      </c>
      <c r="P1786" s="66"/>
      <c r="Q1786" s="38">
        <v>85</v>
      </c>
      <c r="R1786" s="15">
        <f>Q1786/I1786</f>
        <v>0.14166666666666666</v>
      </c>
      <c r="S1786" s="149" t="s">
        <v>110</v>
      </c>
      <c r="T1786" s="149"/>
      <c r="U1786" s="109" t="s">
        <v>767</v>
      </c>
      <c r="V1786" s="10" t="s">
        <v>877</v>
      </c>
      <c r="AE1786" s="2">
        <f>AC1786*AD1786</f>
        <v>0</v>
      </c>
      <c r="AF1786" s="2" t="e">
        <f>Z1786/Y1786</f>
        <v>#DIV/0!</v>
      </c>
      <c r="AG1786" s="2" t="e">
        <f>AA1786/Z1786</f>
        <v>#DIV/0!</v>
      </c>
      <c r="AH1786" s="2" t="e">
        <f>AB1786/AA1786</f>
        <v>#DIV/0!</v>
      </c>
    </row>
    <row r="1787" spans="1:34">
      <c r="A1787" s="68" t="s">
        <v>357</v>
      </c>
      <c r="B1787" s="68" t="s">
        <v>358</v>
      </c>
      <c r="C1787" s="191">
        <v>46218</v>
      </c>
      <c r="D1787" s="42">
        <v>0.67361111111111116</v>
      </c>
      <c r="E1787" s="194">
        <v>92</v>
      </c>
      <c r="F1787" s="63" t="s">
        <v>338</v>
      </c>
      <c r="G1787" s="2">
        <v>1</v>
      </c>
      <c r="H1787" s="2">
        <v>9</v>
      </c>
      <c r="I1787" s="126">
        <v>200</v>
      </c>
      <c r="J1787" s="2" t="s">
        <v>766</v>
      </c>
      <c r="K1787" s="137" t="s">
        <v>603</v>
      </c>
      <c r="L1787" s="89">
        <v>20000</v>
      </c>
      <c r="M1787" s="54">
        <v>20</v>
      </c>
      <c r="N1787" s="132" t="s">
        <v>821</v>
      </c>
      <c r="O1787" s="39" t="s">
        <v>49</v>
      </c>
      <c r="P1787" s="140" t="s">
        <v>825</v>
      </c>
      <c r="Q1787" s="19">
        <v>30</v>
      </c>
      <c r="R1787" s="15">
        <f>Q1787/I1787</f>
        <v>0.15</v>
      </c>
      <c r="S1787" s="5">
        <f>($AC1787*$AD1787)/(($Z1787/$Y1787)+($AA1787/$Z1787)+($AB1787/$AA1787))</f>
        <v>34.242709313264342</v>
      </c>
      <c r="U1787" s="109" t="s">
        <v>767</v>
      </c>
      <c r="V1787" s="71" t="s">
        <v>704</v>
      </c>
      <c r="W1787" s="109" t="s">
        <v>705</v>
      </c>
      <c r="Y1787" s="2">
        <v>2.5</v>
      </c>
      <c r="Z1787" s="2">
        <v>6.5</v>
      </c>
      <c r="AA1787" s="2">
        <v>20</v>
      </c>
      <c r="AB1787" s="2">
        <v>50</v>
      </c>
      <c r="AC1787" s="2">
        <v>14</v>
      </c>
      <c r="AD1787" s="2">
        <v>20</v>
      </c>
      <c r="AE1787" s="2">
        <f>AC1787*AD1787</f>
        <v>280</v>
      </c>
      <c r="AF1787" s="2">
        <f>Z1787/Y1787</f>
        <v>2.6</v>
      </c>
      <c r="AG1787" s="2">
        <f>AA1787/Z1787</f>
        <v>3.0769230769230771</v>
      </c>
      <c r="AH1787" s="2">
        <f>AB1787/AA1787</f>
        <v>2.5</v>
      </c>
    </row>
    <row r="1788" spans="1:34">
      <c r="A1788" s="68" t="s">
        <v>357</v>
      </c>
      <c r="B1788" s="68" t="s">
        <v>358</v>
      </c>
      <c r="C1788" s="190">
        <v>46218</v>
      </c>
      <c r="D1788" s="42">
        <v>0.75694444444444442</v>
      </c>
      <c r="E1788" s="194">
        <v>93</v>
      </c>
      <c r="F1788" s="63" t="s">
        <v>285</v>
      </c>
      <c r="G1788" s="2">
        <v>1</v>
      </c>
      <c r="H1788" s="2">
        <v>9</v>
      </c>
      <c r="I1788" s="126">
        <v>250</v>
      </c>
      <c r="J1788" s="2" t="s">
        <v>766</v>
      </c>
      <c r="K1788" s="137" t="s">
        <v>603</v>
      </c>
      <c r="L1788" s="89">
        <v>25000</v>
      </c>
      <c r="M1788" s="54">
        <v>30</v>
      </c>
      <c r="N1788" s="39" t="s">
        <v>48</v>
      </c>
      <c r="O1788" s="39" t="s">
        <v>49</v>
      </c>
      <c r="P1788" s="211" t="s">
        <v>832</v>
      </c>
      <c r="Q1788" s="19">
        <v>45</v>
      </c>
      <c r="R1788" s="15">
        <f>Q1788/I1788</f>
        <v>0.18</v>
      </c>
      <c r="S1788" s="5">
        <f>($AC1788*$AD1788)/(($Z1788/$Y1788)+($AA1788/$Z1788)+($AB1788/$AA1788))</f>
        <v>55.03292568203198</v>
      </c>
      <c r="U1788" s="109" t="s">
        <v>219</v>
      </c>
      <c r="V1788" s="205" t="s">
        <v>658</v>
      </c>
      <c r="W1788" s="205"/>
      <c r="Y1788" s="2">
        <v>2.5</v>
      </c>
      <c r="Z1788" s="2">
        <v>6.5</v>
      </c>
      <c r="AA1788" s="2">
        <v>20</v>
      </c>
      <c r="AB1788" s="2">
        <v>50</v>
      </c>
      <c r="AC1788" s="2">
        <v>30</v>
      </c>
      <c r="AD1788" s="2">
        <v>15</v>
      </c>
      <c r="AE1788" s="2">
        <f>AC1788*AD1788</f>
        <v>450</v>
      </c>
      <c r="AF1788" s="2">
        <f>Z1788/Y1788</f>
        <v>2.6</v>
      </c>
      <c r="AG1788" s="2">
        <f>AA1788/Z1788</f>
        <v>3.0769230769230771</v>
      </c>
      <c r="AH1788" s="2">
        <f>AB1788/AA1788</f>
        <v>2.5</v>
      </c>
    </row>
    <row r="1789" spans="1:34">
      <c r="A1789" s="165" t="s">
        <v>1383</v>
      </c>
      <c r="B1789" s="36" t="s">
        <v>63</v>
      </c>
      <c r="C1789" s="41">
        <v>46218</v>
      </c>
      <c r="D1789" s="144" t="s">
        <v>117</v>
      </c>
      <c r="E1789" s="194">
        <v>100</v>
      </c>
      <c r="F1789" s="8" t="s">
        <v>1022</v>
      </c>
      <c r="G1789" s="2">
        <v>1</v>
      </c>
      <c r="H1789" s="2">
        <v>9</v>
      </c>
      <c r="I1789" s="45">
        <v>1000</v>
      </c>
      <c r="J1789" s="2" t="s">
        <v>760</v>
      </c>
      <c r="K1789" s="109" t="s">
        <v>601</v>
      </c>
      <c r="L1789" s="89">
        <v>20000</v>
      </c>
      <c r="M1789" s="202">
        <v>20</v>
      </c>
      <c r="N1789" s="39" t="s">
        <v>48</v>
      </c>
      <c r="O1789" s="39" t="s">
        <v>49</v>
      </c>
      <c r="P1789" s="130"/>
      <c r="Q1789" s="19">
        <f>R1789*I1789</f>
        <v>120</v>
      </c>
      <c r="R1789" s="15">
        <v>0.12</v>
      </c>
      <c r="S1789" s="5">
        <f>($AC1789*$AD1789)/(($Z1789/$Y1789)+($AA1789/$Z1789)+($AB1789/$AA1789))</f>
        <v>44.347826086956523</v>
      </c>
      <c r="U1789" s="109" t="s">
        <v>767</v>
      </c>
      <c r="V1789" s="205" t="s">
        <v>121</v>
      </c>
      <c r="W1789" s="205"/>
      <c r="Y1789" s="2">
        <v>1.5</v>
      </c>
      <c r="Z1789" s="2">
        <v>4</v>
      </c>
      <c r="AA1789" s="2">
        <v>10</v>
      </c>
      <c r="AB1789" s="2">
        <v>25</v>
      </c>
      <c r="AC1789" s="2">
        <v>20</v>
      </c>
      <c r="AD1789" s="2">
        <v>17</v>
      </c>
      <c r="AE1789" s="2">
        <f>AC1789*AD1789</f>
        <v>340</v>
      </c>
      <c r="AF1789" s="2">
        <f>Z1789/Y1789</f>
        <v>2.6666666666666665</v>
      </c>
      <c r="AG1789" s="2">
        <f>AA1789/Z1789</f>
        <v>2.5</v>
      </c>
      <c r="AH1789" s="2">
        <f>AB1789/AA1789</f>
        <v>2.5</v>
      </c>
    </row>
    <row r="1790" spans="1:34">
      <c r="A1790" s="165" t="s">
        <v>1383</v>
      </c>
      <c r="B1790" s="36" t="s">
        <v>63</v>
      </c>
      <c r="C1790" s="41">
        <v>46218</v>
      </c>
      <c r="D1790" s="144" t="s">
        <v>876</v>
      </c>
      <c r="E1790" s="194">
        <v>97</v>
      </c>
      <c r="F1790" s="8" t="s">
        <v>1265</v>
      </c>
      <c r="G1790" s="2">
        <v>3</v>
      </c>
      <c r="H1790" s="2">
        <v>9</v>
      </c>
      <c r="I1790" s="45">
        <v>25000</v>
      </c>
      <c r="J1790" s="2" t="s">
        <v>760</v>
      </c>
      <c r="K1790" s="109" t="s">
        <v>601</v>
      </c>
      <c r="L1790" s="89">
        <v>150000</v>
      </c>
      <c r="M1790" s="202">
        <v>60</v>
      </c>
      <c r="N1790" s="39" t="s">
        <v>48</v>
      </c>
      <c r="O1790" s="39" t="s">
        <v>122</v>
      </c>
      <c r="P1790" s="66"/>
      <c r="Q1790" s="38">
        <f>R1790*I1790</f>
        <v>1500</v>
      </c>
      <c r="R1790" s="15">
        <v>0.06</v>
      </c>
      <c r="S1790" s="149" t="s">
        <v>110</v>
      </c>
      <c r="T1790" s="149"/>
      <c r="U1790" s="109" t="s">
        <v>767</v>
      </c>
      <c r="V1790" s="2" t="s">
        <v>121</v>
      </c>
      <c r="W1790" s="205"/>
      <c r="AE1790" s="2">
        <f>AC1790*AD1790</f>
        <v>0</v>
      </c>
      <c r="AF1790" s="2" t="e">
        <f>Z1790/Y1790</f>
        <v>#DIV/0!</v>
      </c>
      <c r="AG1790" s="2" t="e">
        <f>AA1790/Z1790</f>
        <v>#DIV/0!</v>
      </c>
      <c r="AH1790" s="2" t="e">
        <f>AB1790/AA1790</f>
        <v>#DIV/0!</v>
      </c>
    </row>
    <row r="1791" spans="1:34">
      <c r="A1791" s="165" t="s">
        <v>1384</v>
      </c>
      <c r="B1791" s="50" t="s">
        <v>218</v>
      </c>
      <c r="C1791" s="224">
        <v>46219</v>
      </c>
      <c r="D1791" s="42">
        <v>0.45833333333333331</v>
      </c>
      <c r="E1791" s="196">
        <v>1</v>
      </c>
      <c r="F1791" s="114" t="s">
        <v>199</v>
      </c>
      <c r="G1791" s="2">
        <v>2</v>
      </c>
      <c r="I1791" s="158">
        <v>400</v>
      </c>
      <c r="J1791" s="2" t="s">
        <v>766</v>
      </c>
      <c r="K1791" s="109" t="s">
        <v>601</v>
      </c>
      <c r="L1791" s="93">
        <v>40000</v>
      </c>
      <c r="M1791" s="65" t="s">
        <v>195</v>
      </c>
      <c r="N1791" s="39" t="s">
        <v>48</v>
      </c>
      <c r="O1791" s="39" t="s">
        <v>49</v>
      </c>
      <c r="P1791" s="214"/>
      <c r="Q1791" s="19">
        <v>70</v>
      </c>
      <c r="R1791" s="15">
        <f>Q1791/I1791</f>
        <v>0.17499999999999999</v>
      </c>
      <c r="S1791" s="5">
        <f>($AC1791*$AD1791)/(($Z1791/$Y1791)+($AA1791/$Z1791)+($AB1791/$AA1791))</f>
        <v>72.897196261682254</v>
      </c>
      <c r="U1791" s="109" t="s">
        <v>767</v>
      </c>
      <c r="V1791" s="10" t="s">
        <v>877</v>
      </c>
      <c r="Y1791" s="2">
        <v>2</v>
      </c>
      <c r="Z1791" s="2">
        <v>5</v>
      </c>
      <c r="AA1791" s="2">
        <v>13</v>
      </c>
      <c r="AB1791" s="2">
        <v>30</v>
      </c>
      <c r="AC1791" s="2">
        <v>18</v>
      </c>
      <c r="AD1791" s="2">
        <v>30</v>
      </c>
      <c r="AE1791" s="2">
        <f>AC1791*AD1791</f>
        <v>540</v>
      </c>
      <c r="AF1791" s="2">
        <f>Z1791/Y1791</f>
        <v>2.5</v>
      </c>
      <c r="AG1791" s="2">
        <f>AA1791/Z1791</f>
        <v>2.6</v>
      </c>
      <c r="AH1791" s="2">
        <f>AB1791/AA1791</f>
        <v>2.3076923076923075</v>
      </c>
    </row>
    <row r="1792" spans="1:34">
      <c r="A1792" s="68" t="s">
        <v>357</v>
      </c>
      <c r="B1792" s="68" t="s">
        <v>358</v>
      </c>
      <c r="C1792" s="191">
        <v>46219</v>
      </c>
      <c r="D1792" s="42">
        <v>0.46527777777777779</v>
      </c>
      <c r="E1792" s="194">
        <v>91</v>
      </c>
      <c r="F1792" s="63" t="s">
        <v>340</v>
      </c>
      <c r="G1792" s="2">
        <v>2</v>
      </c>
      <c r="H1792" s="2">
        <v>9</v>
      </c>
      <c r="I1792" s="126">
        <v>1600</v>
      </c>
      <c r="J1792" s="2" t="s">
        <v>766</v>
      </c>
      <c r="K1792" s="137" t="s">
        <v>598</v>
      </c>
      <c r="L1792" s="89">
        <v>40000</v>
      </c>
      <c r="M1792" s="202">
        <v>40</v>
      </c>
      <c r="N1792" s="39" t="s">
        <v>48</v>
      </c>
      <c r="O1792" s="39" t="s">
        <v>49</v>
      </c>
      <c r="P1792" s="211" t="s">
        <v>848</v>
      </c>
      <c r="Q1792" s="19">
        <v>180</v>
      </c>
      <c r="R1792" s="15">
        <f>Q1792/I1792</f>
        <v>0.1125</v>
      </c>
      <c r="S1792" s="5">
        <f>($AC1792*$AD1792)/(($Z1792/$Y1792)+($AA1792/$Z1792)+($AB1792/$AA1792))</f>
        <v>102.59605399792316</v>
      </c>
      <c r="U1792" s="109" t="s">
        <v>767</v>
      </c>
      <c r="V1792" s="2" t="s">
        <v>706</v>
      </c>
      <c r="W1792" s="220" t="s">
        <v>391</v>
      </c>
      <c r="Y1792" s="2">
        <v>2</v>
      </c>
      <c r="Z1792" s="2">
        <v>5</v>
      </c>
      <c r="AA1792" s="2">
        <v>13</v>
      </c>
      <c r="AB1792" s="2">
        <v>30</v>
      </c>
      <c r="AC1792" s="2">
        <v>40</v>
      </c>
      <c r="AD1792" s="2">
        <v>19</v>
      </c>
      <c r="AE1792" s="2">
        <f>AC1792*AD1792</f>
        <v>760</v>
      </c>
      <c r="AF1792" s="2">
        <f>Z1792/Y1792</f>
        <v>2.5</v>
      </c>
      <c r="AG1792" s="2">
        <f>AA1792/Z1792</f>
        <v>2.6</v>
      </c>
      <c r="AH1792" s="2">
        <f>AB1792/AA1792</f>
        <v>2.3076923076923075</v>
      </c>
    </row>
    <row r="1793" spans="1:34">
      <c r="A1793" s="165" t="s">
        <v>1384</v>
      </c>
      <c r="B1793" s="50" t="s">
        <v>218</v>
      </c>
      <c r="C1793" s="224">
        <v>46219</v>
      </c>
      <c r="D1793" s="42">
        <v>0.54166666666666663</v>
      </c>
      <c r="E1793" s="196">
        <v>3</v>
      </c>
      <c r="F1793" s="198" t="s">
        <v>1208</v>
      </c>
      <c r="G1793" s="2">
        <v>2</v>
      </c>
      <c r="I1793" s="158">
        <v>600</v>
      </c>
      <c r="J1793" s="2" t="s">
        <v>766</v>
      </c>
      <c r="K1793" s="109" t="s">
        <v>602</v>
      </c>
      <c r="L1793" s="93">
        <v>25000</v>
      </c>
      <c r="M1793" s="65" t="s">
        <v>195</v>
      </c>
      <c r="N1793" s="39" t="s">
        <v>48</v>
      </c>
      <c r="O1793" s="39" t="s">
        <v>57</v>
      </c>
      <c r="P1793" s="66"/>
      <c r="Q1793" s="38">
        <v>85</v>
      </c>
      <c r="R1793" s="15">
        <f>Q1793/I1793</f>
        <v>0.14166666666666666</v>
      </c>
      <c r="S1793" s="149" t="s">
        <v>110</v>
      </c>
      <c r="T1793" s="149"/>
      <c r="U1793" s="109" t="s">
        <v>767</v>
      </c>
      <c r="V1793" s="2" t="s">
        <v>877</v>
      </c>
      <c r="W1793" s="205"/>
      <c r="AE1793" s="2">
        <f>AC1793*AD1793</f>
        <v>0</v>
      </c>
      <c r="AF1793" s="2" t="e">
        <f>Z1793/Y1793</f>
        <v>#DIV/0!</v>
      </c>
      <c r="AG1793" s="2" t="e">
        <f>AA1793/Z1793</f>
        <v>#DIV/0!</v>
      </c>
      <c r="AH1793" s="2" t="e">
        <f>AB1793/AA1793</f>
        <v>#DIV/0!</v>
      </c>
    </row>
    <row r="1794" spans="1:34">
      <c r="A1794" s="165" t="s">
        <v>1383</v>
      </c>
      <c r="B1794" s="36" t="s">
        <v>63</v>
      </c>
      <c r="C1794" s="41">
        <v>46219</v>
      </c>
      <c r="D1794" s="144">
        <v>0.54166666666666663</v>
      </c>
      <c r="E1794" s="194">
        <v>96</v>
      </c>
      <c r="F1794" s="194" t="s">
        <v>1182</v>
      </c>
      <c r="G1794" s="2">
        <v>3</v>
      </c>
      <c r="H1794" s="2">
        <v>6</v>
      </c>
      <c r="I1794" s="45">
        <v>3000</v>
      </c>
      <c r="J1794" s="2" t="s">
        <v>762</v>
      </c>
      <c r="K1794" s="109" t="s">
        <v>602</v>
      </c>
      <c r="L1794" s="89">
        <v>40000</v>
      </c>
      <c r="M1794" s="202" t="s">
        <v>97</v>
      </c>
      <c r="N1794" s="39" t="s">
        <v>48</v>
      </c>
      <c r="O1794" s="39" t="s">
        <v>57</v>
      </c>
      <c r="P1794" s="66"/>
      <c r="Q1794" s="38">
        <f>R1794*I1794</f>
        <v>330</v>
      </c>
      <c r="R1794" s="15">
        <v>0.11</v>
      </c>
      <c r="S1794" s="149" t="s">
        <v>110</v>
      </c>
      <c r="T1794" s="149"/>
      <c r="U1794" s="109" t="s">
        <v>375</v>
      </c>
      <c r="V1794" s="2" t="s">
        <v>121</v>
      </c>
      <c r="W1794" s="205"/>
      <c r="AE1794" s="2">
        <f>AC1794*AD1794</f>
        <v>0</v>
      </c>
      <c r="AF1794" s="2" t="e">
        <f>Z1794/Y1794</f>
        <v>#DIV/0!</v>
      </c>
      <c r="AG1794" s="2" t="e">
        <f>AA1794/Z1794</f>
        <v>#DIV/0!</v>
      </c>
      <c r="AH1794" s="2" t="e">
        <f>AB1794/AA1794</f>
        <v>#DIV/0!</v>
      </c>
    </row>
    <row r="1795" spans="1:34">
      <c r="A1795" s="165" t="s">
        <v>1384</v>
      </c>
      <c r="B1795" s="50" t="s">
        <v>218</v>
      </c>
      <c r="C1795" s="224">
        <v>46219</v>
      </c>
      <c r="D1795" s="42">
        <v>0.625</v>
      </c>
      <c r="E1795" s="196">
        <v>4</v>
      </c>
      <c r="F1795" s="157" t="s">
        <v>200</v>
      </c>
      <c r="G1795" s="2">
        <v>2</v>
      </c>
      <c r="I1795" s="158">
        <v>600</v>
      </c>
      <c r="J1795" s="2" t="s">
        <v>766</v>
      </c>
      <c r="K1795" s="109" t="s">
        <v>602</v>
      </c>
      <c r="L1795" s="93">
        <v>25000</v>
      </c>
      <c r="M1795" s="65" t="s">
        <v>195</v>
      </c>
      <c r="N1795" s="39" t="s">
        <v>48</v>
      </c>
      <c r="O1795" s="39" t="s">
        <v>123</v>
      </c>
      <c r="P1795" s="66"/>
      <c r="Q1795" s="2">
        <v>85</v>
      </c>
      <c r="R1795" s="15">
        <f>Q1795/I1795</f>
        <v>0.14166666666666666</v>
      </c>
      <c r="S1795" s="149" t="s">
        <v>110</v>
      </c>
      <c r="T1795" s="149"/>
      <c r="U1795" s="109" t="s">
        <v>767</v>
      </c>
      <c r="V1795" s="10" t="s">
        <v>877</v>
      </c>
      <c r="AE1795" s="2">
        <f>AC1795*AD1795</f>
        <v>0</v>
      </c>
      <c r="AF1795" s="2" t="e">
        <f>Z1795/Y1795</f>
        <v>#DIV/0!</v>
      </c>
      <c r="AG1795" s="2" t="e">
        <f>AA1795/Z1795</f>
        <v>#DIV/0!</v>
      </c>
      <c r="AH1795" s="2" t="e">
        <f>AB1795/AA1795</f>
        <v>#DIV/0!</v>
      </c>
    </row>
    <row r="1796" spans="1:34">
      <c r="A1796" s="68" t="s">
        <v>357</v>
      </c>
      <c r="B1796" s="68" t="s">
        <v>358</v>
      </c>
      <c r="C1796" s="191">
        <v>46219</v>
      </c>
      <c r="D1796" s="42">
        <v>0.67361111111111116</v>
      </c>
      <c r="E1796" s="194">
        <v>94</v>
      </c>
      <c r="F1796" s="63" t="s">
        <v>338</v>
      </c>
      <c r="G1796" s="2">
        <v>1</v>
      </c>
      <c r="H1796" s="2">
        <v>9</v>
      </c>
      <c r="I1796" s="126">
        <v>200</v>
      </c>
      <c r="J1796" s="2" t="s">
        <v>766</v>
      </c>
      <c r="K1796" s="137" t="s">
        <v>603</v>
      </c>
      <c r="L1796" s="89">
        <v>20000</v>
      </c>
      <c r="M1796" s="54">
        <v>20</v>
      </c>
      <c r="N1796" s="132" t="s">
        <v>821</v>
      </c>
      <c r="O1796" s="39" t="s">
        <v>49</v>
      </c>
      <c r="P1796" s="140" t="s">
        <v>825</v>
      </c>
      <c r="Q1796" s="19">
        <v>30</v>
      </c>
      <c r="R1796" s="15">
        <f>Q1796/I1796</f>
        <v>0.15</v>
      </c>
      <c r="S1796" s="5">
        <f>($AC1796*$AD1796)/(($Z1796/$Y1796)+($AA1796/$Z1796)+($AB1796/$AA1796))</f>
        <v>34.242709313264342</v>
      </c>
      <c r="U1796" s="109" t="s">
        <v>767</v>
      </c>
      <c r="V1796" s="2" t="s">
        <v>704</v>
      </c>
      <c r="W1796" s="109" t="s">
        <v>705</v>
      </c>
      <c r="Y1796" s="2">
        <v>2.5</v>
      </c>
      <c r="Z1796" s="2">
        <v>6.5</v>
      </c>
      <c r="AA1796" s="2">
        <v>20</v>
      </c>
      <c r="AB1796" s="2">
        <v>50</v>
      </c>
      <c r="AC1796" s="2">
        <v>14</v>
      </c>
      <c r="AD1796" s="2">
        <v>20</v>
      </c>
      <c r="AE1796" s="2">
        <f>AC1796*AD1796</f>
        <v>280</v>
      </c>
      <c r="AF1796" s="2">
        <f>Z1796/Y1796</f>
        <v>2.6</v>
      </c>
      <c r="AG1796" s="2">
        <f>AA1796/Z1796</f>
        <v>3.0769230769230771</v>
      </c>
      <c r="AH1796" s="2">
        <f>AB1796/AA1796</f>
        <v>2.5</v>
      </c>
    </row>
    <row r="1797" spans="1:34">
      <c r="A1797" s="68" t="s">
        <v>357</v>
      </c>
      <c r="B1797" s="68" t="s">
        <v>358</v>
      </c>
      <c r="C1797" s="191">
        <v>46219</v>
      </c>
      <c r="D1797" s="42">
        <v>0.75694444444444442</v>
      </c>
      <c r="E1797" s="194">
        <v>95</v>
      </c>
      <c r="F1797" s="63" t="s">
        <v>285</v>
      </c>
      <c r="G1797" s="2">
        <v>1</v>
      </c>
      <c r="H1797" s="2">
        <v>9</v>
      </c>
      <c r="I1797" s="126">
        <v>250</v>
      </c>
      <c r="J1797" s="2" t="s">
        <v>766</v>
      </c>
      <c r="K1797" s="137" t="s">
        <v>603</v>
      </c>
      <c r="L1797" s="89">
        <v>25000</v>
      </c>
      <c r="M1797" s="54">
        <v>30</v>
      </c>
      <c r="N1797" s="39" t="s">
        <v>48</v>
      </c>
      <c r="O1797" s="39" t="s">
        <v>49</v>
      </c>
      <c r="P1797" s="211" t="s">
        <v>832</v>
      </c>
      <c r="Q1797" s="19">
        <v>45</v>
      </c>
      <c r="R1797" s="15">
        <f>Q1797/I1797</f>
        <v>0.18</v>
      </c>
      <c r="S1797" s="5">
        <f>($AC1797*$AD1797)/(($Z1797/$Y1797)+($AA1797/$Z1797)+($AB1797/$AA1797))</f>
        <v>55.03292568203198</v>
      </c>
      <c r="U1797" s="109" t="s">
        <v>219</v>
      </c>
      <c r="V1797" s="205" t="s">
        <v>658</v>
      </c>
      <c r="W1797" s="205"/>
      <c r="Y1797" s="2">
        <v>2.5</v>
      </c>
      <c r="Z1797" s="2">
        <v>6.5</v>
      </c>
      <c r="AA1797" s="2">
        <v>20</v>
      </c>
      <c r="AB1797" s="2">
        <v>50</v>
      </c>
      <c r="AC1797" s="2">
        <v>30</v>
      </c>
      <c r="AD1797" s="2">
        <v>15</v>
      </c>
      <c r="AE1797" s="2">
        <f>AC1797*AD1797</f>
        <v>450</v>
      </c>
      <c r="AF1797" s="2">
        <f>Z1797/Y1797</f>
        <v>2.6</v>
      </c>
      <c r="AG1797" s="2">
        <f>AA1797/Z1797</f>
        <v>3.0769230769230771</v>
      </c>
      <c r="AH1797" s="2">
        <f>AB1797/AA1797</f>
        <v>2.5</v>
      </c>
    </row>
    <row r="1798" spans="1:34">
      <c r="A1798" s="165" t="s">
        <v>1384</v>
      </c>
      <c r="B1798" s="50" t="s">
        <v>218</v>
      </c>
      <c r="C1798" s="224">
        <v>46220</v>
      </c>
      <c r="D1798" s="42">
        <v>0.45833333333333331</v>
      </c>
      <c r="E1798" s="196">
        <v>5</v>
      </c>
      <c r="F1798" s="114" t="s">
        <v>201</v>
      </c>
      <c r="G1798" s="2">
        <v>2</v>
      </c>
      <c r="I1798" s="158">
        <v>600</v>
      </c>
      <c r="J1798" s="2" t="s">
        <v>766</v>
      </c>
      <c r="K1798" s="109" t="s">
        <v>601</v>
      </c>
      <c r="L1798" s="93">
        <v>40000</v>
      </c>
      <c r="M1798" s="65" t="s">
        <v>195</v>
      </c>
      <c r="N1798" s="39" t="s">
        <v>48</v>
      </c>
      <c r="O1798" s="39" t="s">
        <v>49</v>
      </c>
      <c r="P1798" s="130"/>
      <c r="Q1798" s="19">
        <v>85</v>
      </c>
      <c r="R1798" s="15">
        <f>Q1798/I1798</f>
        <v>0.14166666666666666</v>
      </c>
      <c r="S1798" s="5">
        <f>($AC1798*$AD1798)/(($Z1798/$Y1798)+($AA1798/$Z1798)+($AB1798/$AA1798))</f>
        <v>76.947040498442377</v>
      </c>
      <c r="U1798" s="109" t="s">
        <v>767</v>
      </c>
      <c r="V1798" s="2" t="s">
        <v>877</v>
      </c>
      <c r="Y1798" s="2">
        <v>2</v>
      </c>
      <c r="Z1798" s="2">
        <v>5</v>
      </c>
      <c r="AA1798" s="2">
        <v>13</v>
      </c>
      <c r="AB1798" s="2">
        <v>30</v>
      </c>
      <c r="AC1798" s="2">
        <v>19</v>
      </c>
      <c r="AD1798" s="2">
        <v>30</v>
      </c>
      <c r="AE1798" s="2">
        <f>AC1798*AD1798</f>
        <v>570</v>
      </c>
      <c r="AF1798" s="2">
        <f>Z1798/Y1798</f>
        <v>2.5</v>
      </c>
      <c r="AG1798" s="2">
        <f>AA1798/Z1798</f>
        <v>2.6</v>
      </c>
      <c r="AH1798" s="2">
        <f>AB1798/AA1798</f>
        <v>2.3076923076923075</v>
      </c>
    </row>
    <row r="1799" spans="1:34">
      <c r="A1799" s="68" t="s">
        <v>357</v>
      </c>
      <c r="B1799" s="68" t="s">
        <v>358</v>
      </c>
      <c r="C1799" s="191">
        <v>46220</v>
      </c>
      <c r="D1799" s="42">
        <v>0.46527777777777779</v>
      </c>
      <c r="E1799" s="194">
        <v>91</v>
      </c>
      <c r="F1799" s="63" t="s">
        <v>341</v>
      </c>
      <c r="G1799" s="2">
        <v>2</v>
      </c>
      <c r="H1799" s="2">
        <v>9</v>
      </c>
      <c r="I1799" s="126">
        <v>1600</v>
      </c>
      <c r="J1799" s="2" t="s">
        <v>766</v>
      </c>
      <c r="K1799" s="137" t="s">
        <v>598</v>
      </c>
      <c r="L1799" s="89">
        <v>40000</v>
      </c>
      <c r="M1799" s="202">
        <v>40</v>
      </c>
      <c r="N1799" s="39" t="s">
        <v>48</v>
      </c>
      <c r="O1799" s="39" t="s">
        <v>49</v>
      </c>
      <c r="P1799" s="211" t="s">
        <v>848</v>
      </c>
      <c r="Q1799" s="19">
        <v>180</v>
      </c>
      <c r="R1799" s="15">
        <f>Q1799/I1799</f>
        <v>0.1125</v>
      </c>
      <c r="S1799" s="5">
        <f>($AC1799*$AD1799)/(($Z1799/$Y1799)+($AA1799/$Z1799)+($AB1799/$AA1799))</f>
        <v>102.59605399792316</v>
      </c>
      <c r="U1799" s="109" t="s">
        <v>767</v>
      </c>
      <c r="V1799" s="10" t="s">
        <v>706</v>
      </c>
      <c r="W1799" s="220" t="s">
        <v>391</v>
      </c>
      <c r="Y1799" s="2">
        <v>2</v>
      </c>
      <c r="Z1799" s="2">
        <v>5</v>
      </c>
      <c r="AA1799" s="2">
        <v>13</v>
      </c>
      <c r="AB1799" s="2">
        <v>30</v>
      </c>
      <c r="AC1799" s="2">
        <v>40</v>
      </c>
      <c r="AD1799" s="2">
        <v>19</v>
      </c>
      <c r="AE1799" s="2">
        <f>AC1799*AD1799</f>
        <v>760</v>
      </c>
      <c r="AF1799" s="2">
        <f>Z1799/Y1799</f>
        <v>2.5</v>
      </c>
      <c r="AG1799" s="2">
        <f>AA1799/Z1799</f>
        <v>2.6</v>
      </c>
      <c r="AH1799" s="2">
        <f>AB1799/AA1799</f>
        <v>2.3076923076923075</v>
      </c>
    </row>
    <row r="1800" spans="1:34" ht="15" thickBot="1">
      <c r="A1800" s="165" t="s">
        <v>1384</v>
      </c>
      <c r="B1800" s="50" t="s">
        <v>218</v>
      </c>
      <c r="C1800" s="224">
        <v>46220</v>
      </c>
      <c r="D1800" s="42">
        <v>0.54166666666666663</v>
      </c>
      <c r="E1800" s="196">
        <v>4</v>
      </c>
      <c r="F1800" s="157" t="s">
        <v>1209</v>
      </c>
      <c r="G1800" s="2">
        <v>2</v>
      </c>
      <c r="I1800" s="158">
        <v>600</v>
      </c>
      <c r="J1800" s="2" t="s">
        <v>766</v>
      </c>
      <c r="K1800" s="109" t="s">
        <v>602</v>
      </c>
      <c r="L1800" s="93">
        <v>25000</v>
      </c>
      <c r="M1800" s="65" t="s">
        <v>195</v>
      </c>
      <c r="N1800" s="39" t="s">
        <v>48</v>
      </c>
      <c r="O1800" s="39" t="s">
        <v>123</v>
      </c>
      <c r="P1800" s="66"/>
      <c r="Q1800" s="2">
        <v>85</v>
      </c>
      <c r="R1800" s="15">
        <f>Q1800/I1800</f>
        <v>0.14166666666666666</v>
      </c>
      <c r="S1800" s="149" t="s">
        <v>110</v>
      </c>
      <c r="T1800" s="149"/>
      <c r="U1800" s="109" t="s">
        <v>767</v>
      </c>
      <c r="V1800" s="2" t="s">
        <v>877</v>
      </c>
      <c r="W1800" s="205"/>
      <c r="AE1800" s="2">
        <f>AC1800*AD1800</f>
        <v>0</v>
      </c>
      <c r="AF1800" s="2" t="e">
        <f>Z1800/Y1800</f>
        <v>#DIV/0!</v>
      </c>
      <c r="AG1800" s="2" t="e">
        <f>AA1800/Z1800</f>
        <v>#DIV/0!</v>
      </c>
      <c r="AH1800" s="2" t="e">
        <f>AB1800/AA1800</f>
        <v>#DIV/0!</v>
      </c>
    </row>
    <row r="1801" spans="1:34">
      <c r="A1801" s="165" t="s">
        <v>1384</v>
      </c>
      <c r="B1801" s="50" t="s">
        <v>218</v>
      </c>
      <c r="C1801" s="224">
        <v>46220</v>
      </c>
      <c r="D1801" s="42">
        <v>0.625</v>
      </c>
      <c r="E1801" s="196">
        <v>6</v>
      </c>
      <c r="F1801" s="157" t="s">
        <v>202</v>
      </c>
      <c r="G1801" s="2">
        <v>2</v>
      </c>
      <c r="I1801" s="243">
        <v>800</v>
      </c>
      <c r="J1801" s="2" t="s">
        <v>766</v>
      </c>
      <c r="K1801" s="109" t="s">
        <v>601</v>
      </c>
      <c r="L1801" s="93">
        <v>30000</v>
      </c>
      <c r="M1801" s="245" t="s">
        <v>195</v>
      </c>
      <c r="N1801" s="39" t="s">
        <v>48</v>
      </c>
      <c r="O1801" s="39" t="s">
        <v>57</v>
      </c>
      <c r="P1801" s="66"/>
      <c r="Q1801" s="2">
        <v>100</v>
      </c>
      <c r="R1801" s="15">
        <f>Q1801/I1801</f>
        <v>0.125</v>
      </c>
      <c r="S1801" s="149" t="s">
        <v>110</v>
      </c>
      <c r="T1801" s="149"/>
      <c r="U1801" s="109" t="s">
        <v>767</v>
      </c>
      <c r="V1801" s="2" t="s">
        <v>877</v>
      </c>
      <c r="AE1801" s="2">
        <f>AC1801*AD1801</f>
        <v>0</v>
      </c>
      <c r="AF1801" s="2" t="e">
        <f>Z1801/Y1801</f>
        <v>#DIV/0!</v>
      </c>
      <c r="AG1801" s="2" t="e">
        <f>AA1801/Z1801</f>
        <v>#DIV/0!</v>
      </c>
      <c r="AH1801" s="2" t="e">
        <f>AB1801/AA1801</f>
        <v>#DIV/0!</v>
      </c>
    </row>
    <row r="1802" spans="1:34">
      <c r="A1802" s="68" t="s">
        <v>357</v>
      </c>
      <c r="B1802" s="68" t="s">
        <v>358</v>
      </c>
      <c r="C1802" s="191">
        <v>46220</v>
      </c>
      <c r="D1802" s="42">
        <v>0.67361111111111116</v>
      </c>
      <c r="E1802" s="194">
        <v>96</v>
      </c>
      <c r="F1802" s="63" t="s">
        <v>338</v>
      </c>
      <c r="G1802" s="2">
        <v>1</v>
      </c>
      <c r="H1802" s="2">
        <v>9</v>
      </c>
      <c r="I1802" s="126">
        <v>200</v>
      </c>
      <c r="J1802" s="2" t="s">
        <v>766</v>
      </c>
      <c r="K1802" s="137" t="s">
        <v>603</v>
      </c>
      <c r="L1802" s="89">
        <v>20000</v>
      </c>
      <c r="M1802" s="54">
        <v>20</v>
      </c>
      <c r="N1802" s="132" t="s">
        <v>821</v>
      </c>
      <c r="O1802" s="39" t="s">
        <v>49</v>
      </c>
      <c r="P1802" s="140" t="s">
        <v>825</v>
      </c>
      <c r="Q1802" s="19">
        <v>30</v>
      </c>
      <c r="R1802" s="15">
        <f>Q1802/I1802</f>
        <v>0.15</v>
      </c>
      <c r="S1802" s="5">
        <f>($AC1802*$AD1802)/(($Z1802/$Y1802)+($AA1802/$Z1802)+($AB1802/$AA1802))</f>
        <v>34.242709313264342</v>
      </c>
      <c r="U1802" s="109" t="s">
        <v>767</v>
      </c>
      <c r="V1802" s="205" t="s">
        <v>704</v>
      </c>
      <c r="W1802" s="218" t="s">
        <v>705</v>
      </c>
      <c r="Y1802" s="2">
        <v>2.5</v>
      </c>
      <c r="Z1802" s="2">
        <v>6.5</v>
      </c>
      <c r="AA1802" s="2">
        <v>20</v>
      </c>
      <c r="AB1802" s="2">
        <v>50</v>
      </c>
      <c r="AC1802" s="2">
        <v>14</v>
      </c>
      <c r="AD1802" s="2">
        <v>20</v>
      </c>
      <c r="AE1802" s="2">
        <f>AC1802*AD1802</f>
        <v>280</v>
      </c>
      <c r="AF1802" s="2">
        <f>Z1802/Y1802</f>
        <v>2.6</v>
      </c>
      <c r="AG1802" s="2">
        <f>AA1802/Z1802</f>
        <v>3.0769230769230771</v>
      </c>
      <c r="AH1802" s="2">
        <f>AB1802/AA1802</f>
        <v>2.5</v>
      </c>
    </row>
    <row r="1803" spans="1:34">
      <c r="A1803" s="68" t="s">
        <v>357</v>
      </c>
      <c r="B1803" s="68" t="s">
        <v>358</v>
      </c>
      <c r="C1803" s="191">
        <v>46220</v>
      </c>
      <c r="D1803" s="42">
        <v>0.75694444444444442</v>
      </c>
      <c r="E1803" s="194">
        <v>97</v>
      </c>
      <c r="F1803" s="63" t="s">
        <v>285</v>
      </c>
      <c r="G1803" s="2">
        <v>1</v>
      </c>
      <c r="H1803" s="2">
        <v>9</v>
      </c>
      <c r="I1803" s="126">
        <v>250</v>
      </c>
      <c r="J1803" s="2" t="s">
        <v>766</v>
      </c>
      <c r="K1803" s="137" t="s">
        <v>603</v>
      </c>
      <c r="L1803" s="89">
        <v>25000</v>
      </c>
      <c r="M1803" s="54">
        <v>30</v>
      </c>
      <c r="N1803" s="39" t="s">
        <v>48</v>
      </c>
      <c r="O1803" s="39" t="s">
        <v>49</v>
      </c>
      <c r="P1803" s="211" t="s">
        <v>832</v>
      </c>
      <c r="Q1803" s="19">
        <v>45</v>
      </c>
      <c r="R1803" s="15">
        <f>Q1803/I1803</f>
        <v>0.18</v>
      </c>
      <c r="S1803" s="5">
        <f>($AC1803*$AD1803)/(($Z1803/$Y1803)+($AA1803/$Z1803)+($AB1803/$AA1803))</f>
        <v>55.03292568203198</v>
      </c>
      <c r="U1803" s="109" t="s">
        <v>219</v>
      </c>
      <c r="V1803" s="205" t="s">
        <v>658</v>
      </c>
      <c r="W1803" s="205"/>
      <c r="Y1803" s="2">
        <v>2.5</v>
      </c>
      <c r="Z1803" s="2">
        <v>6.5</v>
      </c>
      <c r="AA1803" s="2">
        <v>20</v>
      </c>
      <c r="AB1803" s="2">
        <v>50</v>
      </c>
      <c r="AC1803" s="2">
        <v>30</v>
      </c>
      <c r="AD1803" s="2">
        <v>15</v>
      </c>
      <c r="AE1803" s="2">
        <f>AC1803*AD1803</f>
        <v>450</v>
      </c>
      <c r="AF1803" s="2">
        <f>Z1803/Y1803</f>
        <v>2.6</v>
      </c>
      <c r="AG1803" s="2">
        <f>AA1803/Z1803</f>
        <v>3.0769230769230771</v>
      </c>
      <c r="AH1803" s="2">
        <f>AB1803/AA1803</f>
        <v>2.5</v>
      </c>
    </row>
    <row r="1804" spans="1:34">
      <c r="A1804" s="165" t="s">
        <v>1384</v>
      </c>
      <c r="B1804" s="50" t="s">
        <v>218</v>
      </c>
      <c r="C1804" s="191">
        <v>46220</v>
      </c>
      <c r="D1804" s="42"/>
      <c r="E1804" s="43">
        <v>1</v>
      </c>
      <c r="F1804" s="114" t="s">
        <v>1347</v>
      </c>
      <c r="G1804" s="2">
        <v>2</v>
      </c>
      <c r="I1804" s="158">
        <v>400</v>
      </c>
      <c r="J1804" s="2" t="s">
        <v>766</v>
      </c>
      <c r="K1804" s="109" t="s">
        <v>601</v>
      </c>
      <c r="L1804" s="93">
        <v>40000</v>
      </c>
      <c r="M1804" s="65" t="s">
        <v>195</v>
      </c>
      <c r="N1804" s="39" t="s">
        <v>48</v>
      </c>
      <c r="O1804" s="39" t="s">
        <v>49</v>
      </c>
      <c r="P1804" s="130"/>
      <c r="Q1804" s="19">
        <v>70</v>
      </c>
      <c r="R1804" s="15">
        <f>Q1804/I1804</f>
        <v>0.17499999999999999</v>
      </c>
      <c r="S1804" s="5">
        <f>($AC1804*$AD1804)/(($Z1804/$Y1804)+($AA1804/$Z1804)+($AB1804/$AA1804))</f>
        <v>72.897196261682254</v>
      </c>
      <c r="U1804" s="109" t="s">
        <v>767</v>
      </c>
      <c r="V1804" s="2" t="s">
        <v>877</v>
      </c>
      <c r="Y1804" s="2">
        <v>2</v>
      </c>
      <c r="Z1804" s="2">
        <v>5</v>
      </c>
      <c r="AA1804" s="2">
        <v>13</v>
      </c>
      <c r="AB1804" s="2">
        <v>30</v>
      </c>
      <c r="AC1804" s="2">
        <v>18</v>
      </c>
      <c r="AD1804" s="2">
        <v>30</v>
      </c>
      <c r="AE1804" s="2">
        <f>AC1804*AD1804</f>
        <v>540</v>
      </c>
      <c r="AF1804" s="2">
        <f>Z1804/Y1804</f>
        <v>2.5</v>
      </c>
      <c r="AG1804" s="2">
        <f>AA1804/Z1804</f>
        <v>2.6</v>
      </c>
      <c r="AH1804" s="2">
        <f>AB1804/AA1804</f>
        <v>2.3076923076923075</v>
      </c>
    </row>
    <row r="1805" spans="1:34">
      <c r="A1805" s="165" t="s">
        <v>1384</v>
      </c>
      <c r="B1805" s="50" t="s">
        <v>218</v>
      </c>
      <c r="C1805" s="224">
        <v>46221</v>
      </c>
      <c r="D1805" s="42">
        <v>0.45833333333333331</v>
      </c>
      <c r="E1805" s="196">
        <v>5</v>
      </c>
      <c r="F1805" s="114" t="s">
        <v>203</v>
      </c>
      <c r="G1805" s="2">
        <v>2</v>
      </c>
      <c r="I1805" s="158">
        <v>600</v>
      </c>
      <c r="J1805" s="2" t="s">
        <v>766</v>
      </c>
      <c r="K1805" s="109" t="s">
        <v>601</v>
      </c>
      <c r="L1805" s="93">
        <v>40000</v>
      </c>
      <c r="M1805" s="65" t="s">
        <v>195</v>
      </c>
      <c r="N1805" s="39" t="s">
        <v>48</v>
      </c>
      <c r="O1805" s="39" t="s">
        <v>49</v>
      </c>
      <c r="P1805" s="130"/>
      <c r="Q1805" s="19">
        <v>85</v>
      </c>
      <c r="R1805" s="15">
        <f>Q1805/I1805</f>
        <v>0.14166666666666666</v>
      </c>
      <c r="S1805" s="5">
        <f>($AC1805*$AD1805)/(($Z1805/$Y1805)+($AA1805/$Z1805)+($AB1805/$AA1805))</f>
        <v>76.947040498442377</v>
      </c>
      <c r="U1805" s="109" t="s">
        <v>767</v>
      </c>
      <c r="V1805" s="2" t="s">
        <v>877</v>
      </c>
      <c r="Y1805" s="2">
        <v>2</v>
      </c>
      <c r="Z1805" s="2">
        <v>5</v>
      </c>
      <c r="AA1805" s="2">
        <v>13</v>
      </c>
      <c r="AB1805" s="2">
        <v>30</v>
      </c>
      <c r="AC1805" s="2">
        <v>19</v>
      </c>
      <c r="AD1805" s="2">
        <v>30</v>
      </c>
      <c r="AE1805" s="2">
        <f>AC1805*AD1805</f>
        <v>570</v>
      </c>
      <c r="AF1805" s="2">
        <f>Z1805/Y1805</f>
        <v>2.5</v>
      </c>
      <c r="AG1805" s="2">
        <f>AA1805/Z1805</f>
        <v>2.6</v>
      </c>
      <c r="AH1805" s="2">
        <f>AB1805/AA1805</f>
        <v>2.3076923076923075</v>
      </c>
    </row>
    <row r="1806" spans="1:34">
      <c r="A1806" s="68" t="s">
        <v>357</v>
      </c>
      <c r="B1806" s="68" t="s">
        <v>358</v>
      </c>
      <c r="C1806" s="191">
        <v>46221</v>
      </c>
      <c r="D1806" s="42">
        <v>0.46527777777777779</v>
      </c>
      <c r="E1806" s="194">
        <v>91</v>
      </c>
      <c r="F1806" s="63" t="s">
        <v>342</v>
      </c>
      <c r="G1806" s="2">
        <v>2</v>
      </c>
      <c r="H1806" s="2">
        <v>9</v>
      </c>
      <c r="I1806" s="126">
        <v>1600</v>
      </c>
      <c r="J1806" s="2" t="s">
        <v>766</v>
      </c>
      <c r="K1806" s="137" t="s">
        <v>598</v>
      </c>
      <c r="L1806" s="89">
        <v>40000</v>
      </c>
      <c r="M1806" s="202">
        <v>40</v>
      </c>
      <c r="N1806" s="39" t="s">
        <v>48</v>
      </c>
      <c r="O1806" s="39" t="s">
        <v>49</v>
      </c>
      <c r="P1806" s="211" t="s">
        <v>848</v>
      </c>
      <c r="Q1806" s="19">
        <v>180</v>
      </c>
      <c r="R1806" s="15">
        <f>Q1806/I1806</f>
        <v>0.1125</v>
      </c>
      <c r="S1806" s="5">
        <f>($AC1806*$AD1806)/(($Z1806/$Y1806)+($AA1806/$Z1806)+($AB1806/$AA1806))</f>
        <v>102.59605399792316</v>
      </c>
      <c r="U1806" s="109" t="s">
        <v>767</v>
      </c>
      <c r="V1806" s="10" t="s">
        <v>706</v>
      </c>
      <c r="W1806" s="220" t="s">
        <v>391</v>
      </c>
      <c r="Y1806" s="2">
        <v>2</v>
      </c>
      <c r="Z1806" s="2">
        <v>5</v>
      </c>
      <c r="AA1806" s="2">
        <v>13</v>
      </c>
      <c r="AB1806" s="2">
        <v>30</v>
      </c>
      <c r="AC1806" s="2">
        <v>40</v>
      </c>
      <c r="AD1806" s="2">
        <v>19</v>
      </c>
      <c r="AE1806" s="2">
        <f>AC1806*AD1806</f>
        <v>760</v>
      </c>
      <c r="AF1806" s="2">
        <f>Z1806/Y1806</f>
        <v>2.5</v>
      </c>
      <c r="AG1806" s="2">
        <f>AA1806/Z1806</f>
        <v>2.6</v>
      </c>
      <c r="AH1806" s="2">
        <f>AB1806/AA1806</f>
        <v>2.3076923076923075</v>
      </c>
    </row>
    <row r="1807" spans="1:34">
      <c r="A1807" s="68" t="s">
        <v>357</v>
      </c>
      <c r="B1807" s="68" t="s">
        <v>358</v>
      </c>
      <c r="C1807" s="51">
        <v>46221</v>
      </c>
      <c r="D1807" s="42">
        <v>0.50694444444444442</v>
      </c>
      <c r="E1807" s="194">
        <v>98</v>
      </c>
      <c r="F1807" s="63" t="s">
        <v>343</v>
      </c>
      <c r="G1807" s="2">
        <v>1</v>
      </c>
      <c r="H1807" s="2">
        <v>8</v>
      </c>
      <c r="I1807" s="126">
        <v>800</v>
      </c>
      <c r="J1807" s="2" t="s">
        <v>766</v>
      </c>
      <c r="K1807" s="137" t="s">
        <v>815</v>
      </c>
      <c r="L1807" s="89">
        <v>30000</v>
      </c>
      <c r="M1807" s="202">
        <v>30</v>
      </c>
      <c r="N1807" s="39" t="s">
        <v>48</v>
      </c>
      <c r="O1807" s="39" t="s">
        <v>57</v>
      </c>
      <c r="P1807" s="161">
        <v>40000</v>
      </c>
      <c r="Q1807" s="2">
        <v>100</v>
      </c>
      <c r="R1807" s="15">
        <f>Q1807/I1807</f>
        <v>0.125</v>
      </c>
      <c r="S1807" s="149" t="s">
        <v>110</v>
      </c>
      <c r="T1807" s="149"/>
      <c r="U1807" s="109" t="s">
        <v>767</v>
      </c>
      <c r="V1807" s="2" t="s">
        <v>707</v>
      </c>
      <c r="W1807" s="205"/>
      <c r="AE1807" s="2">
        <f>AC1807*AD1807</f>
        <v>0</v>
      </c>
      <c r="AF1807" s="2" t="e">
        <f>Z1807/Y1807</f>
        <v>#DIV/0!</v>
      </c>
      <c r="AG1807" s="2" t="e">
        <f>AA1807/Z1807</f>
        <v>#DIV/0!</v>
      </c>
      <c r="AH1807" s="2" t="e">
        <f>AB1807/AA1807</f>
        <v>#DIV/0!</v>
      </c>
    </row>
    <row r="1808" spans="1:34">
      <c r="A1808" s="165" t="s">
        <v>1384</v>
      </c>
      <c r="B1808" s="50" t="s">
        <v>218</v>
      </c>
      <c r="C1808" s="224">
        <v>46221</v>
      </c>
      <c r="D1808" s="42">
        <v>0.54166666666666663</v>
      </c>
      <c r="E1808" s="196">
        <v>6</v>
      </c>
      <c r="F1808" s="198" t="s">
        <v>1353</v>
      </c>
      <c r="G1808" s="2">
        <v>2</v>
      </c>
      <c r="I1808" s="158">
        <v>800</v>
      </c>
      <c r="J1808" s="2" t="s">
        <v>766</v>
      </c>
      <c r="K1808" s="109" t="s">
        <v>601</v>
      </c>
      <c r="L1808" s="93">
        <v>30000</v>
      </c>
      <c r="M1808" s="65" t="s">
        <v>195</v>
      </c>
      <c r="N1808" s="39" t="s">
        <v>48</v>
      </c>
      <c r="O1808" s="39" t="s">
        <v>57</v>
      </c>
      <c r="P1808" s="66"/>
      <c r="Q1808" s="2">
        <v>100</v>
      </c>
      <c r="R1808" s="15">
        <f>Q1808/I1808</f>
        <v>0.125</v>
      </c>
      <c r="S1808" s="149" t="s">
        <v>110</v>
      </c>
      <c r="T1808" s="149"/>
      <c r="U1808" s="109" t="s">
        <v>767</v>
      </c>
      <c r="V1808" s="2" t="s">
        <v>877</v>
      </c>
      <c r="W1808" s="205"/>
      <c r="AE1808" s="2">
        <f>AC1808*AD1808</f>
        <v>0</v>
      </c>
      <c r="AF1808" s="2" t="e">
        <f>Z1808/Y1808</f>
        <v>#DIV/0!</v>
      </c>
      <c r="AG1808" s="2" t="e">
        <f>AA1808/Z1808</f>
        <v>#DIV/0!</v>
      </c>
      <c r="AH1808" s="2" t="e">
        <f>AB1808/AA1808</f>
        <v>#DIV/0!</v>
      </c>
    </row>
    <row r="1809" spans="1:34">
      <c r="A1809" s="165" t="s">
        <v>1384</v>
      </c>
      <c r="B1809" s="50" t="s">
        <v>218</v>
      </c>
      <c r="C1809" s="224">
        <v>46221</v>
      </c>
      <c r="D1809" s="42">
        <v>0.625</v>
      </c>
      <c r="E1809" s="196">
        <v>7</v>
      </c>
      <c r="F1809" s="198" t="s">
        <v>204</v>
      </c>
      <c r="G1809" s="2">
        <v>2</v>
      </c>
      <c r="I1809" s="158">
        <v>300</v>
      </c>
      <c r="J1809" s="2" t="s">
        <v>766</v>
      </c>
      <c r="K1809" s="109" t="s">
        <v>602</v>
      </c>
      <c r="L1809" s="93">
        <v>20000</v>
      </c>
      <c r="M1809" s="65">
        <v>30</v>
      </c>
      <c r="N1809" s="39" t="s">
        <v>48</v>
      </c>
      <c r="O1809" s="39" t="s">
        <v>49</v>
      </c>
      <c r="P1809" s="130"/>
      <c r="Q1809" s="19">
        <v>60</v>
      </c>
      <c r="R1809" s="15">
        <f>Q1809/I1809</f>
        <v>0.2</v>
      </c>
      <c r="S1809" s="5">
        <f>($AC1809*$AD1809)/(($Z1809/$Y1809)+($AA1809/$Z1809)+($AB1809/$AA1809))</f>
        <v>40.601503759398497</v>
      </c>
      <c r="U1809" s="109" t="s">
        <v>125</v>
      </c>
      <c r="V1809" s="2" t="s">
        <v>877</v>
      </c>
      <c r="Y1809" s="2">
        <v>1.5</v>
      </c>
      <c r="Z1809" s="2">
        <v>5</v>
      </c>
      <c r="AA1809" s="2">
        <v>20</v>
      </c>
      <c r="AB1809" s="2">
        <v>75</v>
      </c>
      <c r="AC1809" s="2">
        <v>15</v>
      </c>
      <c r="AD1809" s="2">
        <v>30</v>
      </c>
      <c r="AE1809" s="2">
        <f>AC1809*AD1809</f>
        <v>450</v>
      </c>
      <c r="AF1809" s="2">
        <f>Z1809/Y1809</f>
        <v>3.3333333333333335</v>
      </c>
      <c r="AG1809" s="2">
        <f>AA1809/Z1809</f>
        <v>4</v>
      </c>
      <c r="AH1809" s="2">
        <f>AB1809/AA1809</f>
        <v>3.75</v>
      </c>
    </row>
    <row r="1810" spans="1:34">
      <c r="A1810" s="68" t="s">
        <v>357</v>
      </c>
      <c r="B1810" s="68" t="s">
        <v>358</v>
      </c>
      <c r="C1810" s="191">
        <v>46221</v>
      </c>
      <c r="D1810" s="42">
        <v>18.756944444444443</v>
      </c>
      <c r="E1810" s="194">
        <v>99</v>
      </c>
      <c r="F1810" s="63" t="s">
        <v>285</v>
      </c>
      <c r="G1810" s="2">
        <v>1</v>
      </c>
      <c r="H1810" s="2">
        <v>9</v>
      </c>
      <c r="I1810" s="126">
        <v>250</v>
      </c>
      <c r="J1810" s="2" t="s">
        <v>766</v>
      </c>
      <c r="K1810" s="137" t="s">
        <v>603</v>
      </c>
      <c r="L1810" s="89">
        <v>25000</v>
      </c>
      <c r="M1810" s="202">
        <v>30</v>
      </c>
      <c r="N1810" s="39" t="s">
        <v>48</v>
      </c>
      <c r="O1810" s="39" t="s">
        <v>49</v>
      </c>
      <c r="P1810" s="211" t="s">
        <v>832</v>
      </c>
      <c r="Q1810" s="19">
        <v>45</v>
      </c>
      <c r="R1810" s="15">
        <f>Q1810/I1810</f>
        <v>0.18</v>
      </c>
      <c r="S1810" s="5">
        <f>($AC1810*$AD1810)/(($Z1810/$Y1810)+($AA1810/$Z1810)+($AB1810/$AA1810))</f>
        <v>55.03292568203198</v>
      </c>
      <c r="U1810" s="109" t="s">
        <v>219</v>
      </c>
      <c r="V1810" s="10" t="s">
        <v>658</v>
      </c>
      <c r="W1810" s="205"/>
      <c r="Y1810" s="2">
        <v>2.5</v>
      </c>
      <c r="Z1810" s="2">
        <v>6.5</v>
      </c>
      <c r="AA1810" s="2">
        <v>20</v>
      </c>
      <c r="AB1810" s="2">
        <v>50</v>
      </c>
      <c r="AC1810" s="2">
        <v>30</v>
      </c>
      <c r="AD1810" s="2">
        <v>15</v>
      </c>
      <c r="AE1810" s="2">
        <f>AC1810*AD1810</f>
        <v>450</v>
      </c>
      <c r="AF1810" s="2">
        <f>Z1810/Y1810</f>
        <v>2.6</v>
      </c>
      <c r="AG1810" s="2">
        <f>AA1810/Z1810</f>
        <v>3.0769230769230771</v>
      </c>
      <c r="AH1810" s="2">
        <f>AB1810/AA1810</f>
        <v>2.5</v>
      </c>
    </row>
    <row r="1811" spans="1:34">
      <c r="A1811" s="165" t="s">
        <v>1384</v>
      </c>
      <c r="B1811" s="50" t="s">
        <v>218</v>
      </c>
      <c r="C1811" s="224">
        <v>46222</v>
      </c>
      <c r="D1811" s="42">
        <v>0.45833333333333331</v>
      </c>
      <c r="E1811" s="196">
        <v>5</v>
      </c>
      <c r="F1811" s="114" t="s">
        <v>205</v>
      </c>
      <c r="G1811" s="2">
        <v>2</v>
      </c>
      <c r="I1811" s="158">
        <v>600</v>
      </c>
      <c r="J1811" s="2" t="s">
        <v>766</v>
      </c>
      <c r="K1811" s="109" t="s">
        <v>601</v>
      </c>
      <c r="L1811" s="93">
        <v>40000</v>
      </c>
      <c r="M1811" s="65" t="s">
        <v>195</v>
      </c>
      <c r="N1811" s="39" t="s">
        <v>48</v>
      </c>
      <c r="O1811" s="39" t="s">
        <v>49</v>
      </c>
      <c r="P1811" s="130"/>
      <c r="Q1811" s="19">
        <v>85</v>
      </c>
      <c r="R1811" s="15">
        <f>Q1811/I1811</f>
        <v>0.14166666666666666</v>
      </c>
      <c r="S1811" s="5">
        <f>($AC1811*$AD1811)/(($Z1811/$Y1811)+($AA1811/$Z1811)+($AB1811/$AA1811))</f>
        <v>76.947040498442377</v>
      </c>
      <c r="U1811" s="109" t="s">
        <v>767</v>
      </c>
      <c r="V1811" s="2" t="s">
        <v>877</v>
      </c>
      <c r="Y1811" s="2">
        <v>2</v>
      </c>
      <c r="Z1811" s="2">
        <v>5</v>
      </c>
      <c r="AA1811" s="2">
        <v>13</v>
      </c>
      <c r="AB1811" s="2">
        <v>30</v>
      </c>
      <c r="AC1811" s="2">
        <v>19</v>
      </c>
      <c r="AD1811" s="2">
        <v>30</v>
      </c>
      <c r="AE1811" s="2">
        <f>AC1811*AD1811</f>
        <v>570</v>
      </c>
      <c r="AF1811" s="2">
        <f>Z1811/Y1811</f>
        <v>2.5</v>
      </c>
      <c r="AG1811" s="2">
        <f>AA1811/Z1811</f>
        <v>2.6</v>
      </c>
      <c r="AH1811" s="2">
        <f>AB1811/AA1811</f>
        <v>2.3076923076923075</v>
      </c>
    </row>
    <row r="1812" spans="1:34">
      <c r="A1812" s="68" t="s">
        <v>357</v>
      </c>
      <c r="B1812" s="68" t="s">
        <v>358</v>
      </c>
      <c r="C1812" s="191">
        <v>46222</v>
      </c>
      <c r="D1812" s="42">
        <v>0.46527777777777779</v>
      </c>
      <c r="E1812" s="194">
        <v>91</v>
      </c>
      <c r="F1812" s="63" t="s">
        <v>1379</v>
      </c>
      <c r="G1812" s="2">
        <v>2</v>
      </c>
      <c r="H1812" s="2">
        <v>9</v>
      </c>
      <c r="I1812" s="126">
        <v>1600</v>
      </c>
      <c r="J1812" s="2" t="s">
        <v>766</v>
      </c>
      <c r="K1812" s="137" t="s">
        <v>598</v>
      </c>
      <c r="L1812" s="89">
        <v>40000</v>
      </c>
      <c r="M1812" s="202">
        <v>40</v>
      </c>
      <c r="N1812" s="39" t="s">
        <v>48</v>
      </c>
      <c r="O1812" s="39" t="s">
        <v>49</v>
      </c>
      <c r="P1812" s="211" t="s">
        <v>848</v>
      </c>
      <c r="Q1812" s="19">
        <v>180</v>
      </c>
      <c r="R1812" s="15">
        <f>Q1812/I1812</f>
        <v>0.1125</v>
      </c>
      <c r="S1812" s="5">
        <f>($AC1812*$AD1812)/(($Z1812/$Y1812)+($AA1812/$Z1812)+($AB1812/$AA1812))</f>
        <v>102.59605399792316</v>
      </c>
      <c r="U1812" s="109" t="s">
        <v>767</v>
      </c>
      <c r="V1812" s="10" t="s">
        <v>706</v>
      </c>
      <c r="W1812" s="220" t="s">
        <v>391</v>
      </c>
      <c r="Y1812" s="2">
        <v>2</v>
      </c>
      <c r="Z1812" s="2">
        <v>5</v>
      </c>
      <c r="AA1812" s="2">
        <v>13</v>
      </c>
      <c r="AB1812" s="2">
        <v>30</v>
      </c>
      <c r="AC1812" s="2">
        <v>40</v>
      </c>
      <c r="AD1812" s="2">
        <v>19</v>
      </c>
      <c r="AE1812" s="2">
        <f>AC1812*AD1812</f>
        <v>760</v>
      </c>
      <c r="AF1812" s="2">
        <f>Z1812/Y1812</f>
        <v>2.5</v>
      </c>
      <c r="AG1812" s="2">
        <f>AA1812/Z1812</f>
        <v>2.6</v>
      </c>
      <c r="AH1812" s="2">
        <f>AB1812/AA1812</f>
        <v>2.3076923076923075</v>
      </c>
    </row>
    <row r="1813" spans="1:34" ht="15" thickBot="1">
      <c r="A1813" s="68" t="s">
        <v>357</v>
      </c>
      <c r="B1813" s="68" t="s">
        <v>358</v>
      </c>
      <c r="C1813" s="191">
        <v>46222</v>
      </c>
      <c r="D1813" s="42">
        <v>0.46527777777777779</v>
      </c>
      <c r="E1813" s="194">
        <v>100</v>
      </c>
      <c r="F1813" s="63" t="s">
        <v>281</v>
      </c>
      <c r="G1813" s="2">
        <v>1</v>
      </c>
      <c r="H1813" s="2">
        <v>9</v>
      </c>
      <c r="I1813" s="126">
        <v>600</v>
      </c>
      <c r="J1813" s="2" t="s">
        <v>766</v>
      </c>
      <c r="K1813" s="137" t="s">
        <v>815</v>
      </c>
      <c r="L1813" s="89">
        <v>30000</v>
      </c>
      <c r="M1813" s="202">
        <v>30</v>
      </c>
      <c r="N1813" s="39" t="s">
        <v>48</v>
      </c>
      <c r="O1813" s="39" t="s">
        <v>49</v>
      </c>
      <c r="P1813" s="140" t="s">
        <v>835</v>
      </c>
      <c r="Q1813" s="19">
        <v>90</v>
      </c>
      <c r="R1813" s="15">
        <f>Q1813/I1813</f>
        <v>0.15</v>
      </c>
      <c r="S1813" s="5">
        <f>($AC1813*$AD1813)/(($Z1813/$Y1813)+($AA1813/$Z1813)+($AB1813/$AA1813))</f>
        <v>67.332430602572785</v>
      </c>
      <c r="U1813" s="109" t="s">
        <v>767</v>
      </c>
      <c r="V1813" s="205" t="s">
        <v>653</v>
      </c>
      <c r="W1813" s="205"/>
      <c r="Y1813" s="2">
        <v>2.5</v>
      </c>
      <c r="Z1813" s="2">
        <v>6.5</v>
      </c>
      <c r="AA1813" s="2">
        <v>15</v>
      </c>
      <c r="AB1813" s="2">
        <v>40</v>
      </c>
      <c r="AC1813" s="2">
        <v>30</v>
      </c>
      <c r="AD1813" s="2">
        <v>17</v>
      </c>
      <c r="AE1813" s="2">
        <f>AC1813*AD1813</f>
        <v>510</v>
      </c>
      <c r="AF1813" s="2">
        <f>Z1813/Y1813</f>
        <v>2.6</v>
      </c>
      <c r="AG1813" s="2">
        <f>AA1813/Z1813</f>
        <v>2.3076923076923075</v>
      </c>
      <c r="AH1813" s="2">
        <f>AB1813/AA1813</f>
        <v>2.6666666666666665</v>
      </c>
    </row>
    <row r="1814" spans="1:34" ht="15" thickBot="1">
      <c r="A1814" s="165" t="s">
        <v>1384</v>
      </c>
      <c r="B1814" s="50" t="s">
        <v>218</v>
      </c>
      <c r="C1814" s="224">
        <v>46222</v>
      </c>
      <c r="D1814" s="42">
        <v>0.54166666666666663</v>
      </c>
      <c r="E1814" s="196">
        <v>7</v>
      </c>
      <c r="F1814" s="198" t="s">
        <v>1354</v>
      </c>
      <c r="G1814" s="2">
        <v>2</v>
      </c>
      <c r="I1814" s="243">
        <v>300</v>
      </c>
      <c r="J1814" s="2" t="s">
        <v>766</v>
      </c>
      <c r="K1814" s="109" t="s">
        <v>602</v>
      </c>
      <c r="L1814" s="93">
        <v>20000</v>
      </c>
      <c r="M1814" s="245">
        <v>30</v>
      </c>
      <c r="N1814" s="39" t="s">
        <v>48</v>
      </c>
      <c r="O1814" s="39" t="s">
        <v>49</v>
      </c>
      <c r="P1814" s="130"/>
      <c r="Q1814" s="19">
        <v>60</v>
      </c>
      <c r="R1814" s="15">
        <f>Q1814/I1814</f>
        <v>0.2</v>
      </c>
      <c r="S1814" s="5">
        <f>($AC1814*$AD1814)/(($Z1814/$Y1814)+($AA1814/$Z1814)+($AB1814/$AA1814))</f>
        <v>40.601503759398497</v>
      </c>
      <c r="U1814" s="109" t="s">
        <v>125</v>
      </c>
      <c r="V1814" s="2" t="s">
        <v>877</v>
      </c>
      <c r="W1814" s="205"/>
      <c r="Y1814" s="2">
        <v>1.5</v>
      </c>
      <c r="Z1814" s="2">
        <v>5</v>
      </c>
      <c r="AA1814" s="2">
        <v>20</v>
      </c>
      <c r="AB1814" s="2">
        <v>75</v>
      </c>
      <c r="AC1814" s="2">
        <v>15</v>
      </c>
      <c r="AD1814" s="2">
        <v>30</v>
      </c>
      <c r="AE1814" s="2">
        <f>AC1814*AD1814</f>
        <v>450</v>
      </c>
      <c r="AF1814" s="2">
        <f>Z1814/Y1814</f>
        <v>3.3333333333333335</v>
      </c>
      <c r="AG1814" s="2">
        <f>AA1814/Z1814</f>
        <v>4</v>
      </c>
      <c r="AH1814" s="2">
        <f>AB1814/AA1814</f>
        <v>3.75</v>
      </c>
    </row>
    <row r="1815" spans="1:34" ht="15" thickBot="1">
      <c r="A1815" s="165" t="s">
        <v>1384</v>
      </c>
      <c r="B1815" s="50" t="s">
        <v>218</v>
      </c>
      <c r="C1815" s="224">
        <v>46222</v>
      </c>
      <c r="D1815" s="42">
        <v>0.625</v>
      </c>
      <c r="E1815" s="196">
        <v>8</v>
      </c>
      <c r="F1815" s="198" t="s">
        <v>206</v>
      </c>
      <c r="G1815" s="2">
        <v>2</v>
      </c>
      <c r="I1815" s="158">
        <v>1125</v>
      </c>
      <c r="J1815" s="2" t="s">
        <v>766</v>
      </c>
      <c r="K1815" s="109" t="s">
        <v>601</v>
      </c>
      <c r="L1815" s="93">
        <v>30000</v>
      </c>
      <c r="M1815" s="245">
        <v>40</v>
      </c>
      <c r="N1815" s="39" t="s">
        <v>48</v>
      </c>
      <c r="O1815" s="39" t="s">
        <v>49</v>
      </c>
      <c r="P1815" s="130"/>
      <c r="Q1815" s="19">
        <v>125</v>
      </c>
      <c r="R1815" s="15">
        <f>Q1815/I1815</f>
        <v>0.1111111111111111</v>
      </c>
      <c r="S1815" s="5">
        <f>($AC1815*$AD1815)/(($Z1815/$Y1815)+($AA1815/$Z1815)+($AB1815/$AA1815))</f>
        <v>107.03259005145797</v>
      </c>
      <c r="U1815" s="109" t="s">
        <v>767</v>
      </c>
      <c r="V1815" s="2" t="s">
        <v>877</v>
      </c>
      <c r="Y1815" s="2">
        <v>1300</v>
      </c>
      <c r="Z1815" s="2">
        <v>3000</v>
      </c>
      <c r="AA1815" s="2">
        <v>7500</v>
      </c>
      <c r="AB1815" s="2">
        <v>20000</v>
      </c>
      <c r="AC1815" s="2">
        <v>20</v>
      </c>
      <c r="AD1815" s="2">
        <v>40</v>
      </c>
      <c r="AE1815" s="2">
        <f>AC1815*AD1815</f>
        <v>800</v>
      </c>
      <c r="AF1815" s="2">
        <f>Z1815/Y1815</f>
        <v>2.3076923076923075</v>
      </c>
      <c r="AG1815" s="2">
        <f>AA1815/Z1815</f>
        <v>2.5</v>
      </c>
      <c r="AH1815" s="2">
        <f>AB1815/AA1815</f>
        <v>2.6666666666666665</v>
      </c>
    </row>
    <row r="1816" spans="1:34" ht="15" thickBot="1">
      <c r="A1816" s="68" t="s">
        <v>357</v>
      </c>
      <c r="B1816" s="68" t="s">
        <v>358</v>
      </c>
      <c r="C1816" s="191">
        <v>46222</v>
      </c>
      <c r="D1816" s="42">
        <v>0.75694444444444442</v>
      </c>
      <c r="E1816" s="194">
        <v>101</v>
      </c>
      <c r="F1816" s="63" t="s">
        <v>278</v>
      </c>
      <c r="G1816" s="2">
        <v>1</v>
      </c>
      <c r="H1816" s="2">
        <v>9</v>
      </c>
      <c r="I1816" s="126">
        <v>200</v>
      </c>
      <c r="J1816" s="2" t="s">
        <v>766</v>
      </c>
      <c r="K1816" s="137" t="s">
        <v>603</v>
      </c>
      <c r="L1816" s="89">
        <v>25000</v>
      </c>
      <c r="M1816" s="106">
        <v>30</v>
      </c>
      <c r="N1816" s="39" t="s">
        <v>48</v>
      </c>
      <c r="O1816" s="39" t="s">
        <v>49</v>
      </c>
      <c r="P1816" s="140" t="s">
        <v>831</v>
      </c>
      <c r="Q1816" s="19">
        <v>40</v>
      </c>
      <c r="R1816" s="15">
        <f>Q1816/I1816</f>
        <v>0.2</v>
      </c>
      <c r="S1816" s="5">
        <f>($AC1816*$AD1816)/(($Z1816/$Y1816)+($AA1816/$Z1816)+($AB1816/$AA1816))</f>
        <v>55.03292568203198</v>
      </c>
      <c r="U1816" s="109" t="s">
        <v>219</v>
      </c>
      <c r="V1816" s="205" t="s">
        <v>651</v>
      </c>
      <c r="W1816" s="218" t="s">
        <v>652</v>
      </c>
      <c r="Y1816" s="2">
        <v>2.5</v>
      </c>
      <c r="Z1816" s="2">
        <v>6.5</v>
      </c>
      <c r="AA1816" s="2">
        <v>20</v>
      </c>
      <c r="AB1816" s="2">
        <v>50</v>
      </c>
      <c r="AC1816" s="2">
        <v>30</v>
      </c>
      <c r="AD1816" s="2">
        <v>15</v>
      </c>
      <c r="AE1816" s="2">
        <f>AC1816*AD1816</f>
        <v>450</v>
      </c>
      <c r="AF1816" s="2">
        <f>Z1816/Y1816</f>
        <v>2.6</v>
      </c>
      <c r="AG1816" s="2">
        <f>AA1816/Z1816</f>
        <v>3.0769230769230771</v>
      </c>
      <c r="AH1816" s="2">
        <f>AB1816/AA1816</f>
        <v>2.5</v>
      </c>
    </row>
    <row r="1817" spans="1:34" ht="15" thickBot="1">
      <c r="A1817" s="165" t="s">
        <v>1384</v>
      </c>
      <c r="B1817" s="50" t="s">
        <v>218</v>
      </c>
      <c r="C1817" s="224">
        <v>46223</v>
      </c>
      <c r="D1817" s="42">
        <v>0.45833333333333331</v>
      </c>
      <c r="E1817" s="147">
        <v>9</v>
      </c>
      <c r="F1817" s="114" t="s">
        <v>207</v>
      </c>
      <c r="G1817" s="2">
        <v>2</v>
      </c>
      <c r="I1817" s="158">
        <v>400</v>
      </c>
      <c r="J1817" s="2" t="s">
        <v>766</v>
      </c>
      <c r="K1817" s="109" t="s">
        <v>602</v>
      </c>
      <c r="L1817" s="93">
        <v>20000</v>
      </c>
      <c r="M1817" s="245" t="s">
        <v>195</v>
      </c>
      <c r="N1817" s="39" t="s">
        <v>48</v>
      </c>
      <c r="O1817" s="39" t="s">
        <v>49</v>
      </c>
      <c r="P1817" s="130"/>
      <c r="Q1817" s="19">
        <v>70</v>
      </c>
      <c r="R1817" s="15">
        <f>Q1817/I1817</f>
        <v>0.17499999999999999</v>
      </c>
      <c r="S1817" s="5">
        <f>($AC1817*$AD1817)/(($Z1817/$Y1817)+($AA1817/$Z1817)+($AB1817/$AA1817))</f>
        <v>64.797507788161994</v>
      </c>
      <c r="U1817" s="109" t="s">
        <v>54</v>
      </c>
      <c r="V1817" s="2" t="s">
        <v>877</v>
      </c>
      <c r="Y1817" s="2">
        <v>2</v>
      </c>
      <c r="Z1817" s="2">
        <v>5</v>
      </c>
      <c r="AA1817" s="2">
        <v>13</v>
      </c>
      <c r="AB1817" s="2">
        <v>30</v>
      </c>
      <c r="AC1817" s="2">
        <v>16</v>
      </c>
      <c r="AD1817" s="2">
        <v>30</v>
      </c>
      <c r="AE1817" s="2">
        <f>AC1817*AD1817</f>
        <v>480</v>
      </c>
      <c r="AF1817" s="2">
        <f>Z1817/Y1817</f>
        <v>2.5</v>
      </c>
      <c r="AG1817" s="2">
        <f>AA1817/Z1817</f>
        <v>2.6</v>
      </c>
      <c r="AH1817" s="2">
        <f>AB1817/AA1817</f>
        <v>2.3076923076923075</v>
      </c>
    </row>
    <row r="1818" spans="1:34">
      <c r="A1818" s="68" t="s">
        <v>357</v>
      </c>
      <c r="B1818" s="68" t="s">
        <v>358</v>
      </c>
      <c r="C1818" s="191">
        <v>46223</v>
      </c>
      <c r="D1818" s="42">
        <v>0.46527777777777779</v>
      </c>
      <c r="E1818" s="194">
        <v>102</v>
      </c>
      <c r="F1818" s="63" t="s">
        <v>344</v>
      </c>
      <c r="G1818" s="2">
        <v>1</v>
      </c>
      <c r="H1818" s="2">
        <v>9</v>
      </c>
      <c r="I1818" s="126">
        <v>600</v>
      </c>
      <c r="J1818" s="2" t="s">
        <v>766</v>
      </c>
      <c r="K1818" s="137" t="s">
        <v>815</v>
      </c>
      <c r="L1818" s="89">
        <v>30000</v>
      </c>
      <c r="M1818" s="106">
        <v>30</v>
      </c>
      <c r="N1818" s="39" t="s">
        <v>48</v>
      </c>
      <c r="O1818" s="39" t="s">
        <v>49</v>
      </c>
      <c r="P1818" s="140" t="s">
        <v>835</v>
      </c>
      <c r="Q1818" s="19">
        <v>90</v>
      </c>
      <c r="R1818" s="15">
        <f>Q1818/I1818</f>
        <v>0.15</v>
      </c>
      <c r="S1818" s="5">
        <f>($AC1818*$AD1818)/(($Z1818/$Y1818)+($AA1818/$Z1818)+($AB1818/$AA1818))</f>
        <v>67.332430602572785</v>
      </c>
      <c r="U1818" s="109" t="s">
        <v>219</v>
      </c>
      <c r="V1818" s="205" t="s">
        <v>708</v>
      </c>
      <c r="W1818" s="220" t="s">
        <v>389</v>
      </c>
      <c r="Y1818" s="2">
        <v>2.5</v>
      </c>
      <c r="Z1818" s="2">
        <v>6.5</v>
      </c>
      <c r="AA1818" s="2">
        <v>15</v>
      </c>
      <c r="AB1818" s="2">
        <v>40</v>
      </c>
      <c r="AC1818" s="2">
        <v>30</v>
      </c>
      <c r="AD1818" s="2">
        <v>17</v>
      </c>
      <c r="AE1818" s="2">
        <f>AC1818*AD1818</f>
        <v>510</v>
      </c>
      <c r="AF1818" s="2">
        <f>Z1818/Y1818</f>
        <v>2.6</v>
      </c>
      <c r="AG1818" s="2">
        <f>AA1818/Z1818</f>
        <v>2.3076923076923075</v>
      </c>
      <c r="AH1818" s="2">
        <f>AB1818/AA1818</f>
        <v>2.6666666666666665</v>
      </c>
    </row>
    <row r="1819" spans="1:34">
      <c r="A1819" s="165" t="s">
        <v>1384</v>
      </c>
      <c r="B1819" s="50" t="s">
        <v>218</v>
      </c>
      <c r="C1819" s="190">
        <v>46223</v>
      </c>
      <c r="D1819" s="42">
        <v>0.5</v>
      </c>
      <c r="E1819" s="43">
        <v>5</v>
      </c>
      <c r="F1819" s="114" t="s">
        <v>1352</v>
      </c>
      <c r="G1819" s="2">
        <v>2</v>
      </c>
      <c r="I1819" s="158">
        <v>600</v>
      </c>
      <c r="J1819" s="2" t="s">
        <v>766</v>
      </c>
      <c r="K1819" s="109" t="s">
        <v>601</v>
      </c>
      <c r="L1819" s="93">
        <v>40000</v>
      </c>
      <c r="M1819" s="65" t="s">
        <v>195</v>
      </c>
      <c r="N1819" s="39" t="s">
        <v>48</v>
      </c>
      <c r="O1819" s="39" t="s">
        <v>49</v>
      </c>
      <c r="P1819" s="130"/>
      <c r="Q1819" s="19">
        <v>85</v>
      </c>
      <c r="R1819" s="15">
        <f>Q1819/I1819</f>
        <v>0.14166666666666666</v>
      </c>
      <c r="S1819" s="5">
        <f>($AC1819*$AD1819)/(($Z1819/$Y1819)+($AA1819/$Z1819)+($AB1819/$AA1819))</f>
        <v>76.947040498442377</v>
      </c>
      <c r="U1819" s="109" t="s">
        <v>767</v>
      </c>
      <c r="V1819" s="2" t="s">
        <v>877</v>
      </c>
      <c r="W1819" s="205"/>
      <c r="Y1819" s="2">
        <v>2</v>
      </c>
      <c r="Z1819" s="2">
        <v>5</v>
      </c>
      <c r="AA1819" s="2">
        <v>13</v>
      </c>
      <c r="AB1819" s="2">
        <v>30</v>
      </c>
      <c r="AC1819" s="2">
        <v>19</v>
      </c>
      <c r="AD1819" s="2">
        <v>30</v>
      </c>
      <c r="AE1819" s="2">
        <f>AC1819*AD1819</f>
        <v>570</v>
      </c>
      <c r="AF1819" s="2">
        <f>Z1819/Y1819</f>
        <v>2.5</v>
      </c>
      <c r="AG1819" s="2">
        <f>AA1819/Z1819</f>
        <v>2.6</v>
      </c>
      <c r="AH1819" s="2">
        <f>AB1819/AA1819</f>
        <v>2.3076923076923075</v>
      </c>
    </row>
    <row r="1820" spans="1:34">
      <c r="A1820" s="165" t="s">
        <v>1384</v>
      </c>
      <c r="B1820" s="50" t="s">
        <v>218</v>
      </c>
      <c r="C1820" s="224">
        <v>46223</v>
      </c>
      <c r="D1820" s="42">
        <v>0.54166666666666663</v>
      </c>
      <c r="E1820" s="196">
        <v>8</v>
      </c>
      <c r="F1820" s="166" t="s">
        <v>1355</v>
      </c>
      <c r="G1820" s="2">
        <v>2</v>
      </c>
      <c r="I1820" s="158">
        <v>1125</v>
      </c>
      <c r="J1820" s="2" t="s">
        <v>766</v>
      </c>
      <c r="K1820" s="109" t="s">
        <v>601</v>
      </c>
      <c r="L1820" s="93">
        <v>30000</v>
      </c>
      <c r="M1820" s="65">
        <v>40</v>
      </c>
      <c r="N1820" s="39" t="s">
        <v>48</v>
      </c>
      <c r="O1820" s="39" t="s">
        <v>49</v>
      </c>
      <c r="P1820" s="130"/>
      <c r="Q1820" s="19">
        <v>125</v>
      </c>
      <c r="R1820" s="15">
        <f>Q1820/I1820</f>
        <v>0.1111111111111111</v>
      </c>
      <c r="S1820" s="5">
        <f>($AC1820*$AD1820)/(($Z1820/$Y1820)+($AA1820/$Z1820)+($AB1820/$AA1820))</f>
        <v>107.03259005145797</v>
      </c>
      <c r="U1820" s="109" t="s">
        <v>767</v>
      </c>
      <c r="V1820" s="2" t="s">
        <v>877</v>
      </c>
      <c r="W1820" s="205"/>
      <c r="Y1820" s="2">
        <v>1300</v>
      </c>
      <c r="Z1820" s="2">
        <v>3000</v>
      </c>
      <c r="AA1820" s="2">
        <v>7500</v>
      </c>
      <c r="AB1820" s="2">
        <v>20000</v>
      </c>
      <c r="AC1820" s="2">
        <v>20</v>
      </c>
      <c r="AD1820" s="2">
        <v>40</v>
      </c>
      <c r="AE1820" s="2">
        <f>AC1820*AD1820</f>
        <v>800</v>
      </c>
      <c r="AF1820" s="2">
        <f>Z1820/Y1820</f>
        <v>2.3076923076923075</v>
      </c>
      <c r="AG1820" s="2">
        <f>AA1820/Z1820</f>
        <v>2.5</v>
      </c>
      <c r="AH1820" s="2">
        <f>AB1820/AA1820</f>
        <v>2.6666666666666665</v>
      </c>
    </row>
    <row r="1821" spans="1:34">
      <c r="A1821" s="165" t="s">
        <v>1384</v>
      </c>
      <c r="B1821" s="50" t="s">
        <v>218</v>
      </c>
      <c r="C1821" s="224">
        <v>46223</v>
      </c>
      <c r="D1821" s="42">
        <v>0.625</v>
      </c>
      <c r="E1821" s="196">
        <v>10</v>
      </c>
      <c r="F1821" s="157" t="s">
        <v>208</v>
      </c>
      <c r="G1821" s="2">
        <v>2</v>
      </c>
      <c r="I1821" s="158">
        <v>2200</v>
      </c>
      <c r="J1821" s="2" t="s">
        <v>766</v>
      </c>
      <c r="K1821" s="109" t="s">
        <v>601</v>
      </c>
      <c r="L1821" s="93">
        <v>30000</v>
      </c>
      <c r="M1821" s="65">
        <v>40</v>
      </c>
      <c r="N1821" s="39" t="s">
        <v>48</v>
      </c>
      <c r="O1821" s="39" t="s">
        <v>49</v>
      </c>
      <c r="P1821" s="130"/>
      <c r="Q1821" s="19">
        <v>200</v>
      </c>
      <c r="R1821" s="15">
        <f>Q1821/I1821</f>
        <v>9.0909090909090912E-2</v>
      </c>
      <c r="S1821" s="5">
        <f>($AC1821*$AD1821)/(($Z1821/$Y1821)+($AA1821/$Z1821)+($AB1821/$AA1821))</f>
        <v>107.03259005145797</v>
      </c>
      <c r="U1821" s="109" t="s">
        <v>767</v>
      </c>
      <c r="V1821" s="205" t="s">
        <v>877</v>
      </c>
      <c r="Y1821" s="2">
        <v>1.3</v>
      </c>
      <c r="Z1821" s="2">
        <v>3</v>
      </c>
      <c r="AA1821" s="2">
        <v>7.5</v>
      </c>
      <c r="AB1821" s="2">
        <v>20</v>
      </c>
      <c r="AC1821" s="2">
        <v>20</v>
      </c>
      <c r="AD1821" s="2">
        <v>40</v>
      </c>
      <c r="AE1821" s="2">
        <f>AC1821*AD1821</f>
        <v>800</v>
      </c>
      <c r="AF1821" s="2">
        <f>Z1821/Y1821</f>
        <v>2.3076923076923075</v>
      </c>
      <c r="AG1821" s="2">
        <f>AA1821/Z1821</f>
        <v>2.5</v>
      </c>
      <c r="AH1821" s="2">
        <f>AB1821/AA1821</f>
        <v>2.6666666666666665</v>
      </c>
    </row>
    <row r="1822" spans="1:34">
      <c r="A1822" s="68" t="s">
        <v>357</v>
      </c>
      <c r="B1822" s="68" t="s">
        <v>358</v>
      </c>
      <c r="C1822" s="191">
        <v>46223</v>
      </c>
      <c r="D1822" s="42">
        <v>0.75694444444444442</v>
      </c>
      <c r="E1822" s="194">
        <v>103</v>
      </c>
      <c r="F1822" s="63" t="s">
        <v>278</v>
      </c>
      <c r="G1822" s="2">
        <v>1</v>
      </c>
      <c r="H1822" s="2">
        <v>9</v>
      </c>
      <c r="I1822" s="126">
        <v>200</v>
      </c>
      <c r="J1822" s="2" t="s">
        <v>766</v>
      </c>
      <c r="K1822" s="137" t="s">
        <v>603</v>
      </c>
      <c r="L1822" s="89">
        <v>25000</v>
      </c>
      <c r="M1822" s="202">
        <v>30</v>
      </c>
      <c r="N1822" s="39" t="s">
        <v>48</v>
      </c>
      <c r="O1822" s="39" t="s">
        <v>49</v>
      </c>
      <c r="P1822" s="140" t="s">
        <v>831</v>
      </c>
      <c r="Q1822" s="19">
        <v>40</v>
      </c>
      <c r="R1822" s="15">
        <f>Q1822/I1822</f>
        <v>0.2</v>
      </c>
      <c r="S1822" s="5">
        <f>($AC1822*$AD1822)/(($Z1822/$Y1822)+($AA1822/$Z1822)+($AB1822/$AA1822))</f>
        <v>55.03292568203198</v>
      </c>
      <c r="U1822" s="109" t="s">
        <v>219</v>
      </c>
      <c r="V1822" s="205" t="s">
        <v>651</v>
      </c>
      <c r="W1822" s="218" t="s">
        <v>652</v>
      </c>
      <c r="Y1822" s="2">
        <v>2.5</v>
      </c>
      <c r="Z1822" s="2">
        <v>6.5</v>
      </c>
      <c r="AA1822" s="2">
        <v>20</v>
      </c>
      <c r="AB1822" s="2">
        <v>50</v>
      </c>
      <c r="AC1822" s="2">
        <v>30</v>
      </c>
      <c r="AD1822" s="2">
        <v>15</v>
      </c>
      <c r="AE1822" s="2">
        <f>AC1822*AD1822</f>
        <v>450</v>
      </c>
      <c r="AF1822" s="2">
        <f>Z1822/Y1822</f>
        <v>2.6</v>
      </c>
      <c r="AG1822" s="2">
        <f>AA1822/Z1822</f>
        <v>3.0769230769230771</v>
      </c>
      <c r="AH1822" s="2">
        <f>AB1822/AA1822</f>
        <v>2.5</v>
      </c>
    </row>
    <row r="1823" spans="1:34">
      <c r="A1823" s="68" t="s">
        <v>357</v>
      </c>
      <c r="B1823" s="68" t="s">
        <v>358</v>
      </c>
      <c r="C1823" s="191">
        <v>46224</v>
      </c>
      <c r="D1823" s="42">
        <v>0.4236111111111111</v>
      </c>
      <c r="E1823">
        <v>104</v>
      </c>
      <c r="F1823" s="63" t="s">
        <v>283</v>
      </c>
      <c r="G1823" s="2">
        <v>2</v>
      </c>
      <c r="H1823" s="2">
        <v>9</v>
      </c>
      <c r="I1823" s="126">
        <v>600</v>
      </c>
      <c r="J1823" s="2" t="s">
        <v>766</v>
      </c>
      <c r="K1823" s="137" t="s">
        <v>598</v>
      </c>
      <c r="L1823" s="89">
        <v>40000</v>
      </c>
      <c r="M1823" s="202">
        <v>40</v>
      </c>
      <c r="N1823" s="39" t="s">
        <v>48</v>
      </c>
      <c r="O1823" s="39" t="s">
        <v>49</v>
      </c>
      <c r="P1823" s="140" t="s">
        <v>839</v>
      </c>
      <c r="Q1823" s="19">
        <v>95</v>
      </c>
      <c r="R1823" s="15">
        <f>Q1823/I1823</f>
        <v>0.15833333333333333</v>
      </c>
      <c r="S1823" s="5">
        <f>($AC1823*$AD1823)/(($Z1823/$Y1823)+($AA1823/$Z1823)+($AB1823/$AA1823))</f>
        <v>102.59605399792316</v>
      </c>
      <c r="U1823" s="109" t="s">
        <v>54</v>
      </c>
      <c r="V1823" s="2" t="s">
        <v>657</v>
      </c>
      <c r="Y1823" s="2">
        <v>2</v>
      </c>
      <c r="Z1823" s="2">
        <v>5</v>
      </c>
      <c r="AA1823" s="2">
        <v>13</v>
      </c>
      <c r="AB1823" s="2">
        <v>30</v>
      </c>
      <c r="AC1823" s="2">
        <v>40</v>
      </c>
      <c r="AD1823" s="2">
        <v>19</v>
      </c>
      <c r="AE1823" s="2">
        <f>AC1823*AD1823</f>
        <v>760</v>
      </c>
      <c r="AF1823" s="2">
        <f>Z1823/Y1823</f>
        <v>2.5</v>
      </c>
      <c r="AG1823" s="2">
        <f>AA1823/Z1823</f>
        <v>2.6</v>
      </c>
      <c r="AH1823" s="2">
        <f>AB1823/AA1823</f>
        <v>2.3076923076923075</v>
      </c>
    </row>
    <row r="1824" spans="1:34">
      <c r="A1824" s="165" t="s">
        <v>1384</v>
      </c>
      <c r="B1824" s="50" t="s">
        <v>218</v>
      </c>
      <c r="C1824" s="224">
        <v>46224</v>
      </c>
      <c r="D1824" s="42">
        <v>0.45833333333333331</v>
      </c>
      <c r="E1824" s="196">
        <v>11</v>
      </c>
      <c r="F1824" s="114" t="s">
        <v>209</v>
      </c>
      <c r="G1824" s="2">
        <v>3</v>
      </c>
      <c r="I1824" s="158">
        <v>1700</v>
      </c>
      <c r="J1824" s="2" t="s">
        <v>763</v>
      </c>
      <c r="K1824" s="109" t="s">
        <v>601</v>
      </c>
      <c r="L1824" s="93">
        <v>40000</v>
      </c>
      <c r="M1824" s="65" t="s">
        <v>97</v>
      </c>
      <c r="N1824" s="39" t="s">
        <v>48</v>
      </c>
      <c r="O1824" s="39" t="s">
        <v>49</v>
      </c>
      <c r="P1824" s="130"/>
      <c r="Q1824" s="19">
        <v>185</v>
      </c>
      <c r="R1824" s="15">
        <f>Q1824/I1824</f>
        <v>0.10882352941176471</v>
      </c>
      <c r="S1824" s="5">
        <f>($AC1824*$AD1824)/(($Z1824/$Y1824)+($AA1824/$Z1824)+($AB1824/$AA1824))</f>
        <v>102.59605399792316</v>
      </c>
      <c r="U1824" s="109" t="s">
        <v>767</v>
      </c>
      <c r="V1824" s="2" t="s">
        <v>877</v>
      </c>
      <c r="Y1824" s="2">
        <v>2</v>
      </c>
      <c r="Z1824" s="2">
        <v>5</v>
      </c>
      <c r="AA1824" s="2">
        <v>13</v>
      </c>
      <c r="AB1824" s="2">
        <v>30</v>
      </c>
      <c r="AC1824" s="2">
        <v>19</v>
      </c>
      <c r="AD1824" s="2">
        <v>40</v>
      </c>
      <c r="AE1824" s="2">
        <f>AC1824*AD1824</f>
        <v>760</v>
      </c>
      <c r="AF1824" s="2">
        <f>Z1824/Y1824</f>
        <v>2.5</v>
      </c>
      <c r="AG1824" s="2">
        <f>AA1824/Z1824</f>
        <v>2.6</v>
      </c>
      <c r="AH1824" s="2">
        <f>AB1824/AA1824</f>
        <v>2.3076923076923075</v>
      </c>
    </row>
    <row r="1825" spans="1:34">
      <c r="A1825" s="165" t="s">
        <v>1384</v>
      </c>
      <c r="B1825" s="50" t="s">
        <v>218</v>
      </c>
      <c r="C1825" s="224">
        <v>46224</v>
      </c>
      <c r="D1825" s="42">
        <v>0.5</v>
      </c>
      <c r="E1825" s="196">
        <v>9</v>
      </c>
      <c r="F1825" s="114" t="s">
        <v>1381</v>
      </c>
      <c r="G1825" s="2">
        <v>2</v>
      </c>
      <c r="I1825" s="158">
        <v>400</v>
      </c>
      <c r="J1825" s="2" t="s">
        <v>766</v>
      </c>
      <c r="K1825" s="109" t="s">
        <v>602</v>
      </c>
      <c r="L1825" s="93">
        <v>20000</v>
      </c>
      <c r="M1825" s="65" t="s">
        <v>195</v>
      </c>
      <c r="N1825" s="39" t="s">
        <v>48</v>
      </c>
      <c r="O1825" s="39" t="s">
        <v>49</v>
      </c>
      <c r="P1825" s="130"/>
      <c r="Q1825" s="19">
        <v>70</v>
      </c>
      <c r="R1825" s="15">
        <f>Q1825/I1825</f>
        <v>0.17499999999999999</v>
      </c>
      <c r="S1825" s="5">
        <f>($AC1825*$AD1825)/(($Z1825/$Y1825)+($AA1825/$Z1825)+($AB1825/$AA1825))</f>
        <v>64.797507788161994</v>
      </c>
      <c r="U1825" s="109" t="s">
        <v>54</v>
      </c>
      <c r="V1825" s="2" t="s">
        <v>877</v>
      </c>
      <c r="W1825" s="205"/>
      <c r="Y1825" s="2">
        <v>2</v>
      </c>
      <c r="Z1825" s="2">
        <v>5</v>
      </c>
      <c r="AA1825" s="2">
        <v>13</v>
      </c>
      <c r="AB1825" s="2">
        <v>30</v>
      </c>
      <c r="AC1825" s="2">
        <v>16</v>
      </c>
      <c r="AD1825" s="2">
        <v>30</v>
      </c>
      <c r="AE1825" s="2">
        <f>AC1825*AD1825</f>
        <v>480</v>
      </c>
      <c r="AF1825" s="2">
        <f>Z1825/Y1825</f>
        <v>2.5</v>
      </c>
      <c r="AG1825" s="2">
        <f>AA1825/Z1825</f>
        <v>2.6</v>
      </c>
      <c r="AH1825" s="2">
        <f>AB1825/AA1825</f>
        <v>2.3076923076923075</v>
      </c>
    </row>
    <row r="1826" spans="1:34">
      <c r="A1826" s="165" t="s">
        <v>1384</v>
      </c>
      <c r="B1826" s="50" t="s">
        <v>218</v>
      </c>
      <c r="C1826" s="224">
        <v>46224</v>
      </c>
      <c r="D1826" s="42">
        <v>0.54166666666666663</v>
      </c>
      <c r="E1826" s="196">
        <v>10</v>
      </c>
      <c r="F1826" s="198" t="s">
        <v>1348</v>
      </c>
      <c r="G1826" s="2">
        <v>2</v>
      </c>
      <c r="I1826" s="158">
        <v>2200</v>
      </c>
      <c r="J1826" s="2" t="s">
        <v>766</v>
      </c>
      <c r="K1826" s="109" t="s">
        <v>601</v>
      </c>
      <c r="L1826" s="93">
        <v>30000</v>
      </c>
      <c r="M1826" s="65">
        <v>40</v>
      </c>
      <c r="N1826" s="39" t="s">
        <v>48</v>
      </c>
      <c r="O1826" s="39" t="s">
        <v>49</v>
      </c>
      <c r="P1826" s="130"/>
      <c r="Q1826" s="19">
        <v>200</v>
      </c>
      <c r="R1826" s="15">
        <f>Q1826/I1826</f>
        <v>9.0909090909090912E-2</v>
      </c>
      <c r="S1826" s="5">
        <f>($AC1826*$AD1826)/(($Z1826/$Y1826)+($AA1826/$Z1826)+($AB1826/$AA1826))</f>
        <v>107.03259005145797</v>
      </c>
      <c r="U1826" s="109" t="s">
        <v>767</v>
      </c>
      <c r="V1826" s="205" t="s">
        <v>877</v>
      </c>
      <c r="W1826" s="205"/>
      <c r="Y1826" s="2">
        <v>1.3</v>
      </c>
      <c r="Z1826" s="2">
        <v>3</v>
      </c>
      <c r="AA1826" s="2">
        <v>7.5</v>
      </c>
      <c r="AB1826" s="2">
        <v>20</v>
      </c>
      <c r="AC1826" s="2">
        <v>20</v>
      </c>
      <c r="AD1826" s="2">
        <v>40</v>
      </c>
      <c r="AE1826" s="2">
        <f>AC1826*AD1826</f>
        <v>800</v>
      </c>
      <c r="AF1826" s="2">
        <f>Z1826/Y1826</f>
        <v>2.3076923076923075</v>
      </c>
      <c r="AG1826" s="2">
        <f>AA1826/Z1826</f>
        <v>2.5</v>
      </c>
      <c r="AH1826" s="2">
        <f>AB1826/AA1826</f>
        <v>2.6666666666666665</v>
      </c>
    </row>
    <row r="1827" spans="1:34">
      <c r="A1827" s="165" t="s">
        <v>1384</v>
      </c>
      <c r="B1827" s="50" t="s">
        <v>218</v>
      </c>
      <c r="C1827" s="224">
        <v>46224</v>
      </c>
      <c r="D1827" s="42">
        <v>0.625</v>
      </c>
      <c r="E1827" s="196">
        <v>12</v>
      </c>
      <c r="F1827" s="198" t="s">
        <v>210</v>
      </c>
      <c r="G1827" s="2">
        <v>2</v>
      </c>
      <c r="I1827" s="158">
        <v>600</v>
      </c>
      <c r="J1827" s="2" t="s">
        <v>766</v>
      </c>
      <c r="K1827" s="109" t="s">
        <v>602</v>
      </c>
      <c r="L1827" s="93">
        <v>25000</v>
      </c>
      <c r="M1827" s="65" t="s">
        <v>195</v>
      </c>
      <c r="N1827" s="39" t="s">
        <v>48</v>
      </c>
      <c r="O1827" s="39" t="s">
        <v>49</v>
      </c>
      <c r="P1827" s="130"/>
      <c r="Q1827" s="19">
        <v>85</v>
      </c>
      <c r="R1827" s="15">
        <f>Q1827/I1827</f>
        <v>0.14166666666666666</v>
      </c>
      <c r="S1827" s="5">
        <f>($AC1827*$AD1827)/(($Z1827/$Y1827)+($AA1827/$Z1827)+($AB1827/$AA1827))</f>
        <v>72.897196261682254</v>
      </c>
      <c r="U1827" s="109" t="s">
        <v>219</v>
      </c>
      <c r="V1827" s="2" t="s">
        <v>877</v>
      </c>
      <c r="Y1827" s="2">
        <v>2</v>
      </c>
      <c r="Z1827" s="2">
        <v>5</v>
      </c>
      <c r="AA1827" s="2">
        <v>13</v>
      </c>
      <c r="AB1827" s="2">
        <v>30</v>
      </c>
      <c r="AC1827" s="2">
        <v>18</v>
      </c>
      <c r="AD1827" s="2">
        <v>30</v>
      </c>
      <c r="AE1827" s="2">
        <f>AC1827*AD1827</f>
        <v>540</v>
      </c>
      <c r="AF1827" s="2">
        <f>Z1827/Y1827</f>
        <v>2.5</v>
      </c>
      <c r="AG1827" s="2">
        <f>AA1827/Z1827</f>
        <v>2.6</v>
      </c>
      <c r="AH1827" s="2">
        <f>AB1827/AA1827</f>
        <v>2.3076923076923075</v>
      </c>
    </row>
    <row r="1828" spans="1:34">
      <c r="A1828" s="68" t="s">
        <v>357</v>
      </c>
      <c r="B1828" s="68" t="s">
        <v>358</v>
      </c>
      <c r="C1828" s="48">
        <v>46224</v>
      </c>
      <c r="D1828" s="42">
        <v>0.75694444444444442</v>
      </c>
      <c r="E1828" s="8">
        <v>105</v>
      </c>
      <c r="F1828" s="63" t="s">
        <v>278</v>
      </c>
      <c r="G1828" s="2">
        <v>1</v>
      </c>
      <c r="H1828" s="2">
        <v>9</v>
      </c>
      <c r="I1828" s="125">
        <v>200</v>
      </c>
      <c r="J1828" s="2" t="s">
        <v>766</v>
      </c>
      <c r="K1828" s="137" t="s">
        <v>603</v>
      </c>
      <c r="L1828" s="89">
        <v>25000</v>
      </c>
      <c r="M1828" s="202">
        <v>30</v>
      </c>
      <c r="N1828" s="39" t="s">
        <v>48</v>
      </c>
      <c r="O1828" s="39" t="s">
        <v>49</v>
      </c>
      <c r="P1828" s="140" t="s">
        <v>831</v>
      </c>
      <c r="Q1828" s="19">
        <v>40</v>
      </c>
      <c r="R1828" s="15">
        <f>Q1828/I1828</f>
        <v>0.2</v>
      </c>
      <c r="S1828" s="5">
        <f>($AC1828*$AD1828)/(($Z1828/$Y1828)+($AA1828/$Z1828)+($AB1828/$AA1828))</f>
        <v>55.03292568203198</v>
      </c>
      <c r="U1828" s="109" t="s">
        <v>219</v>
      </c>
      <c r="V1828" s="205" t="s">
        <v>651</v>
      </c>
      <c r="W1828" s="218" t="s">
        <v>652</v>
      </c>
      <c r="Y1828" s="2">
        <v>2.5</v>
      </c>
      <c r="Z1828" s="2">
        <v>6.5</v>
      </c>
      <c r="AA1828" s="2">
        <v>20</v>
      </c>
      <c r="AB1828" s="2">
        <v>50</v>
      </c>
      <c r="AC1828" s="2">
        <v>30</v>
      </c>
      <c r="AD1828" s="2">
        <v>15</v>
      </c>
      <c r="AE1828" s="2">
        <f>AC1828*AD1828</f>
        <v>450</v>
      </c>
      <c r="AF1828" s="2">
        <f>Z1828/Y1828</f>
        <v>2.6</v>
      </c>
      <c r="AG1828" s="2">
        <f>AA1828/Z1828</f>
        <v>3.0769230769230771</v>
      </c>
      <c r="AH1828" s="2">
        <f>AB1828/AA1828</f>
        <v>2.5</v>
      </c>
    </row>
    <row r="1829" spans="1:34">
      <c r="A1829" s="68" t="s">
        <v>357</v>
      </c>
      <c r="B1829" s="68" t="s">
        <v>358</v>
      </c>
      <c r="C1829" s="48">
        <v>46225</v>
      </c>
      <c r="D1829" s="42">
        <v>0.4236111111111111</v>
      </c>
      <c r="E1829" s="8">
        <v>104</v>
      </c>
      <c r="F1829" s="63" t="s">
        <v>286</v>
      </c>
      <c r="G1829" s="2">
        <v>2</v>
      </c>
      <c r="H1829" s="2">
        <v>9</v>
      </c>
      <c r="I1829" s="125">
        <v>600</v>
      </c>
      <c r="J1829" s="2" t="s">
        <v>766</v>
      </c>
      <c r="K1829" s="137" t="s">
        <v>598</v>
      </c>
      <c r="L1829" s="89">
        <v>40000</v>
      </c>
      <c r="M1829" s="202">
        <v>40</v>
      </c>
      <c r="N1829" s="39" t="s">
        <v>48</v>
      </c>
      <c r="O1829" s="39" t="s">
        <v>49</v>
      </c>
      <c r="P1829" s="140" t="s">
        <v>839</v>
      </c>
      <c r="Q1829" s="19">
        <v>95</v>
      </c>
      <c r="R1829" s="15">
        <f>Q1829/I1829</f>
        <v>0.15833333333333333</v>
      </c>
      <c r="S1829" s="5">
        <f>($AC1829*$AD1829)/(($Z1829/$Y1829)+($AA1829/$Z1829)+($AB1829/$AA1829))</f>
        <v>102.59605399792316</v>
      </c>
      <c r="U1829" s="109" t="s">
        <v>54</v>
      </c>
      <c r="V1829" s="2" t="s">
        <v>657</v>
      </c>
      <c r="Y1829" s="2">
        <v>2</v>
      </c>
      <c r="Z1829" s="2">
        <v>5</v>
      </c>
      <c r="AA1829" s="2">
        <v>13</v>
      </c>
      <c r="AB1829" s="2">
        <v>30</v>
      </c>
      <c r="AC1829" s="2">
        <v>40</v>
      </c>
      <c r="AD1829" s="2">
        <v>19</v>
      </c>
      <c r="AE1829" s="2">
        <f>AC1829*AD1829</f>
        <v>760</v>
      </c>
      <c r="AF1829" s="2">
        <f>Z1829/Y1829</f>
        <v>2.5</v>
      </c>
      <c r="AG1829" s="2">
        <f>AA1829/Z1829</f>
        <v>2.6</v>
      </c>
      <c r="AH1829" s="2">
        <f>AB1829/AA1829</f>
        <v>2.3076923076923075</v>
      </c>
    </row>
    <row r="1830" spans="1:34">
      <c r="A1830" s="165" t="s">
        <v>1384</v>
      </c>
      <c r="B1830" s="50" t="s">
        <v>218</v>
      </c>
      <c r="C1830" s="111">
        <v>46225</v>
      </c>
      <c r="D1830" s="42">
        <v>0.45833333333333331</v>
      </c>
      <c r="E1830" s="156">
        <v>11</v>
      </c>
      <c r="F1830" s="114" t="s">
        <v>211</v>
      </c>
      <c r="G1830" s="2">
        <v>3</v>
      </c>
      <c r="I1830" s="128">
        <v>1700</v>
      </c>
      <c r="J1830" s="2" t="s">
        <v>763</v>
      </c>
      <c r="K1830" s="109" t="s">
        <v>601</v>
      </c>
      <c r="L1830" s="93">
        <v>40000</v>
      </c>
      <c r="M1830" s="65" t="s">
        <v>97</v>
      </c>
      <c r="N1830" s="39" t="s">
        <v>48</v>
      </c>
      <c r="O1830" s="39" t="s">
        <v>49</v>
      </c>
      <c r="P1830" s="130"/>
      <c r="Q1830" s="19">
        <v>185</v>
      </c>
      <c r="R1830" s="15">
        <f>Q1830/I1830</f>
        <v>0.10882352941176471</v>
      </c>
      <c r="S1830" s="5">
        <f>($AC1830*$AD1830)/(($Z1830/$Y1830)+($AA1830/$Z1830)+($AB1830/$AA1830))</f>
        <v>102.59605399792316</v>
      </c>
      <c r="U1830" s="109" t="s">
        <v>767</v>
      </c>
      <c r="V1830" s="2" t="s">
        <v>877</v>
      </c>
      <c r="Y1830" s="2">
        <v>2</v>
      </c>
      <c r="Z1830" s="2">
        <v>5</v>
      </c>
      <c r="AA1830" s="2">
        <v>13</v>
      </c>
      <c r="AB1830" s="2">
        <v>30</v>
      </c>
      <c r="AC1830" s="2">
        <v>19</v>
      </c>
      <c r="AD1830" s="2">
        <v>40</v>
      </c>
      <c r="AE1830" s="2">
        <f>AC1830*AD1830</f>
        <v>760</v>
      </c>
      <c r="AF1830" s="2">
        <f>Z1830/Y1830</f>
        <v>2.5</v>
      </c>
      <c r="AG1830" s="2">
        <f>AA1830/Z1830</f>
        <v>2.6</v>
      </c>
      <c r="AH1830" s="2">
        <f>AB1830/AA1830</f>
        <v>2.3076923076923075</v>
      </c>
    </row>
    <row r="1831" spans="1:34">
      <c r="A1831" s="165" t="s">
        <v>1384</v>
      </c>
      <c r="B1831" s="50" t="s">
        <v>218</v>
      </c>
      <c r="C1831" s="111">
        <v>46225</v>
      </c>
      <c r="D1831" s="42">
        <v>0.5</v>
      </c>
      <c r="E1831" s="156">
        <v>12</v>
      </c>
      <c r="F1831" s="114" t="s">
        <v>1351</v>
      </c>
      <c r="G1831" s="2">
        <v>2</v>
      </c>
      <c r="I1831" s="128">
        <v>600</v>
      </c>
      <c r="J1831" s="2" t="s">
        <v>766</v>
      </c>
      <c r="K1831" s="109" t="s">
        <v>602</v>
      </c>
      <c r="L1831" s="93">
        <v>25000</v>
      </c>
      <c r="M1831" s="65" t="s">
        <v>195</v>
      </c>
      <c r="N1831" s="39" t="s">
        <v>48</v>
      </c>
      <c r="O1831" s="39" t="s">
        <v>49</v>
      </c>
      <c r="P1831" s="130"/>
      <c r="Q1831" s="19">
        <v>85</v>
      </c>
      <c r="R1831" s="15">
        <f>Q1831/I1831</f>
        <v>0.14166666666666666</v>
      </c>
      <c r="S1831" s="5">
        <f>($AC1831*$AD1831)/(($Z1831/$Y1831)+($AA1831/$Z1831)+($AB1831/$AA1831))</f>
        <v>72.897196261682254</v>
      </c>
      <c r="U1831" s="109" t="s">
        <v>219</v>
      </c>
      <c r="V1831" s="2" t="s">
        <v>877</v>
      </c>
      <c r="W1831" s="205"/>
      <c r="Y1831" s="2">
        <v>2</v>
      </c>
      <c r="Z1831" s="2">
        <v>5</v>
      </c>
      <c r="AA1831" s="2">
        <v>13</v>
      </c>
      <c r="AB1831" s="2">
        <v>30</v>
      </c>
      <c r="AC1831" s="2">
        <v>18</v>
      </c>
      <c r="AD1831" s="2">
        <v>30</v>
      </c>
      <c r="AE1831" s="2">
        <f>AC1831*AD1831</f>
        <v>540</v>
      </c>
      <c r="AF1831" s="2">
        <f>Z1831/Y1831</f>
        <v>2.5</v>
      </c>
      <c r="AG1831" s="2">
        <f>AA1831/Z1831</f>
        <v>2.6</v>
      </c>
      <c r="AH1831" s="2">
        <f>AB1831/AA1831</f>
        <v>2.3076923076923075</v>
      </c>
    </row>
    <row r="1832" spans="1:34">
      <c r="A1832" s="165" t="s">
        <v>1384</v>
      </c>
      <c r="B1832" s="50" t="s">
        <v>218</v>
      </c>
      <c r="C1832" s="111">
        <v>46225</v>
      </c>
      <c r="D1832" s="42">
        <v>0.625</v>
      </c>
      <c r="E1832" s="156">
        <v>13</v>
      </c>
      <c r="F1832" s="198" t="s">
        <v>212</v>
      </c>
      <c r="G1832" s="2">
        <v>2</v>
      </c>
      <c r="I1832" s="128">
        <v>400</v>
      </c>
      <c r="J1832" s="2" t="s">
        <v>766</v>
      </c>
      <c r="K1832" s="109" t="s">
        <v>602</v>
      </c>
      <c r="L1832" s="93">
        <v>20000</v>
      </c>
      <c r="M1832" s="65" t="s">
        <v>195</v>
      </c>
      <c r="N1832" s="39" t="s">
        <v>48</v>
      </c>
      <c r="O1832" s="39" t="s">
        <v>49</v>
      </c>
      <c r="P1832" s="130"/>
      <c r="Q1832" s="19">
        <v>70</v>
      </c>
      <c r="R1832" s="15">
        <f>Q1832/I1832</f>
        <v>0.17499999999999999</v>
      </c>
      <c r="S1832" s="5">
        <f>($AC1832*$AD1832)/(($Z1832/$Y1832)+($AA1832/$Z1832)+($AB1832/$AA1832))</f>
        <v>64.797507788161994</v>
      </c>
      <c r="U1832" s="109" t="s">
        <v>767</v>
      </c>
      <c r="V1832" s="2" t="s">
        <v>877</v>
      </c>
      <c r="Y1832" s="2">
        <v>2</v>
      </c>
      <c r="Z1832" s="2">
        <v>5</v>
      </c>
      <c r="AA1832" s="2">
        <v>13</v>
      </c>
      <c r="AB1832" s="2">
        <v>30</v>
      </c>
      <c r="AC1832" s="2">
        <v>16</v>
      </c>
      <c r="AD1832" s="2">
        <v>30</v>
      </c>
      <c r="AE1832" s="2">
        <f>AC1832*AD1832</f>
        <v>480</v>
      </c>
      <c r="AF1832" s="2">
        <f>Z1832/Y1832</f>
        <v>2.5</v>
      </c>
      <c r="AG1832" s="2">
        <f>AA1832/Z1832</f>
        <v>2.6</v>
      </c>
      <c r="AH1832" s="2">
        <f>AB1832/AA1832</f>
        <v>2.3076923076923075</v>
      </c>
    </row>
    <row r="1833" spans="1:34">
      <c r="A1833" s="68" t="s">
        <v>357</v>
      </c>
      <c r="B1833" s="68" t="s">
        <v>358</v>
      </c>
      <c r="C1833" s="48">
        <v>46225</v>
      </c>
      <c r="D1833" s="42">
        <v>0.75694444444444442</v>
      </c>
      <c r="E1833" s="8">
        <v>106</v>
      </c>
      <c r="F1833" s="63" t="s">
        <v>278</v>
      </c>
      <c r="G1833" s="2">
        <v>1</v>
      </c>
      <c r="H1833" s="2">
        <v>9</v>
      </c>
      <c r="I1833" s="125">
        <v>200</v>
      </c>
      <c r="J1833" s="2" t="s">
        <v>766</v>
      </c>
      <c r="K1833" s="137" t="s">
        <v>603</v>
      </c>
      <c r="L1833" s="89">
        <v>25000</v>
      </c>
      <c r="M1833" s="202">
        <v>30</v>
      </c>
      <c r="N1833" s="39" t="s">
        <v>48</v>
      </c>
      <c r="O1833" s="39" t="s">
        <v>49</v>
      </c>
      <c r="P1833" s="140" t="s">
        <v>831</v>
      </c>
      <c r="Q1833" s="19">
        <v>40</v>
      </c>
      <c r="R1833" s="15">
        <f>Q1833/I1833</f>
        <v>0.2</v>
      </c>
      <c r="S1833" s="5">
        <f>($AC1833*$AD1833)/(($Z1833/$Y1833)+($AA1833/$Z1833)+($AB1833/$AA1833))</f>
        <v>55.03292568203198</v>
      </c>
      <c r="U1833" s="109" t="s">
        <v>219</v>
      </c>
      <c r="V1833" s="205" t="s">
        <v>651</v>
      </c>
      <c r="W1833" s="218" t="s">
        <v>652</v>
      </c>
      <c r="Y1833" s="2">
        <v>2.5</v>
      </c>
      <c r="Z1833" s="2">
        <v>6.5</v>
      </c>
      <c r="AA1833" s="2">
        <v>20</v>
      </c>
      <c r="AB1833" s="2">
        <v>50</v>
      </c>
      <c r="AC1833" s="2">
        <v>30</v>
      </c>
      <c r="AD1833" s="2">
        <v>15</v>
      </c>
      <c r="AE1833" s="2">
        <f>AC1833*AD1833</f>
        <v>450</v>
      </c>
      <c r="AF1833" s="2">
        <f>Z1833/Y1833</f>
        <v>2.6</v>
      </c>
      <c r="AG1833" s="2">
        <f>AA1833/Z1833</f>
        <v>3.0769230769230771</v>
      </c>
      <c r="AH1833" s="2">
        <f>AB1833/AA1833</f>
        <v>2.5</v>
      </c>
    </row>
    <row r="1834" spans="1:34">
      <c r="A1834" s="68" t="s">
        <v>357</v>
      </c>
      <c r="B1834" s="68" t="s">
        <v>358</v>
      </c>
      <c r="C1834" s="48">
        <v>46226</v>
      </c>
      <c r="D1834" s="42">
        <v>0.4236111111111111</v>
      </c>
      <c r="E1834" s="8">
        <v>104</v>
      </c>
      <c r="F1834" s="63" t="s">
        <v>287</v>
      </c>
      <c r="G1834" s="2">
        <v>2</v>
      </c>
      <c r="H1834" s="2">
        <v>9</v>
      </c>
      <c r="I1834" s="125">
        <v>600</v>
      </c>
      <c r="J1834" s="2" t="s">
        <v>766</v>
      </c>
      <c r="K1834" s="137" t="s">
        <v>598</v>
      </c>
      <c r="L1834" s="89">
        <v>40000</v>
      </c>
      <c r="M1834" s="202">
        <v>40</v>
      </c>
      <c r="N1834" s="39" t="s">
        <v>48</v>
      </c>
      <c r="O1834" s="39" t="s">
        <v>49</v>
      </c>
      <c r="P1834" s="140" t="s">
        <v>839</v>
      </c>
      <c r="Q1834" s="19">
        <v>95</v>
      </c>
      <c r="R1834" s="15">
        <f>Q1834/I1834</f>
        <v>0.15833333333333333</v>
      </c>
      <c r="S1834" s="5">
        <f>($AC1834*$AD1834)/(($Z1834/$Y1834)+($AA1834/$Z1834)+($AB1834/$AA1834))</f>
        <v>102.59605399792316</v>
      </c>
      <c r="U1834" s="109" t="s">
        <v>54</v>
      </c>
      <c r="V1834" s="2" t="s">
        <v>657</v>
      </c>
      <c r="Y1834" s="2">
        <v>2</v>
      </c>
      <c r="Z1834" s="2">
        <v>5</v>
      </c>
      <c r="AA1834" s="2">
        <v>13</v>
      </c>
      <c r="AB1834" s="2">
        <v>30</v>
      </c>
      <c r="AC1834" s="2">
        <v>40</v>
      </c>
      <c r="AD1834" s="2">
        <v>19</v>
      </c>
      <c r="AE1834" s="2">
        <f>AC1834*AD1834</f>
        <v>760</v>
      </c>
      <c r="AF1834" s="2">
        <f>Z1834/Y1834</f>
        <v>2.5</v>
      </c>
      <c r="AG1834" s="2">
        <f>AA1834/Z1834</f>
        <v>2.6</v>
      </c>
      <c r="AH1834" s="2">
        <f>AB1834/AA1834</f>
        <v>2.3076923076923075</v>
      </c>
    </row>
    <row r="1835" spans="1:34">
      <c r="A1835" s="165" t="s">
        <v>1384</v>
      </c>
      <c r="B1835" s="50" t="s">
        <v>218</v>
      </c>
      <c r="C1835" s="111">
        <v>46226</v>
      </c>
      <c r="D1835" s="42">
        <v>0.45833333333333331</v>
      </c>
      <c r="E1835" s="156">
        <v>14</v>
      </c>
      <c r="F1835" s="114" t="s">
        <v>213</v>
      </c>
      <c r="G1835" s="2">
        <v>2</v>
      </c>
      <c r="I1835" s="128">
        <v>400</v>
      </c>
      <c r="J1835" s="2" t="s">
        <v>766</v>
      </c>
      <c r="K1835" s="109" t="s">
        <v>601</v>
      </c>
      <c r="L1835" s="93">
        <v>40000</v>
      </c>
      <c r="M1835" s="65">
        <v>40</v>
      </c>
      <c r="N1835" s="39" t="s">
        <v>48</v>
      </c>
      <c r="O1835" s="39" t="s">
        <v>49</v>
      </c>
      <c r="P1835" s="130"/>
      <c r="Q1835" s="19">
        <v>70</v>
      </c>
      <c r="R1835" s="15">
        <f>Q1835/I1835</f>
        <v>0.17499999999999999</v>
      </c>
      <c r="S1835" s="5">
        <f>($AC1835*$AD1835)/(($Z1835/$Y1835)+($AA1835/$Z1835)+($AB1835/$AA1835))</f>
        <v>102.59605399792316</v>
      </c>
      <c r="U1835" s="109" t="s">
        <v>767</v>
      </c>
      <c r="V1835" s="10" t="s">
        <v>877</v>
      </c>
      <c r="Y1835" s="2">
        <v>2</v>
      </c>
      <c r="Z1835" s="2">
        <v>5</v>
      </c>
      <c r="AA1835" s="2">
        <v>13</v>
      </c>
      <c r="AB1835" s="2">
        <v>30</v>
      </c>
      <c r="AC1835" s="2">
        <v>19</v>
      </c>
      <c r="AD1835" s="2">
        <v>40</v>
      </c>
      <c r="AE1835" s="2">
        <f>AC1835*AD1835</f>
        <v>760</v>
      </c>
      <c r="AF1835" s="2">
        <f>Z1835/Y1835</f>
        <v>2.5</v>
      </c>
      <c r="AG1835" s="2">
        <f>AA1835/Z1835</f>
        <v>2.6</v>
      </c>
      <c r="AH1835" s="2">
        <f>AB1835/AA1835</f>
        <v>2.3076923076923075</v>
      </c>
    </row>
    <row r="1836" spans="1:34">
      <c r="A1836" s="165" t="s">
        <v>1384</v>
      </c>
      <c r="B1836" s="50" t="s">
        <v>218</v>
      </c>
      <c r="C1836" s="48">
        <v>46226</v>
      </c>
      <c r="D1836" s="42">
        <v>0.5</v>
      </c>
      <c r="E1836" s="156">
        <v>11</v>
      </c>
      <c r="F1836" s="114" t="s">
        <v>1349</v>
      </c>
      <c r="G1836" s="2">
        <v>3</v>
      </c>
      <c r="I1836" s="128">
        <v>1700</v>
      </c>
      <c r="J1836" s="2" t="s">
        <v>763</v>
      </c>
      <c r="K1836" s="109" t="s">
        <v>601</v>
      </c>
      <c r="L1836" s="93">
        <v>40000</v>
      </c>
      <c r="M1836" s="65" t="s">
        <v>97</v>
      </c>
      <c r="N1836" s="39" t="s">
        <v>48</v>
      </c>
      <c r="O1836" s="39" t="s">
        <v>49</v>
      </c>
      <c r="P1836" s="248"/>
      <c r="Q1836" s="19">
        <v>185</v>
      </c>
      <c r="R1836" s="15">
        <f>Q1836/I1836</f>
        <v>0.10882352941176471</v>
      </c>
      <c r="S1836" s="5">
        <f>($AC1836*$AD1836)/(($Z1836/$Y1836)+($AA1836/$Z1836)+($AB1836/$AA1836))</f>
        <v>102.59605399792316</v>
      </c>
      <c r="U1836" s="109" t="s">
        <v>767</v>
      </c>
      <c r="V1836" s="10" t="s">
        <v>877</v>
      </c>
      <c r="W1836" s="205"/>
      <c r="Y1836" s="2">
        <v>2</v>
      </c>
      <c r="Z1836" s="2">
        <v>5</v>
      </c>
      <c r="AA1836" s="2">
        <v>13</v>
      </c>
      <c r="AB1836" s="2">
        <v>30</v>
      </c>
      <c r="AC1836" s="2">
        <v>19</v>
      </c>
      <c r="AD1836" s="2">
        <v>40</v>
      </c>
      <c r="AE1836" s="2">
        <f>AC1836*AD1836</f>
        <v>760</v>
      </c>
      <c r="AF1836" s="2">
        <f>Z1836/Y1836</f>
        <v>2.5</v>
      </c>
      <c r="AG1836" s="2">
        <f>AA1836/Z1836</f>
        <v>2.6</v>
      </c>
      <c r="AH1836" s="2">
        <f>AB1836/AA1836</f>
        <v>2.3076923076923075</v>
      </c>
    </row>
    <row r="1837" spans="1:34">
      <c r="A1837" s="165" t="s">
        <v>1384</v>
      </c>
      <c r="B1837" s="50" t="s">
        <v>218</v>
      </c>
      <c r="C1837" s="111">
        <v>46226</v>
      </c>
      <c r="D1837" s="42">
        <v>0.5</v>
      </c>
      <c r="E1837" s="156">
        <v>13</v>
      </c>
      <c r="F1837" s="165" t="s">
        <v>1361</v>
      </c>
      <c r="G1837" s="2">
        <v>2</v>
      </c>
      <c r="I1837" s="128">
        <v>400</v>
      </c>
      <c r="J1837" s="2" t="s">
        <v>766</v>
      </c>
      <c r="K1837" s="109" t="s">
        <v>602</v>
      </c>
      <c r="L1837" s="93">
        <v>20000</v>
      </c>
      <c r="M1837" s="65" t="s">
        <v>195</v>
      </c>
      <c r="N1837" s="39" t="s">
        <v>48</v>
      </c>
      <c r="O1837" s="39" t="s">
        <v>49</v>
      </c>
      <c r="P1837" s="130"/>
      <c r="Q1837" s="19">
        <v>70</v>
      </c>
      <c r="R1837" s="15">
        <f>Q1837/I1837</f>
        <v>0.17499999999999999</v>
      </c>
      <c r="S1837" s="5">
        <f>($AC1837*$AD1837)/(($Z1837/$Y1837)+($AA1837/$Z1837)+($AB1837/$AA1837))</f>
        <v>64.797507788161994</v>
      </c>
      <c r="U1837" s="109" t="s">
        <v>767</v>
      </c>
      <c r="V1837" s="2" t="s">
        <v>877</v>
      </c>
      <c r="W1837" s="205"/>
      <c r="Y1837" s="2">
        <v>2</v>
      </c>
      <c r="Z1837" s="2">
        <v>5</v>
      </c>
      <c r="AA1837" s="2">
        <v>13</v>
      </c>
      <c r="AB1837" s="2">
        <v>30</v>
      </c>
      <c r="AC1837" s="2">
        <v>16</v>
      </c>
      <c r="AD1837" s="2">
        <v>30</v>
      </c>
      <c r="AE1837" s="2">
        <f>AC1837*AD1837</f>
        <v>480</v>
      </c>
      <c r="AF1837" s="2">
        <f>Z1837/Y1837</f>
        <v>2.5</v>
      </c>
      <c r="AG1837" s="2">
        <f>AA1837/Z1837</f>
        <v>2.6</v>
      </c>
      <c r="AH1837" s="2">
        <f>AB1837/AA1837</f>
        <v>2.3076923076923075</v>
      </c>
    </row>
    <row r="1838" spans="1:34">
      <c r="A1838" s="165" t="s">
        <v>1384</v>
      </c>
      <c r="B1838" s="50" t="s">
        <v>218</v>
      </c>
      <c r="C1838" s="111">
        <v>46226</v>
      </c>
      <c r="D1838" s="42">
        <v>0.625</v>
      </c>
      <c r="E1838" s="156">
        <v>15</v>
      </c>
      <c r="F1838" s="198" t="s">
        <v>214</v>
      </c>
      <c r="G1838" s="2">
        <v>2</v>
      </c>
      <c r="I1838" s="128">
        <v>3300</v>
      </c>
      <c r="J1838" s="2" t="s">
        <v>766</v>
      </c>
      <c r="K1838" s="109" t="s">
        <v>601</v>
      </c>
      <c r="L1838" s="93">
        <v>40000</v>
      </c>
      <c r="M1838" s="65">
        <v>40</v>
      </c>
      <c r="N1838" s="39" t="s">
        <v>48</v>
      </c>
      <c r="O1838" s="39" t="s">
        <v>49</v>
      </c>
      <c r="P1838" s="130"/>
      <c r="Q1838" s="19">
        <v>300</v>
      </c>
      <c r="R1838" s="15">
        <f>Q1838/I1838</f>
        <v>9.0909090909090912E-2</v>
      </c>
      <c r="S1838" s="5">
        <f>($AC1838*$AD1838)/(($Z1838/$Y1838)+($AA1838/$Z1838)+($AB1838/$AA1838))</f>
        <v>104.34782608695653</v>
      </c>
      <c r="U1838" s="109" t="s">
        <v>767</v>
      </c>
      <c r="V1838" s="2" t="s">
        <v>877</v>
      </c>
      <c r="Y1838" s="2">
        <v>1.5</v>
      </c>
      <c r="Z1838" s="2">
        <v>4</v>
      </c>
      <c r="AA1838" s="2">
        <v>10</v>
      </c>
      <c r="AB1838" s="2">
        <v>25</v>
      </c>
      <c r="AC1838" s="2">
        <v>20</v>
      </c>
      <c r="AD1838" s="2">
        <v>40</v>
      </c>
      <c r="AE1838" s="2">
        <f>AC1838*AD1838</f>
        <v>800</v>
      </c>
      <c r="AF1838" s="2">
        <f>Z1838/Y1838</f>
        <v>2.6666666666666665</v>
      </c>
      <c r="AG1838" s="2">
        <f>AA1838/Z1838</f>
        <v>2.5</v>
      </c>
      <c r="AH1838" s="2">
        <f>AB1838/AA1838</f>
        <v>2.5</v>
      </c>
    </row>
    <row r="1839" spans="1:34">
      <c r="A1839" s="68" t="s">
        <v>357</v>
      </c>
      <c r="B1839" s="68" t="s">
        <v>358</v>
      </c>
      <c r="C1839" s="48">
        <v>46226</v>
      </c>
      <c r="D1839" s="42">
        <v>0.75694444444444442</v>
      </c>
      <c r="E1839" s="8">
        <v>107</v>
      </c>
      <c r="F1839" s="63" t="s">
        <v>278</v>
      </c>
      <c r="G1839" s="2">
        <v>1</v>
      </c>
      <c r="H1839" s="2">
        <v>9</v>
      </c>
      <c r="I1839" s="125">
        <v>200</v>
      </c>
      <c r="J1839" s="2" t="s">
        <v>766</v>
      </c>
      <c r="K1839" s="137" t="s">
        <v>603</v>
      </c>
      <c r="L1839" s="89">
        <v>25000</v>
      </c>
      <c r="M1839" s="202">
        <v>30</v>
      </c>
      <c r="N1839" s="39" t="s">
        <v>48</v>
      </c>
      <c r="O1839" s="39" t="s">
        <v>49</v>
      </c>
      <c r="P1839" s="140" t="s">
        <v>831</v>
      </c>
      <c r="Q1839" s="19">
        <v>40</v>
      </c>
      <c r="R1839" s="15">
        <f>Q1839/I1839</f>
        <v>0.2</v>
      </c>
      <c r="S1839" s="5">
        <f>($AC1839*$AD1839)/(($Z1839/$Y1839)+($AA1839/$Z1839)+($AB1839/$AA1839))</f>
        <v>55.03292568203198</v>
      </c>
      <c r="U1839" s="109" t="s">
        <v>219</v>
      </c>
      <c r="V1839" s="205" t="s">
        <v>651</v>
      </c>
      <c r="W1839" s="218" t="s">
        <v>652</v>
      </c>
      <c r="Y1839" s="2">
        <v>2.5</v>
      </c>
      <c r="Z1839" s="2">
        <v>6.5</v>
      </c>
      <c r="AA1839" s="2">
        <v>20</v>
      </c>
      <c r="AB1839" s="2">
        <v>50</v>
      </c>
      <c r="AC1839" s="2">
        <v>30</v>
      </c>
      <c r="AD1839" s="2">
        <v>15</v>
      </c>
      <c r="AE1839" s="2">
        <f>AC1839*AD1839</f>
        <v>450</v>
      </c>
      <c r="AF1839" s="2">
        <f>Z1839/Y1839</f>
        <v>2.6</v>
      </c>
      <c r="AG1839" s="2">
        <f>AA1839/Z1839</f>
        <v>3.0769230769230771</v>
      </c>
      <c r="AH1839" s="2">
        <f>AB1839/AA1839</f>
        <v>2.5</v>
      </c>
    </row>
    <row r="1840" spans="1:34">
      <c r="A1840" s="68" t="s">
        <v>357</v>
      </c>
      <c r="B1840" s="68" t="s">
        <v>358</v>
      </c>
      <c r="C1840" s="48">
        <v>46227</v>
      </c>
      <c r="D1840" s="42">
        <v>0.4236111111111111</v>
      </c>
      <c r="E1840" s="8">
        <v>104</v>
      </c>
      <c r="F1840" s="63" t="s">
        <v>1382</v>
      </c>
      <c r="G1840" s="2">
        <v>2</v>
      </c>
      <c r="H1840" s="2">
        <v>9</v>
      </c>
      <c r="I1840" s="125">
        <v>600</v>
      </c>
      <c r="J1840" s="2" t="s">
        <v>766</v>
      </c>
      <c r="K1840" s="137" t="s">
        <v>598</v>
      </c>
      <c r="L1840" s="89">
        <v>40000</v>
      </c>
      <c r="M1840" s="202">
        <v>40</v>
      </c>
      <c r="N1840" s="39" t="s">
        <v>48</v>
      </c>
      <c r="O1840" s="39" t="s">
        <v>49</v>
      </c>
      <c r="P1840" s="140" t="s">
        <v>839</v>
      </c>
      <c r="Q1840" s="19">
        <v>95</v>
      </c>
      <c r="R1840" s="15">
        <f>Q1840/I1840</f>
        <v>0.15833333333333333</v>
      </c>
      <c r="S1840" s="5">
        <f>($AC1840*$AD1840)/(($Z1840/$Y1840)+($AA1840/$Z1840)+($AB1840/$AA1840))</f>
        <v>102.59605399792316</v>
      </c>
      <c r="U1840" s="109" t="s">
        <v>54</v>
      </c>
      <c r="V1840" s="2" t="s">
        <v>657</v>
      </c>
      <c r="W1840" s="205"/>
      <c r="Y1840" s="2">
        <v>2</v>
      </c>
      <c r="Z1840" s="2">
        <v>5</v>
      </c>
      <c r="AA1840" s="2">
        <v>13</v>
      </c>
      <c r="AB1840" s="2">
        <v>30</v>
      </c>
      <c r="AC1840" s="2">
        <v>40</v>
      </c>
      <c r="AD1840" s="2">
        <v>19</v>
      </c>
      <c r="AE1840" s="2">
        <f>AC1840*AD1840</f>
        <v>760</v>
      </c>
      <c r="AF1840" s="2">
        <f>Z1840/Y1840</f>
        <v>2.5</v>
      </c>
      <c r="AG1840" s="2">
        <f>AA1840/Z1840</f>
        <v>2.6</v>
      </c>
      <c r="AH1840" s="2">
        <f>AB1840/AA1840</f>
        <v>2.3076923076923075</v>
      </c>
    </row>
    <row r="1841" spans="1:34">
      <c r="A1841" s="165" t="s">
        <v>1384</v>
      </c>
      <c r="B1841" s="50" t="s">
        <v>218</v>
      </c>
      <c r="C1841" s="111">
        <v>46227</v>
      </c>
      <c r="D1841" s="42">
        <v>0.45833333333333331</v>
      </c>
      <c r="E1841" s="156">
        <v>16</v>
      </c>
      <c r="F1841" s="114" t="s">
        <v>215</v>
      </c>
      <c r="G1841" s="2">
        <v>2</v>
      </c>
      <c r="I1841" s="128">
        <v>400</v>
      </c>
      <c r="J1841" s="2" t="s">
        <v>766</v>
      </c>
      <c r="K1841" s="109" t="s">
        <v>602</v>
      </c>
      <c r="L1841" s="93">
        <v>40000</v>
      </c>
      <c r="M1841" s="65" t="s">
        <v>195</v>
      </c>
      <c r="N1841" s="39" t="s">
        <v>48</v>
      </c>
      <c r="O1841" s="39" t="s">
        <v>49</v>
      </c>
      <c r="Q1841" s="19">
        <v>70</v>
      </c>
      <c r="R1841" s="15">
        <f>Q1841/I1841</f>
        <v>0.17499999999999999</v>
      </c>
      <c r="S1841" s="5">
        <f>($AC1841*$AD1841)/(($Z1841/$Y1841)+($AA1841/$Z1841)+($AB1841/$AA1841))</f>
        <v>76.947040498442377</v>
      </c>
      <c r="U1841" s="109" t="s">
        <v>767</v>
      </c>
      <c r="V1841" s="2" t="s">
        <v>877</v>
      </c>
      <c r="Y1841" s="2">
        <v>2</v>
      </c>
      <c r="Z1841" s="2">
        <v>5</v>
      </c>
      <c r="AA1841" s="2">
        <v>13</v>
      </c>
      <c r="AB1841" s="2">
        <v>30</v>
      </c>
      <c r="AC1841" s="2">
        <v>19</v>
      </c>
      <c r="AD1841" s="2">
        <v>30</v>
      </c>
      <c r="AE1841" s="2">
        <f>AC1841*AD1841</f>
        <v>570</v>
      </c>
      <c r="AF1841" s="2">
        <f>Z1841/Y1841</f>
        <v>2.5</v>
      </c>
      <c r="AG1841" s="2">
        <f>AA1841/Z1841</f>
        <v>2.6</v>
      </c>
      <c r="AH1841" s="2">
        <f>AB1841/AA1841</f>
        <v>2.3076923076923075</v>
      </c>
    </row>
    <row r="1842" spans="1:34">
      <c r="A1842" s="68" t="s">
        <v>357</v>
      </c>
      <c r="B1842" s="68" t="s">
        <v>358</v>
      </c>
      <c r="C1842" s="48">
        <v>46227</v>
      </c>
      <c r="D1842" s="42">
        <v>0.46527777777777779</v>
      </c>
      <c r="E1842" s="8">
        <v>108</v>
      </c>
      <c r="F1842" s="63" t="s">
        <v>277</v>
      </c>
      <c r="G1842" s="2">
        <v>2</v>
      </c>
      <c r="H1842" s="2">
        <v>9</v>
      </c>
      <c r="I1842" s="125">
        <v>600</v>
      </c>
      <c r="J1842" s="2" t="s">
        <v>766</v>
      </c>
      <c r="K1842" s="137" t="s">
        <v>598</v>
      </c>
      <c r="L1842" s="89">
        <v>40000</v>
      </c>
      <c r="M1842" s="202">
        <v>40</v>
      </c>
      <c r="N1842" s="39" t="s">
        <v>48</v>
      </c>
      <c r="O1842" s="39" t="s">
        <v>49</v>
      </c>
      <c r="P1842" s="212" t="s">
        <v>839</v>
      </c>
      <c r="Q1842" s="19">
        <v>95</v>
      </c>
      <c r="R1842" s="15">
        <f>Q1842/I1842</f>
        <v>0.15833333333333333</v>
      </c>
      <c r="S1842" s="5">
        <f>($AC1842*$AD1842)/(($Z1842/$Y1842)+($AA1842/$Z1842)+($AB1842/$AA1842))</f>
        <v>102.59605399792316</v>
      </c>
      <c r="U1842" s="109" t="s">
        <v>767</v>
      </c>
      <c r="V1842" s="205" t="s">
        <v>650</v>
      </c>
      <c r="W1842" s="205"/>
      <c r="Y1842" s="2">
        <v>2</v>
      </c>
      <c r="Z1842" s="2">
        <v>5</v>
      </c>
      <c r="AA1842" s="2">
        <v>13</v>
      </c>
      <c r="AB1842" s="2">
        <v>30</v>
      </c>
      <c r="AC1842" s="2">
        <v>40</v>
      </c>
      <c r="AD1842" s="2">
        <v>19</v>
      </c>
      <c r="AE1842" s="2">
        <f>AC1842*AD1842</f>
        <v>760</v>
      </c>
      <c r="AF1842" s="2">
        <f>Z1842/Y1842</f>
        <v>2.5</v>
      </c>
      <c r="AG1842" s="2">
        <f>AA1842/Z1842</f>
        <v>2.6</v>
      </c>
      <c r="AH1842" s="2">
        <f>AB1842/AA1842</f>
        <v>2.3076923076923075</v>
      </c>
    </row>
    <row r="1843" spans="1:34">
      <c r="A1843" s="165" t="s">
        <v>1384</v>
      </c>
      <c r="B1843" s="50" t="s">
        <v>218</v>
      </c>
      <c r="C1843" s="48">
        <v>46227</v>
      </c>
      <c r="D1843" s="42">
        <v>0.5</v>
      </c>
      <c r="E1843" s="156">
        <v>11</v>
      </c>
      <c r="F1843" s="114" t="s">
        <v>1350</v>
      </c>
      <c r="G1843" s="2">
        <v>3</v>
      </c>
      <c r="I1843" s="128">
        <v>1700</v>
      </c>
      <c r="J1843" s="2" t="s">
        <v>763</v>
      </c>
      <c r="K1843" s="109" t="s">
        <v>601</v>
      </c>
      <c r="L1843" s="93">
        <v>40000</v>
      </c>
      <c r="M1843" s="65" t="s">
        <v>97</v>
      </c>
      <c r="N1843" s="39" t="s">
        <v>48</v>
      </c>
      <c r="O1843" s="39" t="s">
        <v>49</v>
      </c>
      <c r="P1843" s="148"/>
      <c r="Q1843" s="19">
        <v>185</v>
      </c>
      <c r="R1843" s="15">
        <f>Q1843/I1843</f>
        <v>0.10882352941176471</v>
      </c>
      <c r="S1843" s="5">
        <f>($AC1843*$AD1843)/(($Z1843/$Y1843)+($AA1843/$Z1843)+($AB1843/$AA1843))</f>
        <v>102.59605399792316</v>
      </c>
      <c r="U1843" s="109" t="s">
        <v>767</v>
      </c>
      <c r="V1843" s="2" t="s">
        <v>877</v>
      </c>
      <c r="W1843" s="205"/>
      <c r="Y1843" s="2">
        <v>2</v>
      </c>
      <c r="Z1843" s="2">
        <v>5</v>
      </c>
      <c r="AA1843" s="2">
        <v>13</v>
      </c>
      <c r="AB1843" s="2">
        <v>30</v>
      </c>
      <c r="AC1843" s="2">
        <v>19</v>
      </c>
      <c r="AD1843" s="2">
        <v>40</v>
      </c>
      <c r="AE1843" s="2">
        <f>AC1843*AD1843</f>
        <v>760</v>
      </c>
      <c r="AF1843" s="2">
        <f>Z1843/Y1843</f>
        <v>2.5</v>
      </c>
      <c r="AG1843" s="2">
        <f>AA1843/Z1843</f>
        <v>2.6</v>
      </c>
      <c r="AH1843" s="2">
        <f>AB1843/AA1843</f>
        <v>2.3076923076923075</v>
      </c>
    </row>
    <row r="1844" spans="1:34">
      <c r="A1844" s="165" t="s">
        <v>1384</v>
      </c>
      <c r="B1844" s="50" t="s">
        <v>218</v>
      </c>
      <c r="C1844" s="111">
        <v>46227</v>
      </c>
      <c r="D1844" s="42">
        <v>0.5</v>
      </c>
      <c r="E1844" s="156">
        <v>14</v>
      </c>
      <c r="F1844" s="200" t="s">
        <v>1357</v>
      </c>
      <c r="G1844" s="2">
        <v>2</v>
      </c>
      <c r="I1844" s="128">
        <v>400</v>
      </c>
      <c r="J1844" s="2" t="s">
        <v>766</v>
      </c>
      <c r="K1844" s="109" t="s">
        <v>601</v>
      </c>
      <c r="L1844" s="93">
        <v>40000</v>
      </c>
      <c r="M1844" s="65">
        <v>40</v>
      </c>
      <c r="N1844" s="39" t="s">
        <v>48</v>
      </c>
      <c r="O1844" s="39" t="s">
        <v>49</v>
      </c>
      <c r="Q1844" s="19">
        <v>70</v>
      </c>
      <c r="R1844" s="15">
        <f>Q1844/I1844</f>
        <v>0.17499999999999999</v>
      </c>
      <c r="S1844" s="5">
        <f>($AC1844*$AD1844)/(($Z1844/$Y1844)+($AA1844/$Z1844)+($AB1844/$AA1844))</f>
        <v>102.59605399792316</v>
      </c>
      <c r="U1844" s="109" t="s">
        <v>767</v>
      </c>
      <c r="V1844" s="2" t="s">
        <v>877</v>
      </c>
      <c r="W1844" s="205"/>
      <c r="Y1844" s="2">
        <v>2</v>
      </c>
      <c r="Z1844" s="2">
        <v>5</v>
      </c>
      <c r="AA1844" s="2">
        <v>13</v>
      </c>
      <c r="AB1844" s="2">
        <v>30</v>
      </c>
      <c r="AC1844" s="2">
        <v>19</v>
      </c>
      <c r="AD1844" s="2">
        <v>40</v>
      </c>
      <c r="AE1844" s="2">
        <f>AC1844*AD1844</f>
        <v>760</v>
      </c>
      <c r="AF1844" s="2">
        <f>Z1844/Y1844</f>
        <v>2.5</v>
      </c>
      <c r="AG1844" s="2">
        <f>AA1844/Z1844</f>
        <v>2.6</v>
      </c>
      <c r="AH1844" s="2">
        <f>AB1844/AA1844</f>
        <v>2.3076923076923075</v>
      </c>
    </row>
    <row r="1845" spans="1:34">
      <c r="A1845" s="165" t="s">
        <v>1384</v>
      </c>
      <c r="B1845" s="50" t="s">
        <v>218</v>
      </c>
      <c r="C1845" s="111">
        <v>46227</v>
      </c>
      <c r="D1845" s="42">
        <v>0.54166666666666663</v>
      </c>
      <c r="E1845" s="156">
        <v>15</v>
      </c>
      <c r="F1845" s="200" t="s">
        <v>1358</v>
      </c>
      <c r="G1845" s="2">
        <v>2</v>
      </c>
      <c r="I1845" s="128">
        <v>3300</v>
      </c>
      <c r="J1845" s="2" t="s">
        <v>766</v>
      </c>
      <c r="K1845" s="109" t="s">
        <v>601</v>
      </c>
      <c r="L1845" s="93">
        <v>40000</v>
      </c>
      <c r="M1845" s="65">
        <v>40</v>
      </c>
      <c r="N1845" s="39" t="s">
        <v>48</v>
      </c>
      <c r="O1845" s="39" t="s">
        <v>49</v>
      </c>
      <c r="Q1845" s="19">
        <v>300</v>
      </c>
      <c r="R1845" s="15">
        <f>Q1845/I1845</f>
        <v>9.0909090909090912E-2</v>
      </c>
      <c r="S1845" s="5">
        <f>($AC1845*$AD1845)/(($Z1845/$Y1845)+($AA1845/$Z1845)+($AB1845/$AA1845))</f>
        <v>104.34782608695653</v>
      </c>
      <c r="U1845" s="109" t="s">
        <v>767</v>
      </c>
      <c r="V1845" s="2" t="s">
        <v>877</v>
      </c>
      <c r="W1845" s="205"/>
      <c r="Y1845" s="2">
        <v>1.5</v>
      </c>
      <c r="Z1845" s="2">
        <v>4</v>
      </c>
      <c r="AA1845" s="2">
        <v>10</v>
      </c>
      <c r="AB1845" s="2">
        <v>25</v>
      </c>
      <c r="AC1845" s="2">
        <v>20</v>
      </c>
      <c r="AD1845" s="2">
        <v>40</v>
      </c>
      <c r="AE1845" s="2">
        <f>AC1845*AD1845</f>
        <v>800</v>
      </c>
      <c r="AF1845" s="2">
        <f>Z1845/Y1845</f>
        <v>2.6666666666666665</v>
      </c>
      <c r="AG1845" s="2">
        <f>AA1845/Z1845</f>
        <v>2.5</v>
      </c>
      <c r="AH1845" s="2">
        <f>AB1845/AA1845</f>
        <v>2.5</v>
      </c>
    </row>
    <row r="1846" spans="1:34">
      <c r="A1846" s="165" t="s">
        <v>1384</v>
      </c>
      <c r="B1846" s="50" t="s">
        <v>218</v>
      </c>
      <c r="C1846" s="111">
        <v>46227</v>
      </c>
      <c r="D1846" s="42">
        <v>0.625</v>
      </c>
      <c r="E1846" s="156">
        <v>17</v>
      </c>
      <c r="F1846" s="198" t="s">
        <v>216</v>
      </c>
      <c r="G1846" s="2">
        <v>2</v>
      </c>
      <c r="I1846" s="128">
        <v>5000</v>
      </c>
      <c r="J1846" s="2" t="s">
        <v>766</v>
      </c>
      <c r="K1846" s="109" t="s">
        <v>601</v>
      </c>
      <c r="L1846" s="93">
        <v>50000</v>
      </c>
      <c r="M1846" s="65">
        <v>40</v>
      </c>
      <c r="N1846" s="39" t="s">
        <v>48</v>
      </c>
      <c r="O1846" s="39" t="s">
        <v>49</v>
      </c>
      <c r="P1846" s="210"/>
      <c r="Q1846" s="19">
        <v>400</v>
      </c>
      <c r="R1846" s="15">
        <f>Q1846/I1846</f>
        <v>0.08</v>
      </c>
      <c r="S1846" s="5">
        <f>($AC1846*$AD1846)/(($Z1846/$Y1846)+($AA1846/$Z1846)+($AB1846/$AA1846))</f>
        <v>109.56521739130436</v>
      </c>
      <c r="U1846" s="109" t="s">
        <v>767</v>
      </c>
      <c r="V1846" s="2" t="s">
        <v>877</v>
      </c>
      <c r="Y1846" s="2">
        <v>1.5</v>
      </c>
      <c r="Z1846" s="2">
        <v>4</v>
      </c>
      <c r="AA1846" s="2">
        <v>10</v>
      </c>
      <c r="AB1846" s="2">
        <v>25</v>
      </c>
      <c r="AC1846" s="2">
        <v>21</v>
      </c>
      <c r="AD1846" s="2">
        <v>40</v>
      </c>
      <c r="AE1846" s="2">
        <f>AC1846*AD1846</f>
        <v>840</v>
      </c>
      <c r="AF1846" s="2">
        <f>Z1846/Y1846</f>
        <v>2.6666666666666665</v>
      </c>
      <c r="AG1846" s="2">
        <f>AA1846/Z1846</f>
        <v>2.5</v>
      </c>
      <c r="AH1846" s="2">
        <f>AB1846/AA1846</f>
        <v>2.5</v>
      </c>
    </row>
    <row r="1847" spans="1:34">
      <c r="A1847" s="68" t="s">
        <v>357</v>
      </c>
      <c r="B1847" s="68" t="s">
        <v>358</v>
      </c>
      <c r="C1847" s="48">
        <v>46227</v>
      </c>
      <c r="D1847" s="42">
        <v>0.75694444444444442</v>
      </c>
      <c r="E1847" s="8">
        <v>109</v>
      </c>
      <c r="F1847" s="63" t="s">
        <v>278</v>
      </c>
      <c r="G1847" s="2">
        <v>1</v>
      </c>
      <c r="H1847" s="2">
        <v>9</v>
      </c>
      <c r="I1847" s="125">
        <v>200</v>
      </c>
      <c r="J1847" s="2" t="s">
        <v>766</v>
      </c>
      <c r="K1847" s="137" t="s">
        <v>603</v>
      </c>
      <c r="L1847" s="89">
        <v>25000</v>
      </c>
      <c r="M1847" s="202">
        <v>30</v>
      </c>
      <c r="N1847" s="39" t="s">
        <v>48</v>
      </c>
      <c r="O1847" s="39" t="s">
        <v>49</v>
      </c>
      <c r="P1847" s="212" t="s">
        <v>831</v>
      </c>
      <c r="Q1847" s="19">
        <v>40</v>
      </c>
      <c r="R1847" s="15">
        <f>Q1847/I1847</f>
        <v>0.2</v>
      </c>
      <c r="S1847" s="5">
        <f>($AC1847*$AD1847)/(($Z1847/$Y1847)+($AA1847/$Z1847)+($AB1847/$AA1847))</f>
        <v>55.03292568203198</v>
      </c>
      <c r="U1847" s="109" t="s">
        <v>219</v>
      </c>
      <c r="V1847" s="205" t="s">
        <v>651</v>
      </c>
      <c r="W1847" s="218" t="s">
        <v>652</v>
      </c>
      <c r="Y1847" s="2">
        <v>2.5</v>
      </c>
      <c r="Z1847" s="2">
        <v>6.5</v>
      </c>
      <c r="AA1847" s="2">
        <v>20</v>
      </c>
      <c r="AB1847" s="2">
        <v>50</v>
      </c>
      <c r="AC1847" s="2">
        <v>30</v>
      </c>
      <c r="AD1847" s="2">
        <v>15</v>
      </c>
      <c r="AE1847" s="2">
        <f>AC1847*AD1847</f>
        <v>450</v>
      </c>
      <c r="AF1847" s="2">
        <f>Z1847/Y1847</f>
        <v>2.6</v>
      </c>
      <c r="AG1847" s="2">
        <f>AA1847/Z1847</f>
        <v>3.0769230769230771</v>
      </c>
      <c r="AH1847" s="2">
        <f>AB1847/AA1847</f>
        <v>2.5</v>
      </c>
    </row>
    <row r="1848" spans="1:34">
      <c r="A1848" s="165" t="s">
        <v>1384</v>
      </c>
      <c r="B1848" s="50" t="s">
        <v>218</v>
      </c>
      <c r="C1848" s="111">
        <v>46228</v>
      </c>
      <c r="D1848" s="42">
        <v>0.45833333333333331</v>
      </c>
      <c r="E1848" s="156">
        <v>18</v>
      </c>
      <c r="F1848" s="114" t="s">
        <v>217</v>
      </c>
      <c r="G1848" s="2">
        <v>1</v>
      </c>
      <c r="I1848" s="128">
        <v>400</v>
      </c>
      <c r="J1848" s="2" t="s">
        <v>766</v>
      </c>
      <c r="K1848" s="109" t="s">
        <v>602</v>
      </c>
      <c r="L1848" s="93">
        <v>20000</v>
      </c>
      <c r="M1848" s="65">
        <v>20</v>
      </c>
      <c r="N1848" s="39" t="s">
        <v>48</v>
      </c>
      <c r="O1848" s="39" t="s">
        <v>49</v>
      </c>
      <c r="Q1848" s="19">
        <v>70</v>
      </c>
      <c r="R1848" s="15">
        <f>Q1848/I1848</f>
        <v>0.17499999999999999</v>
      </c>
      <c r="S1848" s="5">
        <f>($AC1848*$AD1848)/(($Z1848/$Y1848)+($AA1848/$Z1848)+($AB1848/$AA1848))</f>
        <v>25.263157894736842</v>
      </c>
      <c r="U1848" s="109" t="s">
        <v>767</v>
      </c>
      <c r="V1848" s="2" t="s">
        <v>877</v>
      </c>
      <c r="Y1848" s="2">
        <v>1.5</v>
      </c>
      <c r="Z1848" s="2">
        <v>5</v>
      </c>
      <c r="AA1848" s="2">
        <v>20</v>
      </c>
      <c r="AB1848" s="2">
        <v>75</v>
      </c>
      <c r="AC1848" s="2">
        <v>14</v>
      </c>
      <c r="AD1848" s="2">
        <v>20</v>
      </c>
      <c r="AE1848" s="2">
        <f>AC1848*AD1848</f>
        <v>280</v>
      </c>
      <c r="AF1848" s="2">
        <f>Z1848/Y1848</f>
        <v>3.3333333333333335</v>
      </c>
      <c r="AG1848" s="2">
        <f>AA1848/Z1848</f>
        <v>4</v>
      </c>
      <c r="AH1848" s="2">
        <f>AB1848/AA1848</f>
        <v>3.75</v>
      </c>
    </row>
    <row r="1849" spans="1:34">
      <c r="A1849" s="68" t="s">
        <v>357</v>
      </c>
      <c r="B1849" s="68" t="s">
        <v>358</v>
      </c>
      <c r="C1849" s="48">
        <v>46228</v>
      </c>
      <c r="D1849" s="42">
        <v>0.46527777777777779</v>
      </c>
      <c r="E1849" s="8">
        <v>108</v>
      </c>
      <c r="F1849" s="63" t="s">
        <v>279</v>
      </c>
      <c r="G1849" s="2">
        <v>2</v>
      </c>
      <c r="H1849" s="2">
        <v>9</v>
      </c>
      <c r="I1849" s="125">
        <v>600</v>
      </c>
      <c r="J1849" s="2" t="s">
        <v>766</v>
      </c>
      <c r="K1849" s="137" t="s">
        <v>598</v>
      </c>
      <c r="L1849" s="89">
        <v>40000</v>
      </c>
      <c r="M1849" s="202">
        <v>40</v>
      </c>
      <c r="N1849" s="39" t="s">
        <v>48</v>
      </c>
      <c r="O1849" s="39" t="s">
        <v>49</v>
      </c>
      <c r="P1849" s="212" t="s">
        <v>839</v>
      </c>
      <c r="Q1849" s="19">
        <v>95</v>
      </c>
      <c r="R1849" s="15">
        <f>Q1849/I1849</f>
        <v>0.15833333333333333</v>
      </c>
      <c r="S1849" s="5">
        <f>($AC1849*$AD1849)/(($Z1849/$Y1849)+($AA1849/$Z1849)+($AB1849/$AA1849))</f>
        <v>102.59605399792316</v>
      </c>
      <c r="U1849" s="109" t="s">
        <v>767</v>
      </c>
      <c r="V1849" s="2" t="s">
        <v>650</v>
      </c>
      <c r="W1849" s="205"/>
      <c r="Y1849" s="2">
        <v>2</v>
      </c>
      <c r="Z1849" s="2">
        <v>5</v>
      </c>
      <c r="AA1849" s="2">
        <v>13</v>
      </c>
      <c r="AB1849" s="2">
        <v>30</v>
      </c>
      <c r="AC1849" s="2">
        <v>40</v>
      </c>
      <c r="AD1849" s="2">
        <v>19</v>
      </c>
      <c r="AE1849" s="2">
        <f>AC1849*AD1849</f>
        <v>760</v>
      </c>
      <c r="AF1849" s="2">
        <f>Z1849/Y1849</f>
        <v>2.5</v>
      </c>
      <c r="AG1849" s="2">
        <f>AA1849/Z1849</f>
        <v>2.6</v>
      </c>
      <c r="AH1849" s="2">
        <f>AB1849/AA1849</f>
        <v>2.3076923076923075</v>
      </c>
    </row>
    <row r="1850" spans="1:34">
      <c r="A1850" s="165" t="s">
        <v>1384</v>
      </c>
      <c r="B1850" s="50" t="s">
        <v>218</v>
      </c>
      <c r="C1850" s="111">
        <v>46228</v>
      </c>
      <c r="D1850" s="42">
        <v>0.5</v>
      </c>
      <c r="E1850" s="156">
        <v>16</v>
      </c>
      <c r="F1850" s="200" t="s">
        <v>1359</v>
      </c>
      <c r="G1850" s="2">
        <v>2</v>
      </c>
      <c r="I1850" s="128">
        <v>400</v>
      </c>
      <c r="J1850" s="2" t="s">
        <v>766</v>
      </c>
      <c r="K1850" s="109" t="s">
        <v>602</v>
      </c>
      <c r="L1850" s="93">
        <v>40000</v>
      </c>
      <c r="M1850" s="65" t="s">
        <v>195</v>
      </c>
      <c r="N1850" s="39" t="s">
        <v>48</v>
      </c>
      <c r="O1850" s="39" t="s">
        <v>49</v>
      </c>
      <c r="Q1850" s="19">
        <v>70</v>
      </c>
      <c r="R1850" s="15">
        <f>Q1850/I1850</f>
        <v>0.17499999999999999</v>
      </c>
      <c r="S1850" s="5">
        <f>($AC1850*$AD1850)/(($Z1850/$Y1850)+($AA1850/$Z1850)+($AB1850/$AA1850))</f>
        <v>76.947040498442377</v>
      </c>
      <c r="U1850" s="109" t="s">
        <v>767</v>
      </c>
      <c r="V1850" s="2" t="s">
        <v>877</v>
      </c>
      <c r="W1850" s="205"/>
      <c r="Y1850" s="2">
        <v>2</v>
      </c>
      <c r="Z1850" s="2">
        <v>5</v>
      </c>
      <c r="AA1850" s="2">
        <v>13</v>
      </c>
      <c r="AB1850" s="2">
        <v>30</v>
      </c>
      <c r="AC1850" s="2">
        <v>19</v>
      </c>
      <c r="AD1850" s="2">
        <v>30</v>
      </c>
      <c r="AE1850" s="2">
        <f>AC1850*AD1850</f>
        <v>570</v>
      </c>
      <c r="AF1850" s="2">
        <f>Z1850/Y1850</f>
        <v>2.5</v>
      </c>
      <c r="AG1850" s="2">
        <f>AA1850/Z1850</f>
        <v>2.6</v>
      </c>
      <c r="AH1850" s="2">
        <f>AB1850/AA1850</f>
        <v>2.3076923076923075</v>
      </c>
    </row>
    <row r="1851" spans="1:34">
      <c r="A1851" s="68" t="s">
        <v>357</v>
      </c>
      <c r="B1851" s="68" t="s">
        <v>358</v>
      </c>
      <c r="C1851" s="48">
        <v>46228</v>
      </c>
      <c r="D1851" s="42">
        <v>0.50694444444444442</v>
      </c>
      <c r="E1851" s="8">
        <v>110</v>
      </c>
      <c r="F1851" s="63" t="s">
        <v>345</v>
      </c>
      <c r="G1851" s="2">
        <v>1</v>
      </c>
      <c r="H1851" s="2">
        <v>8</v>
      </c>
      <c r="I1851" s="125">
        <v>400</v>
      </c>
      <c r="J1851" s="2" t="s">
        <v>766</v>
      </c>
      <c r="K1851" s="137" t="s">
        <v>815</v>
      </c>
      <c r="L1851" s="89">
        <v>30000</v>
      </c>
      <c r="M1851" s="202">
        <v>30</v>
      </c>
      <c r="N1851" s="39" t="s">
        <v>48</v>
      </c>
      <c r="O1851" s="39" t="s">
        <v>57</v>
      </c>
      <c r="P1851" s="234">
        <v>15000</v>
      </c>
      <c r="Q1851" s="2">
        <v>60</v>
      </c>
      <c r="R1851" s="15">
        <f>Q1851/I1851</f>
        <v>0.15</v>
      </c>
      <c r="S1851" s="149" t="s">
        <v>110</v>
      </c>
      <c r="T1851" s="149"/>
      <c r="U1851" s="109" t="s">
        <v>852</v>
      </c>
      <c r="V1851" s="2" t="s">
        <v>709</v>
      </c>
      <c r="W1851" s="205"/>
      <c r="AE1851" s="2">
        <f>AC1851*AD1851</f>
        <v>0</v>
      </c>
      <c r="AF1851" s="2" t="e">
        <f>Z1851/Y1851</f>
        <v>#DIV/0!</v>
      </c>
      <c r="AG1851" s="2" t="e">
        <f>AA1851/Z1851</f>
        <v>#DIV/0!</v>
      </c>
      <c r="AH1851" s="2" t="e">
        <f>AB1851/AA1851</f>
        <v>#DIV/0!</v>
      </c>
    </row>
    <row r="1852" spans="1:34">
      <c r="A1852" s="165" t="s">
        <v>1384</v>
      </c>
      <c r="B1852" s="50" t="s">
        <v>218</v>
      </c>
      <c r="C1852" s="111">
        <v>46228</v>
      </c>
      <c r="D1852" s="42">
        <v>0.54166666666666663</v>
      </c>
      <c r="E1852" s="156">
        <v>17</v>
      </c>
      <c r="F1852" s="166" t="s">
        <v>1360</v>
      </c>
      <c r="G1852" s="2">
        <v>2</v>
      </c>
      <c r="I1852" s="128">
        <v>5000</v>
      </c>
      <c r="J1852" s="2" t="s">
        <v>766</v>
      </c>
      <c r="K1852" s="109" t="s">
        <v>601</v>
      </c>
      <c r="L1852" s="93">
        <v>50000</v>
      </c>
      <c r="M1852" s="65">
        <v>40</v>
      </c>
      <c r="N1852" s="39" t="s">
        <v>48</v>
      </c>
      <c r="O1852" s="39" t="s">
        <v>49</v>
      </c>
      <c r="Q1852" s="19">
        <v>400</v>
      </c>
      <c r="R1852" s="15">
        <f>Q1852/I1852</f>
        <v>0.08</v>
      </c>
      <c r="S1852" s="5">
        <f>($AC1852*$AD1852)/(($Z1852/$Y1852)+($AA1852/$Z1852)+($AB1852/$AA1852))</f>
        <v>109.56521739130436</v>
      </c>
      <c r="U1852" s="109" t="s">
        <v>767</v>
      </c>
      <c r="V1852" s="2" t="s">
        <v>877</v>
      </c>
      <c r="W1852" s="205"/>
      <c r="Y1852" s="2">
        <v>1.5</v>
      </c>
      <c r="Z1852" s="2">
        <v>4</v>
      </c>
      <c r="AA1852" s="2">
        <v>10</v>
      </c>
      <c r="AB1852" s="2">
        <v>25</v>
      </c>
      <c r="AC1852" s="2">
        <v>21</v>
      </c>
      <c r="AD1852" s="2">
        <v>40</v>
      </c>
      <c r="AE1852" s="2">
        <f>AC1852*AD1852</f>
        <v>840</v>
      </c>
      <c r="AF1852" s="2">
        <f>Z1852/Y1852</f>
        <v>2.6666666666666665</v>
      </c>
      <c r="AG1852" s="2">
        <f>AA1852/Z1852</f>
        <v>2.5</v>
      </c>
      <c r="AH1852" s="2">
        <f>AB1852/AA1852</f>
        <v>2.5</v>
      </c>
    </row>
    <row r="1853" spans="1:34">
      <c r="A1853" s="68" t="s">
        <v>357</v>
      </c>
      <c r="B1853" s="68" t="s">
        <v>358</v>
      </c>
      <c r="C1853" s="48">
        <v>46228</v>
      </c>
      <c r="D1853" s="42">
        <v>0.75694444444444442</v>
      </c>
      <c r="E1853" s="8">
        <v>111</v>
      </c>
      <c r="F1853" s="197" t="s">
        <v>278</v>
      </c>
      <c r="G1853" s="2">
        <v>1</v>
      </c>
      <c r="H1853" s="2">
        <v>9</v>
      </c>
      <c r="I1853" s="125">
        <v>200</v>
      </c>
      <c r="J1853" s="2" t="s">
        <v>766</v>
      </c>
      <c r="K1853" s="137" t="s">
        <v>603</v>
      </c>
      <c r="L1853" s="89">
        <v>25000</v>
      </c>
      <c r="M1853" s="202">
        <v>30</v>
      </c>
      <c r="N1853" s="39" t="s">
        <v>48</v>
      </c>
      <c r="O1853" s="39" t="s">
        <v>49</v>
      </c>
      <c r="P1853" s="212" t="s">
        <v>831</v>
      </c>
      <c r="Q1853" s="19">
        <v>40</v>
      </c>
      <c r="R1853" s="15">
        <f>Q1853/I1853</f>
        <v>0.2</v>
      </c>
      <c r="S1853" s="5">
        <f>($AC1853*$AD1853)/(($Z1853/$Y1853)+($AA1853/$Z1853)+($AB1853/$AA1853))</f>
        <v>55.03292568203198</v>
      </c>
      <c r="U1853" s="109" t="s">
        <v>219</v>
      </c>
      <c r="V1853" s="205" t="s">
        <v>651</v>
      </c>
      <c r="W1853" s="218" t="s">
        <v>652</v>
      </c>
      <c r="Y1853" s="2">
        <v>2.5</v>
      </c>
      <c r="Z1853" s="2">
        <v>6.5</v>
      </c>
      <c r="AA1853" s="2">
        <v>20</v>
      </c>
      <c r="AB1853" s="2">
        <v>50</v>
      </c>
      <c r="AC1853" s="2">
        <v>30</v>
      </c>
      <c r="AD1853" s="2">
        <v>15</v>
      </c>
      <c r="AE1853" s="2">
        <f>AC1853*AD1853</f>
        <v>450</v>
      </c>
      <c r="AF1853" s="2">
        <f>Z1853/Y1853</f>
        <v>2.6</v>
      </c>
      <c r="AG1853" s="2">
        <f>AA1853/Z1853</f>
        <v>3.0769230769230771</v>
      </c>
      <c r="AH1853" s="2">
        <f>AB1853/AA1853</f>
        <v>2.5</v>
      </c>
    </row>
    <row r="1854" spans="1:34">
      <c r="A1854" s="68" t="s">
        <v>357</v>
      </c>
      <c r="B1854" s="68" t="s">
        <v>358</v>
      </c>
      <c r="C1854" s="48">
        <v>46229</v>
      </c>
      <c r="D1854" s="42">
        <v>0.46527777777777779</v>
      </c>
      <c r="E1854" s="8">
        <v>108</v>
      </c>
      <c r="F1854" s="197" t="s">
        <v>280</v>
      </c>
      <c r="G1854" s="2">
        <v>2</v>
      </c>
      <c r="H1854" s="2">
        <v>9</v>
      </c>
      <c r="I1854" s="125">
        <v>600</v>
      </c>
      <c r="J1854" s="2" t="s">
        <v>766</v>
      </c>
      <c r="K1854" s="137" t="s">
        <v>598</v>
      </c>
      <c r="L1854" s="89">
        <v>40000</v>
      </c>
      <c r="M1854" s="202">
        <v>40</v>
      </c>
      <c r="N1854" s="39" t="s">
        <v>48</v>
      </c>
      <c r="O1854" s="39" t="s">
        <v>49</v>
      </c>
      <c r="P1854" s="212" t="s">
        <v>839</v>
      </c>
      <c r="Q1854" s="19">
        <v>95</v>
      </c>
      <c r="R1854" s="15">
        <f>Q1854/I1854</f>
        <v>0.15833333333333333</v>
      </c>
      <c r="S1854" s="5">
        <f>($AC1854*$AD1854)/(($Z1854/$Y1854)+($AA1854/$Z1854)+($AB1854/$AA1854))</f>
        <v>102.59605399792316</v>
      </c>
      <c r="U1854" s="109" t="s">
        <v>767</v>
      </c>
      <c r="V1854" s="205" t="s">
        <v>650</v>
      </c>
      <c r="W1854" s="205"/>
      <c r="Y1854" s="2">
        <v>2</v>
      </c>
      <c r="Z1854" s="2">
        <v>5</v>
      </c>
      <c r="AA1854" s="2">
        <v>13</v>
      </c>
      <c r="AB1854" s="2">
        <v>30</v>
      </c>
      <c r="AC1854" s="2">
        <v>40</v>
      </c>
      <c r="AD1854" s="2">
        <v>19</v>
      </c>
      <c r="AE1854" s="2">
        <f>AC1854*AD1854</f>
        <v>760</v>
      </c>
      <c r="AF1854" s="2">
        <f>Z1854/Y1854</f>
        <v>2.5</v>
      </c>
      <c r="AG1854" s="2">
        <f>AA1854/Z1854</f>
        <v>2.6</v>
      </c>
      <c r="AH1854" s="2">
        <f>AB1854/AA1854</f>
        <v>2.3076923076923075</v>
      </c>
    </row>
    <row r="1855" spans="1:34">
      <c r="A1855" s="68" t="s">
        <v>357</v>
      </c>
      <c r="B1855" s="68" t="s">
        <v>358</v>
      </c>
      <c r="C1855" s="48">
        <v>46229</v>
      </c>
      <c r="D1855" s="42">
        <v>0.75694444444444442</v>
      </c>
      <c r="E1855" s="8">
        <v>112</v>
      </c>
      <c r="F1855" s="197" t="s">
        <v>278</v>
      </c>
      <c r="G1855" s="2">
        <v>1</v>
      </c>
      <c r="H1855" s="2">
        <v>9</v>
      </c>
      <c r="I1855" s="125">
        <v>200</v>
      </c>
      <c r="J1855" s="2" t="s">
        <v>766</v>
      </c>
      <c r="K1855" s="137" t="s">
        <v>603</v>
      </c>
      <c r="L1855" s="89">
        <v>25000</v>
      </c>
      <c r="M1855" s="202">
        <v>30</v>
      </c>
      <c r="N1855" s="39" t="s">
        <v>48</v>
      </c>
      <c r="O1855" s="39" t="s">
        <v>49</v>
      </c>
      <c r="P1855" s="212" t="s">
        <v>831</v>
      </c>
      <c r="Q1855" s="19">
        <v>40</v>
      </c>
      <c r="R1855" s="15">
        <f>Q1855/I1855</f>
        <v>0.2</v>
      </c>
      <c r="S1855" s="5">
        <f>($AC1855*$AD1855)/(($Z1855/$Y1855)+($AA1855/$Z1855)+($AB1855/$AA1855))</f>
        <v>55.03292568203198</v>
      </c>
      <c r="U1855" s="109" t="s">
        <v>219</v>
      </c>
      <c r="V1855" s="205" t="s">
        <v>651</v>
      </c>
      <c r="W1855" s="218" t="s">
        <v>652</v>
      </c>
      <c r="Y1855" s="2">
        <v>2.5</v>
      </c>
      <c r="Z1855" s="2">
        <v>6.5</v>
      </c>
      <c r="AA1855" s="2">
        <v>20</v>
      </c>
      <c r="AB1855" s="2">
        <v>50</v>
      </c>
      <c r="AC1855" s="2">
        <v>30</v>
      </c>
      <c r="AD1855" s="2">
        <v>15</v>
      </c>
      <c r="AE1855" s="2">
        <f>AC1855*AD1855</f>
        <v>450</v>
      </c>
      <c r="AF1855" s="2">
        <f>Z1855/Y1855</f>
        <v>2.6</v>
      </c>
      <c r="AG1855" s="2">
        <f>AA1855/Z1855</f>
        <v>3.0769230769230771</v>
      </c>
      <c r="AH1855" s="2">
        <f>AB1855/AA1855</f>
        <v>2.5</v>
      </c>
    </row>
    <row r="1856" spans="1:34">
      <c r="A1856" s="68" t="s">
        <v>357</v>
      </c>
      <c r="B1856" s="68" t="s">
        <v>358</v>
      </c>
      <c r="C1856" s="48">
        <v>46230</v>
      </c>
      <c r="D1856" s="42">
        <v>0.45833333333333331</v>
      </c>
      <c r="E1856" s="8">
        <v>108</v>
      </c>
      <c r="F1856" s="63" t="s">
        <v>1099</v>
      </c>
      <c r="G1856" s="2">
        <v>2</v>
      </c>
      <c r="H1856" s="2">
        <v>9</v>
      </c>
      <c r="I1856" s="125">
        <v>600</v>
      </c>
      <c r="J1856" s="2" t="s">
        <v>766</v>
      </c>
      <c r="K1856" s="137" t="s">
        <v>598</v>
      </c>
      <c r="L1856" s="89">
        <v>40000</v>
      </c>
      <c r="M1856" s="202">
        <v>40</v>
      </c>
      <c r="N1856" s="39" t="s">
        <v>48</v>
      </c>
      <c r="O1856" s="39" t="s">
        <v>49</v>
      </c>
      <c r="P1856" s="212" t="s">
        <v>839</v>
      </c>
      <c r="Q1856" s="19">
        <v>95</v>
      </c>
      <c r="R1856" s="15">
        <f>Q1856/I1856</f>
        <v>0.15833333333333333</v>
      </c>
      <c r="S1856" s="5">
        <f>($AC1856*$AD1856)/(($Z1856/$Y1856)+($AA1856/$Z1856)+($AB1856/$AA1856))</f>
        <v>102.59605399792316</v>
      </c>
      <c r="U1856" s="109" t="s">
        <v>767</v>
      </c>
      <c r="V1856" s="205" t="s">
        <v>650</v>
      </c>
      <c r="W1856" s="205"/>
      <c r="Y1856" s="2">
        <v>2</v>
      </c>
      <c r="Z1856" s="2">
        <v>5</v>
      </c>
      <c r="AA1856" s="2">
        <v>13</v>
      </c>
      <c r="AB1856" s="2">
        <v>30</v>
      </c>
      <c r="AC1856" s="2">
        <v>40</v>
      </c>
      <c r="AD1856" s="2">
        <v>19</v>
      </c>
      <c r="AE1856" s="2">
        <f>AC1856*AD1856</f>
        <v>760</v>
      </c>
      <c r="AF1856" s="2">
        <f>Z1856/Y1856</f>
        <v>2.5</v>
      </c>
      <c r="AG1856" s="2">
        <f>AA1856/Z1856</f>
        <v>2.6</v>
      </c>
      <c r="AH1856" s="2">
        <f>AB1856/AA1856</f>
        <v>2.3076923076923075</v>
      </c>
    </row>
    <row r="1857" spans="1:34">
      <c r="A1857" s="68" t="s">
        <v>357</v>
      </c>
      <c r="B1857" s="68" t="s">
        <v>358</v>
      </c>
      <c r="C1857" s="48">
        <v>46230</v>
      </c>
      <c r="D1857" s="42">
        <v>0.46527777777777779</v>
      </c>
      <c r="E1857" s="8">
        <v>113</v>
      </c>
      <c r="F1857" s="63" t="s">
        <v>346</v>
      </c>
      <c r="G1857" s="2">
        <v>2</v>
      </c>
      <c r="H1857" s="2">
        <v>9</v>
      </c>
      <c r="I1857" s="125">
        <v>400</v>
      </c>
      <c r="J1857" s="2" t="s">
        <v>766</v>
      </c>
      <c r="K1857" s="137" t="s">
        <v>602</v>
      </c>
      <c r="L1857" s="89">
        <v>40000</v>
      </c>
      <c r="M1857" s="247" t="s">
        <v>22</v>
      </c>
      <c r="N1857" s="39" t="s">
        <v>48</v>
      </c>
      <c r="O1857" s="39" t="s">
        <v>49</v>
      </c>
      <c r="P1857" s="135" t="s">
        <v>840</v>
      </c>
      <c r="Q1857" s="19">
        <v>70</v>
      </c>
      <c r="R1857" s="15">
        <f>Q1857/I1857</f>
        <v>0.17499999999999999</v>
      </c>
      <c r="S1857" s="5">
        <f>($AC1857*$AD1857)/(($Z1857/$Y1857)+($AA1857/$Z1857)+($AB1857/$AA1857))</f>
        <v>76.947040498442377</v>
      </c>
      <c r="U1857" s="109" t="s">
        <v>767</v>
      </c>
      <c r="V1857" s="71" t="s">
        <v>710</v>
      </c>
      <c r="W1857" s="220" t="s">
        <v>392</v>
      </c>
      <c r="Y1857" s="2">
        <v>2</v>
      </c>
      <c r="Z1857" s="2">
        <v>5</v>
      </c>
      <c r="AA1857" s="2">
        <v>13</v>
      </c>
      <c r="AB1857" s="2">
        <v>30</v>
      </c>
      <c r="AC1857" s="2">
        <v>19</v>
      </c>
      <c r="AD1857" s="2">
        <v>30</v>
      </c>
      <c r="AE1857" s="2">
        <f>AC1857*AD1857</f>
        <v>570</v>
      </c>
      <c r="AF1857" s="2">
        <f>Z1857/Y1857</f>
        <v>2.5</v>
      </c>
      <c r="AG1857" s="2">
        <f>AA1857/Z1857</f>
        <v>2.6</v>
      </c>
      <c r="AH1857" s="2">
        <f>AB1857/AA1857</f>
        <v>2.3076923076923075</v>
      </c>
    </row>
    <row r="1858" spans="1:34">
      <c r="A1858" s="68" t="s">
        <v>357</v>
      </c>
      <c r="B1858" s="68" t="s">
        <v>358</v>
      </c>
      <c r="C1858" s="48">
        <v>46230</v>
      </c>
      <c r="D1858" s="42">
        <v>0.75694444444444442</v>
      </c>
      <c r="E1858" s="8">
        <v>114</v>
      </c>
      <c r="F1858" s="63" t="s">
        <v>278</v>
      </c>
      <c r="G1858" s="2">
        <v>1</v>
      </c>
      <c r="H1858" s="2">
        <v>9</v>
      </c>
      <c r="I1858" s="125">
        <v>200</v>
      </c>
      <c r="J1858" s="2" t="s">
        <v>766</v>
      </c>
      <c r="K1858" s="137" t="s">
        <v>603</v>
      </c>
      <c r="L1858" s="89">
        <v>25000</v>
      </c>
      <c r="M1858" s="202">
        <v>30</v>
      </c>
      <c r="N1858" s="39" t="s">
        <v>48</v>
      </c>
      <c r="O1858" s="39" t="s">
        <v>49</v>
      </c>
      <c r="P1858" s="212" t="s">
        <v>831</v>
      </c>
      <c r="Q1858" s="19">
        <v>40</v>
      </c>
      <c r="R1858" s="15">
        <f>Q1858/I1858</f>
        <v>0.2</v>
      </c>
      <c r="S1858" s="5">
        <f>($AC1858*$AD1858)/(($Z1858/$Y1858)+($AA1858/$Z1858)+($AB1858/$AA1858))</f>
        <v>55.03292568203198</v>
      </c>
      <c r="U1858" s="109" t="s">
        <v>219</v>
      </c>
      <c r="V1858" s="205" t="s">
        <v>651</v>
      </c>
      <c r="W1858" s="218" t="s">
        <v>652</v>
      </c>
      <c r="Y1858" s="2">
        <v>2.5</v>
      </c>
      <c r="Z1858" s="2">
        <v>6.5</v>
      </c>
      <c r="AA1858" s="2">
        <v>20</v>
      </c>
      <c r="AB1858" s="2">
        <v>50</v>
      </c>
      <c r="AC1858" s="2">
        <v>30</v>
      </c>
      <c r="AD1858" s="2">
        <v>15</v>
      </c>
      <c r="AE1858" s="2">
        <f>AC1858*AD1858</f>
        <v>450</v>
      </c>
      <c r="AF1858" s="2">
        <f>Z1858/Y1858</f>
        <v>2.6</v>
      </c>
      <c r="AG1858" s="2">
        <f>AA1858/Z1858</f>
        <v>3.0769230769230771</v>
      </c>
      <c r="AH1858" s="2">
        <f>AB1858/AA1858</f>
        <v>2.5</v>
      </c>
    </row>
    <row r="1859" spans="1:34">
      <c r="A1859" s="68" t="s">
        <v>357</v>
      </c>
      <c r="B1859" s="68" t="s">
        <v>358</v>
      </c>
      <c r="C1859" s="191">
        <v>46231</v>
      </c>
      <c r="D1859" s="42">
        <v>0.46527777777777779</v>
      </c>
      <c r="E1859" s="194">
        <v>113</v>
      </c>
      <c r="F1859" s="197" t="s">
        <v>347</v>
      </c>
      <c r="G1859" s="2">
        <v>2</v>
      </c>
      <c r="H1859" s="2">
        <v>9</v>
      </c>
      <c r="I1859" s="126">
        <v>400</v>
      </c>
      <c r="J1859" s="2" t="s">
        <v>766</v>
      </c>
      <c r="K1859" s="137" t="s">
        <v>602</v>
      </c>
      <c r="L1859" s="89">
        <v>40000</v>
      </c>
      <c r="M1859" s="247" t="s">
        <v>22</v>
      </c>
      <c r="N1859" s="39" t="s">
        <v>48</v>
      </c>
      <c r="O1859" s="39" t="s">
        <v>49</v>
      </c>
      <c r="P1859" s="211" t="s">
        <v>840</v>
      </c>
      <c r="Q1859" s="19">
        <v>70</v>
      </c>
      <c r="R1859" s="15">
        <f>Q1859/I1859</f>
        <v>0.17499999999999999</v>
      </c>
      <c r="S1859" s="5">
        <f>($AC1859*$AD1859)/(($Z1859/$Y1859)+($AA1859/$Z1859)+($AB1859/$AA1859))</f>
        <v>76.947040498442377</v>
      </c>
      <c r="U1859" s="109" t="s">
        <v>767</v>
      </c>
      <c r="V1859" s="205" t="s">
        <v>710</v>
      </c>
      <c r="W1859" s="220" t="s">
        <v>392</v>
      </c>
      <c r="Y1859" s="2">
        <v>2</v>
      </c>
      <c r="Z1859" s="2">
        <v>5</v>
      </c>
      <c r="AA1859" s="2">
        <v>13</v>
      </c>
      <c r="AB1859" s="2">
        <v>30</v>
      </c>
      <c r="AC1859" s="2">
        <v>19</v>
      </c>
      <c r="AD1859" s="2">
        <v>30</v>
      </c>
      <c r="AE1859" s="2">
        <f>AC1859*AD1859</f>
        <v>570</v>
      </c>
      <c r="AF1859" s="2">
        <f>Z1859/Y1859</f>
        <v>2.5</v>
      </c>
      <c r="AG1859" s="2">
        <f>AA1859/Z1859</f>
        <v>2.6</v>
      </c>
      <c r="AH1859" s="2">
        <f>AB1859/AA1859</f>
        <v>2.3076923076923075</v>
      </c>
    </row>
    <row r="1860" spans="1:34">
      <c r="A1860" s="68" t="s">
        <v>357</v>
      </c>
      <c r="B1860" s="68" t="s">
        <v>358</v>
      </c>
      <c r="C1860" s="40">
        <v>46231</v>
      </c>
      <c r="D1860" s="42">
        <v>0.75694444444444442</v>
      </c>
      <c r="E1860" s="8">
        <v>115</v>
      </c>
      <c r="F1860" s="197" t="s">
        <v>278</v>
      </c>
      <c r="G1860" s="2">
        <v>1</v>
      </c>
      <c r="H1860" s="2">
        <v>9</v>
      </c>
      <c r="I1860" s="125">
        <v>200</v>
      </c>
      <c r="J1860" s="2" t="s">
        <v>766</v>
      </c>
      <c r="K1860" s="137" t="s">
        <v>603</v>
      </c>
      <c r="L1860" s="89">
        <v>25000</v>
      </c>
      <c r="M1860" s="202">
        <v>30</v>
      </c>
      <c r="N1860" s="39" t="s">
        <v>48</v>
      </c>
      <c r="O1860" s="39" t="s">
        <v>49</v>
      </c>
      <c r="P1860" s="212" t="s">
        <v>831</v>
      </c>
      <c r="Q1860" s="19">
        <v>40</v>
      </c>
      <c r="R1860" s="15">
        <f>Q1860/I1860</f>
        <v>0.2</v>
      </c>
      <c r="S1860" s="5">
        <f>($AC1860*$AD1860)/(($Z1860/$Y1860)+($AA1860/$Z1860)+($AB1860/$AA1860))</f>
        <v>55.03292568203198</v>
      </c>
      <c r="U1860" s="109" t="s">
        <v>219</v>
      </c>
      <c r="V1860" s="205" t="s">
        <v>651</v>
      </c>
      <c r="W1860" s="218" t="s">
        <v>652</v>
      </c>
      <c r="Y1860" s="2">
        <v>2.5</v>
      </c>
      <c r="Z1860" s="2">
        <v>6.5</v>
      </c>
      <c r="AA1860" s="2">
        <v>20</v>
      </c>
      <c r="AB1860" s="2">
        <v>50</v>
      </c>
      <c r="AC1860" s="2">
        <v>30</v>
      </c>
      <c r="AD1860" s="2">
        <v>15</v>
      </c>
      <c r="AE1860" s="2">
        <f>AC1860*AD1860</f>
        <v>450</v>
      </c>
      <c r="AF1860" s="2">
        <f>Z1860/Y1860</f>
        <v>2.6</v>
      </c>
      <c r="AG1860" s="2">
        <f>AA1860/Z1860</f>
        <v>3.0769230769230771</v>
      </c>
      <c r="AH1860" s="2">
        <f>AB1860/AA1860</f>
        <v>2.5</v>
      </c>
    </row>
    <row r="1861" spans="1:34">
      <c r="A1861" s="68" t="s">
        <v>357</v>
      </c>
      <c r="B1861" s="68" t="s">
        <v>358</v>
      </c>
      <c r="C1861" s="48">
        <v>46232</v>
      </c>
      <c r="D1861" s="42">
        <v>0.46527777777777779</v>
      </c>
      <c r="E1861" s="8">
        <v>113</v>
      </c>
      <c r="F1861" s="63" t="s">
        <v>348</v>
      </c>
      <c r="G1861" s="2">
        <v>2</v>
      </c>
      <c r="H1861" s="2">
        <v>9</v>
      </c>
      <c r="I1861" s="125">
        <v>400</v>
      </c>
      <c r="J1861" s="2" t="s">
        <v>766</v>
      </c>
      <c r="K1861" s="137" t="s">
        <v>602</v>
      </c>
      <c r="L1861" s="89">
        <v>40000</v>
      </c>
      <c r="M1861" s="247" t="s">
        <v>22</v>
      </c>
      <c r="N1861" s="39" t="s">
        <v>48</v>
      </c>
      <c r="O1861" s="39" t="s">
        <v>49</v>
      </c>
      <c r="P1861" s="135" t="s">
        <v>840</v>
      </c>
      <c r="Q1861" s="19">
        <v>70</v>
      </c>
      <c r="R1861" s="15">
        <f>Q1861/I1861</f>
        <v>0.17499999999999999</v>
      </c>
      <c r="S1861" s="5">
        <f>($AC1861*$AD1861)/(($Z1861/$Y1861)+($AA1861/$Z1861)+($AB1861/$AA1861))</f>
        <v>76.947040498442377</v>
      </c>
      <c r="U1861" s="109" t="s">
        <v>767</v>
      </c>
      <c r="V1861" s="205" t="s">
        <v>710</v>
      </c>
      <c r="W1861" s="220" t="s">
        <v>392</v>
      </c>
      <c r="Y1861" s="2">
        <v>2</v>
      </c>
      <c r="Z1861" s="2">
        <v>5</v>
      </c>
      <c r="AA1861" s="2">
        <v>13</v>
      </c>
      <c r="AB1861" s="2">
        <v>30</v>
      </c>
      <c r="AC1861" s="2">
        <v>19</v>
      </c>
      <c r="AD1861" s="2">
        <v>30</v>
      </c>
      <c r="AE1861" s="2">
        <f>AC1861*AD1861</f>
        <v>570</v>
      </c>
      <c r="AF1861" s="2">
        <f>Z1861/Y1861</f>
        <v>2.5</v>
      </c>
      <c r="AG1861" s="2">
        <f>AA1861/Z1861</f>
        <v>2.6</v>
      </c>
      <c r="AH1861" s="2">
        <f>AB1861/AA1861</f>
        <v>2.3076923076923075</v>
      </c>
    </row>
    <row r="1862" spans="1:34">
      <c r="A1862" s="68" t="s">
        <v>357</v>
      </c>
      <c r="B1862" s="68" t="s">
        <v>358</v>
      </c>
      <c r="C1862" s="40">
        <v>46232</v>
      </c>
      <c r="D1862" s="42">
        <v>0.75694444444444442</v>
      </c>
      <c r="E1862" s="8">
        <v>116</v>
      </c>
      <c r="F1862" s="63" t="s">
        <v>278</v>
      </c>
      <c r="G1862" s="2">
        <v>1</v>
      </c>
      <c r="H1862" s="2">
        <v>9</v>
      </c>
      <c r="I1862" s="125">
        <v>200</v>
      </c>
      <c r="J1862" s="2" t="s">
        <v>766</v>
      </c>
      <c r="K1862" s="137" t="s">
        <v>603</v>
      </c>
      <c r="L1862" s="89">
        <v>25000</v>
      </c>
      <c r="M1862" s="202">
        <v>30</v>
      </c>
      <c r="N1862" s="39" t="s">
        <v>48</v>
      </c>
      <c r="O1862" s="39" t="s">
        <v>49</v>
      </c>
      <c r="P1862" s="212" t="s">
        <v>831</v>
      </c>
      <c r="Q1862" s="19">
        <v>40</v>
      </c>
      <c r="R1862" s="15">
        <f>Q1862/I1862</f>
        <v>0.2</v>
      </c>
      <c r="S1862" s="5">
        <f>($AC1862*$AD1862)/(($Z1862/$Y1862)+($AA1862/$Z1862)+($AB1862/$AA1862))</f>
        <v>55.03292568203198</v>
      </c>
      <c r="U1862" s="109" t="s">
        <v>219</v>
      </c>
      <c r="V1862" s="205" t="s">
        <v>651</v>
      </c>
      <c r="W1862" s="218" t="s">
        <v>652</v>
      </c>
      <c r="Y1862" s="2">
        <v>2.5</v>
      </c>
      <c r="Z1862" s="2">
        <v>6.5</v>
      </c>
      <c r="AA1862" s="2">
        <v>20</v>
      </c>
      <c r="AB1862" s="2">
        <v>50</v>
      </c>
      <c r="AC1862" s="2">
        <v>30</v>
      </c>
      <c r="AD1862" s="2">
        <v>15</v>
      </c>
      <c r="AE1862" s="2">
        <f>AC1862*AD1862</f>
        <v>450</v>
      </c>
      <c r="AF1862" s="2">
        <f>Z1862/Y1862</f>
        <v>2.6</v>
      </c>
      <c r="AG1862" s="2">
        <f>AA1862/Z1862</f>
        <v>3.0769230769230771</v>
      </c>
      <c r="AH1862" s="2">
        <f>AB1862/AA1862</f>
        <v>2.5</v>
      </c>
    </row>
    <row r="1863" spans="1:34">
      <c r="A1863" s="68" t="s">
        <v>357</v>
      </c>
      <c r="B1863" s="68" t="s">
        <v>358</v>
      </c>
      <c r="C1863" s="48">
        <v>46233</v>
      </c>
      <c r="D1863" s="42">
        <v>0.46527777777777779</v>
      </c>
      <c r="E1863" s="8">
        <v>113</v>
      </c>
      <c r="F1863" s="63" t="s">
        <v>349</v>
      </c>
      <c r="G1863" s="2">
        <v>2</v>
      </c>
      <c r="H1863" s="2">
        <v>9</v>
      </c>
      <c r="I1863" s="125">
        <v>400</v>
      </c>
      <c r="J1863" s="2" t="s">
        <v>766</v>
      </c>
      <c r="K1863" s="137" t="s">
        <v>602</v>
      </c>
      <c r="L1863" s="89">
        <v>40000</v>
      </c>
      <c r="M1863" s="247" t="s">
        <v>22</v>
      </c>
      <c r="N1863" s="39" t="s">
        <v>48</v>
      </c>
      <c r="O1863" s="39" t="s">
        <v>49</v>
      </c>
      <c r="P1863" s="135" t="s">
        <v>840</v>
      </c>
      <c r="Q1863" s="19">
        <v>70</v>
      </c>
      <c r="R1863" s="15">
        <f>Q1863/I1863</f>
        <v>0.17499999999999999</v>
      </c>
      <c r="S1863" s="5">
        <f>($AC1863*$AD1863)/(($Z1863/$Y1863)+($AA1863/$Z1863)+($AB1863/$AA1863))</f>
        <v>76.947040498442377</v>
      </c>
      <c r="U1863" s="109" t="s">
        <v>767</v>
      </c>
      <c r="V1863" s="205" t="s">
        <v>710</v>
      </c>
      <c r="W1863" s="220" t="s">
        <v>392</v>
      </c>
      <c r="Y1863" s="2">
        <v>2</v>
      </c>
      <c r="Z1863" s="2">
        <v>5</v>
      </c>
      <c r="AA1863" s="2">
        <v>13</v>
      </c>
      <c r="AB1863" s="2">
        <v>30</v>
      </c>
      <c r="AC1863" s="2">
        <v>19</v>
      </c>
      <c r="AD1863" s="2">
        <v>30</v>
      </c>
      <c r="AE1863" s="2">
        <f>AC1863*AD1863</f>
        <v>570</v>
      </c>
      <c r="AF1863" s="2">
        <f>Z1863/Y1863</f>
        <v>2.5</v>
      </c>
      <c r="AG1863" s="2">
        <f>AA1863/Z1863</f>
        <v>2.6</v>
      </c>
      <c r="AH1863" s="2">
        <f>AB1863/AA1863</f>
        <v>2.3076923076923075</v>
      </c>
    </row>
    <row r="1864" spans="1:34">
      <c r="A1864" s="68" t="s">
        <v>357</v>
      </c>
      <c r="B1864" s="68" t="s">
        <v>358</v>
      </c>
      <c r="C1864" s="40">
        <v>46233</v>
      </c>
      <c r="D1864" s="42">
        <v>0.75694444444444442</v>
      </c>
      <c r="E1864" s="8">
        <v>117</v>
      </c>
      <c r="F1864" s="63" t="s">
        <v>278</v>
      </c>
      <c r="G1864" s="2">
        <v>1</v>
      </c>
      <c r="H1864" s="2">
        <v>9</v>
      </c>
      <c r="I1864" s="125">
        <v>200</v>
      </c>
      <c r="J1864" s="2" t="s">
        <v>766</v>
      </c>
      <c r="K1864" s="137" t="s">
        <v>603</v>
      </c>
      <c r="L1864" s="89">
        <v>25000</v>
      </c>
      <c r="M1864" s="202">
        <v>30</v>
      </c>
      <c r="N1864" s="39" t="s">
        <v>48</v>
      </c>
      <c r="O1864" s="39" t="s">
        <v>49</v>
      </c>
      <c r="P1864" s="212" t="s">
        <v>831</v>
      </c>
      <c r="Q1864" s="19">
        <v>40</v>
      </c>
      <c r="R1864" s="15">
        <f>Q1864/I1864</f>
        <v>0.2</v>
      </c>
      <c r="S1864" s="5">
        <f>($AC1864*$AD1864)/(($Z1864/$Y1864)+($AA1864/$Z1864)+($AB1864/$AA1864))</f>
        <v>55.03292568203198</v>
      </c>
      <c r="U1864" s="109" t="s">
        <v>219</v>
      </c>
      <c r="V1864" s="205" t="s">
        <v>651</v>
      </c>
      <c r="W1864" s="218" t="s">
        <v>652</v>
      </c>
      <c r="Y1864" s="2">
        <v>2.5</v>
      </c>
      <c r="Z1864" s="2">
        <v>6.5</v>
      </c>
      <c r="AA1864" s="2">
        <v>20</v>
      </c>
      <c r="AB1864" s="2">
        <v>50</v>
      </c>
      <c r="AC1864" s="2">
        <v>30</v>
      </c>
      <c r="AD1864" s="2">
        <v>15</v>
      </c>
      <c r="AE1864" s="2">
        <f>AC1864*AD1864</f>
        <v>450</v>
      </c>
      <c r="AF1864" s="2">
        <f>Z1864/Y1864</f>
        <v>2.6</v>
      </c>
      <c r="AG1864" s="2">
        <f>AA1864/Z1864</f>
        <v>3.0769230769230771</v>
      </c>
      <c r="AH1864" s="2">
        <f>AB1864/AA1864</f>
        <v>2.5</v>
      </c>
    </row>
    <row r="1865" spans="1:34">
      <c r="A1865" s="68" t="s">
        <v>357</v>
      </c>
      <c r="B1865" s="68" t="s">
        <v>358</v>
      </c>
      <c r="C1865" s="48">
        <v>46234</v>
      </c>
      <c r="D1865" s="42">
        <v>0.46527777777777779</v>
      </c>
      <c r="E1865" s="8">
        <v>113</v>
      </c>
      <c r="F1865" s="63" t="s">
        <v>350</v>
      </c>
      <c r="G1865" s="2">
        <v>2</v>
      </c>
      <c r="H1865" s="2">
        <v>9</v>
      </c>
      <c r="I1865" s="125">
        <v>400</v>
      </c>
      <c r="J1865" s="2" t="s">
        <v>766</v>
      </c>
      <c r="K1865" s="137" t="s">
        <v>602</v>
      </c>
      <c r="L1865" s="89">
        <v>40000</v>
      </c>
      <c r="M1865" s="247" t="s">
        <v>22</v>
      </c>
      <c r="N1865" s="39" t="s">
        <v>48</v>
      </c>
      <c r="O1865" s="39" t="s">
        <v>49</v>
      </c>
      <c r="P1865" s="135" t="s">
        <v>840</v>
      </c>
      <c r="Q1865" s="19">
        <v>70</v>
      </c>
      <c r="R1865" s="15">
        <f>Q1865/I1865</f>
        <v>0.17499999999999999</v>
      </c>
      <c r="S1865" s="5">
        <f>($AC1865*$AD1865)/(($Z1865/$Y1865)+($AA1865/$Z1865)+($AB1865/$AA1865))</f>
        <v>76.947040498442377</v>
      </c>
      <c r="U1865" s="109" t="s">
        <v>767</v>
      </c>
      <c r="V1865" s="205" t="s">
        <v>710</v>
      </c>
      <c r="W1865" s="220" t="s">
        <v>392</v>
      </c>
      <c r="Y1865" s="2">
        <v>2</v>
      </c>
      <c r="Z1865" s="2">
        <v>5</v>
      </c>
      <c r="AA1865" s="2">
        <v>13</v>
      </c>
      <c r="AB1865" s="2">
        <v>30</v>
      </c>
      <c r="AC1865" s="2">
        <v>19</v>
      </c>
      <c r="AD1865" s="2">
        <v>30</v>
      </c>
      <c r="AE1865" s="2">
        <f>AC1865*AD1865</f>
        <v>570</v>
      </c>
      <c r="AF1865" s="2">
        <f>Z1865/Y1865</f>
        <v>2.5</v>
      </c>
      <c r="AG1865" s="2">
        <f>AA1865/Z1865</f>
        <v>2.6</v>
      </c>
      <c r="AH1865" s="2">
        <f>AB1865/AA1865</f>
        <v>2.3076923076923075</v>
      </c>
    </row>
    <row r="1866" spans="1:34">
      <c r="A1866" s="68" t="s">
        <v>357</v>
      </c>
      <c r="B1866" s="68" t="s">
        <v>358</v>
      </c>
      <c r="C1866" s="40">
        <v>46234</v>
      </c>
      <c r="D1866" s="42">
        <v>0.75694444444444442</v>
      </c>
      <c r="E1866" s="8">
        <v>118</v>
      </c>
      <c r="F1866" s="63" t="s">
        <v>278</v>
      </c>
      <c r="G1866" s="2">
        <v>1</v>
      </c>
      <c r="H1866" s="2">
        <v>9</v>
      </c>
      <c r="I1866" s="125">
        <v>200</v>
      </c>
      <c r="J1866" s="2" t="s">
        <v>766</v>
      </c>
      <c r="K1866" s="137" t="s">
        <v>603</v>
      </c>
      <c r="L1866" s="89">
        <v>25000</v>
      </c>
      <c r="M1866" s="202">
        <v>30</v>
      </c>
      <c r="N1866" s="39" t="s">
        <v>48</v>
      </c>
      <c r="O1866" s="39" t="s">
        <v>49</v>
      </c>
      <c r="P1866" s="212" t="s">
        <v>831</v>
      </c>
      <c r="Q1866" s="19">
        <v>40</v>
      </c>
      <c r="R1866" s="15">
        <f>Q1866/I1866</f>
        <v>0.2</v>
      </c>
      <c r="S1866" s="5">
        <f>($AC1866*$AD1866)/(($Z1866/$Y1866)+($AA1866/$Z1866)+($AB1866/$AA1866))</f>
        <v>55.03292568203198</v>
      </c>
      <c r="U1866" s="109" t="s">
        <v>219</v>
      </c>
      <c r="V1866" s="205" t="s">
        <v>651</v>
      </c>
      <c r="W1866" s="218" t="s">
        <v>652</v>
      </c>
      <c r="Y1866" s="2">
        <v>2.5</v>
      </c>
      <c r="Z1866" s="2">
        <v>6.5</v>
      </c>
      <c r="AA1866" s="2">
        <v>20</v>
      </c>
      <c r="AB1866" s="2">
        <v>50</v>
      </c>
      <c r="AC1866" s="2">
        <v>30</v>
      </c>
      <c r="AD1866" s="2">
        <v>15</v>
      </c>
      <c r="AE1866" s="2">
        <f>AC1866*AD1866</f>
        <v>450</v>
      </c>
      <c r="AF1866" s="2">
        <f>Z1866/Y1866</f>
        <v>2.6</v>
      </c>
      <c r="AG1866" s="2">
        <f>AA1866/Z1866</f>
        <v>3.0769230769230771</v>
      </c>
      <c r="AH1866" s="2">
        <f>AB1866/AA1866</f>
        <v>2.5</v>
      </c>
    </row>
    <row r="1867" spans="1:34">
      <c r="A1867" s="68" t="s">
        <v>357</v>
      </c>
      <c r="B1867" s="68" t="s">
        <v>358</v>
      </c>
      <c r="C1867" s="48">
        <v>46235</v>
      </c>
      <c r="D1867" s="42">
        <v>0.46527777777777779</v>
      </c>
      <c r="E1867" s="8">
        <v>113</v>
      </c>
      <c r="F1867" s="63" t="s">
        <v>351</v>
      </c>
      <c r="G1867" s="2">
        <v>2</v>
      </c>
      <c r="H1867" s="2">
        <v>9</v>
      </c>
      <c r="I1867" s="125">
        <v>400</v>
      </c>
      <c r="J1867" s="2" t="s">
        <v>766</v>
      </c>
      <c r="K1867" s="137" t="s">
        <v>602</v>
      </c>
      <c r="L1867" s="89">
        <v>40000</v>
      </c>
      <c r="M1867" s="247" t="s">
        <v>22</v>
      </c>
      <c r="N1867" s="39" t="s">
        <v>48</v>
      </c>
      <c r="O1867" s="39" t="s">
        <v>49</v>
      </c>
      <c r="P1867" s="135" t="s">
        <v>840</v>
      </c>
      <c r="Q1867" s="19">
        <v>70</v>
      </c>
      <c r="R1867" s="15">
        <f>Q1867/I1867</f>
        <v>0.17499999999999999</v>
      </c>
      <c r="S1867" s="5">
        <f>($AC1867*$AD1867)/(($Z1867/$Y1867)+($AA1867/$Z1867)+($AB1867/$AA1867))</f>
        <v>76.947040498442377</v>
      </c>
      <c r="U1867" s="109" t="s">
        <v>767</v>
      </c>
      <c r="V1867" s="205" t="s">
        <v>710</v>
      </c>
      <c r="W1867" s="220" t="s">
        <v>392</v>
      </c>
      <c r="Y1867" s="2">
        <v>2</v>
      </c>
      <c r="Z1867" s="2">
        <v>5</v>
      </c>
      <c r="AA1867" s="2">
        <v>13</v>
      </c>
      <c r="AB1867" s="2">
        <v>30</v>
      </c>
      <c r="AC1867" s="2">
        <v>19</v>
      </c>
      <c r="AD1867" s="2">
        <v>30</v>
      </c>
      <c r="AE1867" s="2">
        <f>AC1867*AD1867</f>
        <v>570</v>
      </c>
      <c r="AF1867" s="2">
        <f>Z1867/Y1867</f>
        <v>2.5</v>
      </c>
      <c r="AG1867" s="2">
        <f>AA1867/Z1867</f>
        <v>2.6</v>
      </c>
      <c r="AH1867" s="2">
        <f>AB1867/AA1867</f>
        <v>2.3076923076923075</v>
      </c>
    </row>
    <row r="1868" spans="1:34">
      <c r="A1868" s="68" t="s">
        <v>357</v>
      </c>
      <c r="B1868" s="68" t="s">
        <v>358</v>
      </c>
      <c r="C1868" s="48">
        <v>46235</v>
      </c>
      <c r="D1868" s="42">
        <v>0.75694444444444442</v>
      </c>
      <c r="E1868" s="8">
        <v>119</v>
      </c>
      <c r="F1868" s="63" t="s">
        <v>278</v>
      </c>
      <c r="G1868" s="2">
        <v>1</v>
      </c>
      <c r="H1868" s="2">
        <v>9</v>
      </c>
      <c r="I1868" s="125">
        <v>200</v>
      </c>
      <c r="J1868" s="2" t="s">
        <v>766</v>
      </c>
      <c r="K1868" s="137" t="s">
        <v>603</v>
      </c>
      <c r="L1868" s="89">
        <v>25000</v>
      </c>
      <c r="M1868" s="202">
        <v>30</v>
      </c>
      <c r="N1868" s="39" t="s">
        <v>48</v>
      </c>
      <c r="O1868" s="39" t="s">
        <v>49</v>
      </c>
      <c r="P1868" s="212" t="s">
        <v>831</v>
      </c>
      <c r="Q1868" s="19">
        <v>40</v>
      </c>
      <c r="R1868" s="15">
        <f>Q1868/I1868</f>
        <v>0.2</v>
      </c>
      <c r="S1868" s="5">
        <f>($AC1868*$AD1868)/(($Z1868/$Y1868)+($AA1868/$Z1868)+($AB1868/$AA1868))</f>
        <v>55.03292568203198</v>
      </c>
      <c r="U1868" s="109" t="s">
        <v>219</v>
      </c>
      <c r="V1868" s="205" t="s">
        <v>651</v>
      </c>
      <c r="W1868" s="218" t="s">
        <v>652</v>
      </c>
      <c r="Y1868" s="2">
        <v>2.5</v>
      </c>
      <c r="Z1868" s="2">
        <v>6.5</v>
      </c>
      <c r="AA1868" s="2">
        <v>20</v>
      </c>
      <c r="AB1868" s="2">
        <v>50</v>
      </c>
      <c r="AC1868" s="2">
        <v>30</v>
      </c>
      <c r="AD1868" s="2">
        <v>15</v>
      </c>
      <c r="AE1868" s="2">
        <f>AC1868*AD1868</f>
        <v>450</v>
      </c>
      <c r="AF1868" s="2">
        <f>Z1868/Y1868</f>
        <v>2.6</v>
      </c>
      <c r="AG1868" s="2">
        <f>AA1868/Z1868</f>
        <v>3.0769230769230771</v>
      </c>
      <c r="AH1868" s="2">
        <f>AB1868/AA1868</f>
        <v>2.5</v>
      </c>
    </row>
    <row r="1869" spans="1:34">
      <c r="A1869" s="68" t="s">
        <v>357</v>
      </c>
      <c r="B1869" s="68" t="s">
        <v>358</v>
      </c>
      <c r="C1869" s="163">
        <v>46236</v>
      </c>
      <c r="D1869" s="42">
        <v>0.46527777777777779</v>
      </c>
      <c r="E1869" s="8">
        <v>120</v>
      </c>
      <c r="F1869" s="63" t="s">
        <v>352</v>
      </c>
      <c r="G1869" s="2">
        <v>1</v>
      </c>
      <c r="H1869" s="2">
        <v>9</v>
      </c>
      <c r="I1869" s="125">
        <v>400</v>
      </c>
      <c r="J1869" s="2" t="s">
        <v>766</v>
      </c>
      <c r="K1869" s="137" t="s">
        <v>815</v>
      </c>
      <c r="L1869" s="89">
        <v>30000</v>
      </c>
      <c r="M1869" s="202">
        <v>30</v>
      </c>
      <c r="N1869" s="39" t="s">
        <v>48</v>
      </c>
      <c r="O1869" s="39" t="s">
        <v>49</v>
      </c>
      <c r="P1869" s="212" t="s">
        <v>833</v>
      </c>
      <c r="Q1869" s="19">
        <v>65</v>
      </c>
      <c r="R1869" s="15">
        <f>Q1869/I1869</f>
        <v>0.16250000000000001</v>
      </c>
      <c r="S1869" s="5">
        <f>($AC1869*$AD1869)/(($Z1869/$Y1869)+($AA1869/$Z1869)+($AB1869/$AA1869))</f>
        <v>67.332430602572785</v>
      </c>
      <c r="U1869" s="109" t="s">
        <v>767</v>
      </c>
      <c r="V1869" s="205" t="s">
        <v>711</v>
      </c>
      <c r="W1869" s="205"/>
      <c r="Y1869" s="2">
        <v>2.5</v>
      </c>
      <c r="Z1869" s="2">
        <v>6.5</v>
      </c>
      <c r="AA1869" s="2">
        <v>15</v>
      </c>
      <c r="AB1869" s="2">
        <v>40</v>
      </c>
      <c r="AC1869" s="2">
        <v>30</v>
      </c>
      <c r="AD1869" s="2">
        <v>17</v>
      </c>
      <c r="AE1869" s="2">
        <f>AC1869*AD1869</f>
        <v>510</v>
      </c>
      <c r="AF1869" s="2">
        <f>Z1869/Y1869</f>
        <v>2.6</v>
      </c>
      <c r="AG1869" s="2">
        <f>AA1869/Z1869</f>
        <v>2.3076923076923075</v>
      </c>
      <c r="AH1869" s="2">
        <f>AB1869/AA1869</f>
        <v>2.6666666666666665</v>
      </c>
    </row>
    <row r="1870" spans="1:34">
      <c r="A1870" s="68" t="s">
        <v>357</v>
      </c>
      <c r="B1870" s="68" t="s">
        <v>358</v>
      </c>
      <c r="C1870" s="48">
        <v>46236</v>
      </c>
      <c r="D1870" s="42">
        <v>0.5</v>
      </c>
      <c r="E1870" s="8">
        <v>113</v>
      </c>
      <c r="F1870" s="63" t="s">
        <v>1380</v>
      </c>
      <c r="G1870" s="2">
        <v>2</v>
      </c>
      <c r="H1870" s="2">
        <v>9</v>
      </c>
      <c r="I1870" s="125">
        <v>400</v>
      </c>
      <c r="J1870" s="2" t="s">
        <v>766</v>
      </c>
      <c r="K1870" s="137" t="s">
        <v>602</v>
      </c>
      <c r="L1870" s="89">
        <v>40000</v>
      </c>
      <c r="M1870" s="247" t="s">
        <v>22</v>
      </c>
      <c r="N1870" s="39" t="s">
        <v>48</v>
      </c>
      <c r="O1870" s="39" t="s">
        <v>49</v>
      </c>
      <c r="P1870" s="135" t="s">
        <v>840</v>
      </c>
      <c r="Q1870" s="19">
        <v>70</v>
      </c>
      <c r="R1870" s="15">
        <f>Q1870/I1870</f>
        <v>0.17499999999999999</v>
      </c>
      <c r="S1870" s="5">
        <f>($AC1870*$AD1870)/(($Z1870/$Y1870)+($AA1870/$Z1870)+($AB1870/$AA1870))</f>
        <v>76.947040498442377</v>
      </c>
      <c r="U1870" s="109" t="s">
        <v>767</v>
      </c>
      <c r="V1870" s="205" t="s">
        <v>710</v>
      </c>
      <c r="W1870" s="220" t="s">
        <v>392</v>
      </c>
      <c r="Y1870" s="2">
        <v>2</v>
      </c>
      <c r="Z1870" s="2">
        <v>5</v>
      </c>
      <c r="AA1870" s="2">
        <v>13</v>
      </c>
      <c r="AB1870" s="2">
        <v>30</v>
      </c>
      <c r="AC1870" s="2">
        <v>19</v>
      </c>
      <c r="AD1870" s="2">
        <v>30</v>
      </c>
      <c r="AE1870" s="2">
        <f>AC1870*AD1870</f>
        <v>570</v>
      </c>
      <c r="AF1870" s="2">
        <f>Z1870/Y1870</f>
        <v>2.5</v>
      </c>
      <c r="AG1870" s="2">
        <f>AA1870/Z1870</f>
        <v>2.6</v>
      </c>
      <c r="AH1870" s="2">
        <f>AB1870/AA1870</f>
        <v>2.3076923076923075</v>
      </c>
    </row>
    <row r="1871" spans="1:34">
      <c r="A1871" s="68" t="s">
        <v>357</v>
      </c>
      <c r="B1871" s="68" t="s">
        <v>358</v>
      </c>
      <c r="C1871" s="40">
        <v>46236</v>
      </c>
      <c r="D1871" s="42">
        <v>0.75694444444444442</v>
      </c>
      <c r="E1871" s="8">
        <v>121</v>
      </c>
      <c r="F1871" s="63" t="s">
        <v>278</v>
      </c>
      <c r="G1871" s="2">
        <v>1</v>
      </c>
      <c r="H1871" s="2">
        <v>9</v>
      </c>
      <c r="I1871" s="125">
        <v>200</v>
      </c>
      <c r="J1871" s="2" t="s">
        <v>766</v>
      </c>
      <c r="K1871" s="137" t="s">
        <v>603</v>
      </c>
      <c r="L1871" s="89">
        <v>25000</v>
      </c>
      <c r="M1871" s="54">
        <v>30</v>
      </c>
      <c r="N1871" s="39" t="s">
        <v>48</v>
      </c>
      <c r="O1871" s="39" t="s">
        <v>49</v>
      </c>
      <c r="P1871" s="212" t="s">
        <v>831</v>
      </c>
      <c r="Q1871" s="19">
        <v>40</v>
      </c>
      <c r="R1871" s="15">
        <f>Q1871/I1871</f>
        <v>0.2</v>
      </c>
      <c r="S1871" s="5">
        <f>($AC1871*$AD1871)/(($Z1871/$Y1871)+($AA1871/$Z1871)+($AB1871/$AA1871))</f>
        <v>55.03292568203198</v>
      </c>
      <c r="U1871" s="109" t="s">
        <v>219</v>
      </c>
      <c r="V1871" s="205" t="s">
        <v>651</v>
      </c>
      <c r="W1871" s="218" t="s">
        <v>652</v>
      </c>
      <c r="Y1871" s="2">
        <v>2.5</v>
      </c>
      <c r="Z1871" s="2">
        <v>6.5</v>
      </c>
      <c r="AA1871" s="2">
        <v>20</v>
      </c>
      <c r="AB1871" s="2">
        <v>50</v>
      </c>
      <c r="AC1871" s="2">
        <v>30</v>
      </c>
      <c r="AD1871" s="2">
        <v>15</v>
      </c>
      <c r="AE1871" s="2">
        <f>AC1871*AD1871</f>
        <v>450</v>
      </c>
      <c r="AF1871" s="2">
        <f>Z1871/Y1871</f>
        <v>2.6</v>
      </c>
      <c r="AG1871" s="2">
        <f>AA1871/Z1871</f>
        <v>3.0769230769230771</v>
      </c>
      <c r="AH1871" s="2">
        <f>AB1871/AA1871</f>
        <v>2.5</v>
      </c>
    </row>
    <row r="1872" spans="1:34">
      <c r="A1872" s="186"/>
      <c r="B1872" s="186"/>
    </row>
    <row r="1873" spans="1:2">
      <c r="A1873" s="186"/>
      <c r="B1873" s="186"/>
    </row>
    <row r="1874" spans="1:2">
      <c r="A1874" s="186"/>
      <c r="B1874" s="186"/>
    </row>
    <row r="1875" spans="1:2">
      <c r="A1875" s="186"/>
      <c r="B1875" s="186"/>
    </row>
    <row r="1048334" spans="11:11">
      <c r="K1048334" s="56"/>
    </row>
  </sheetData>
  <autoFilter ref="A1:AH1" xr:uid="{793CA6F2-57C1-4EE4-908F-0C420D2AD6F5}">
    <sortState xmlns:xlrd2="http://schemas.microsoft.com/office/spreadsheetml/2017/richdata2" ref="A2:AH1871">
      <sortCondition ref="C1"/>
    </sortState>
  </autoFilter>
  <hyperlinks>
    <hyperlink ref="V81" r:id="rId1" xr:uid="{712F5240-74C8-42C6-89B4-1AF3119C25D4}"/>
    <hyperlink ref="V85" r:id="rId2" xr:uid="{8A0B65B6-311D-482B-82A6-2F7EE49D661E}"/>
    <hyperlink ref="V92" r:id="rId3" xr:uid="{CA63D91C-5521-4D21-8494-8CF1DBC10DB5}"/>
    <hyperlink ref="V106" r:id="rId4" xr:uid="{A67C4B76-CD6A-49AA-95C4-BAFAF569A48D}"/>
    <hyperlink ref="V118" r:id="rId5" xr:uid="{36C1FF30-538B-47A8-94B4-1D010E65CD3B}"/>
    <hyperlink ref="V123" r:id="rId6" xr:uid="{F16EBB9E-8AB0-4B3C-A996-37B14CFD014C}"/>
    <hyperlink ref="V136" r:id="rId7" xr:uid="{897D8337-FEA6-402F-92CE-B4C0E7FFC4F9}"/>
    <hyperlink ref="V168" r:id="rId8" xr:uid="{2862DE63-85EA-4626-A336-E1FA4446111C}"/>
    <hyperlink ref="V171" r:id="rId9" xr:uid="{6D5ABD52-A17C-4FA5-9F8E-0E5C64212720}"/>
    <hyperlink ref="V181" r:id="rId10" xr:uid="{1F1591F7-58B8-4CB3-B19F-5BDCA01E2285}"/>
    <hyperlink ref="V200" r:id="rId11" xr:uid="{4DCFB22F-09B1-42D2-AD8D-19B1D636B8C1}"/>
    <hyperlink ref="V203" r:id="rId12" xr:uid="{64CC7FF0-5DAD-430C-B035-00AE02BF45AC}"/>
    <hyperlink ref="V211" r:id="rId13" xr:uid="{E1569477-D750-4436-B92B-F76BE8ADA190}"/>
    <hyperlink ref="V227" r:id="rId14" xr:uid="{EB6F636C-3E13-49D2-A5CB-BED34D9A9731}"/>
    <hyperlink ref="V230" r:id="rId15" xr:uid="{D6152AA9-723D-4E6E-BCBD-1CAFDD412574}"/>
    <hyperlink ref="V237" r:id="rId16" xr:uid="{3BB69E6C-D718-46AC-8550-F72BCFACCEB0}"/>
    <hyperlink ref="V253" r:id="rId17" xr:uid="{B6300402-18DA-4B67-A468-7377CB4D29C4}"/>
    <hyperlink ref="V257" r:id="rId18" xr:uid="{6082F004-97E8-42A8-B9F7-0DED47501AFC}"/>
    <hyperlink ref="V265" r:id="rId19" xr:uid="{70C9AE3B-CDDA-4404-AB81-B16F4E1D86A4}"/>
    <hyperlink ref="V118:V119" r:id="rId20" display="https://wsop.gg-global-cdn.com/wsop/2ae8b531-6bbc-453f-a211-5bae2385aec4.pdf" xr:uid="{3350B3A8-F0F7-4570-9105-8538DA86976A}"/>
    <hyperlink ref="V286" r:id="rId21" xr:uid="{C6B49600-2654-4354-9959-14FDB1091E3D}"/>
    <hyperlink ref="V295" r:id="rId22" xr:uid="{9AD55998-B98F-4FE9-8E34-A7522DE0E674}"/>
    <hyperlink ref="V316" r:id="rId23" xr:uid="{92B46DD5-0440-4A58-9030-A51B974CD62B}"/>
    <hyperlink ref="V161:V162" r:id="rId24" display="https://wsop.gg-global-cdn.com/wsop/2ae8b531-6bbc-453f-a211-5bae2385aec4.pdf" xr:uid="{39975FE0-216A-45AF-9B36-72FFFCB26962}"/>
    <hyperlink ref="V330" r:id="rId25" xr:uid="{F7A11F95-9171-463F-B6ED-74DF1B882D10}"/>
    <hyperlink ref="V339" r:id="rId26" xr:uid="{A87739A0-D1BE-4F04-B8AE-AD6CCECD7352}"/>
    <hyperlink ref="V351" r:id="rId27" xr:uid="{6529D556-DE7E-4BE7-B325-3BA4B2742CFD}"/>
    <hyperlink ref="V356" r:id="rId28" xr:uid="{9A677B8F-927F-4EC7-A5F1-3F53145080E5}"/>
    <hyperlink ref="V367" r:id="rId29" xr:uid="{4A96B884-9B93-4FDD-A4B7-2D4C151F1CF9}"/>
    <hyperlink ref="V388" r:id="rId30" xr:uid="{4CD4F1B7-3366-46FB-9E43-81809AD87A99}"/>
    <hyperlink ref="V391" r:id="rId31" xr:uid="{AB6ACE71-A366-484F-902F-4401E7B6B2B9}"/>
    <hyperlink ref="V402" r:id="rId32" xr:uid="{0CF466C1-4897-499D-A5E1-09D8E4B2A507}"/>
    <hyperlink ref="V421" r:id="rId33" xr:uid="{3EB164CF-2B05-4509-9A98-6BEDE5041921}"/>
    <hyperlink ref="V425" r:id="rId34" xr:uid="{D828AEF5-F47B-4C14-80CE-476AD23B63B4}"/>
    <hyperlink ref="V435" r:id="rId35" xr:uid="{F4F36B17-7D36-40FA-A43D-156EACBAC0AF}"/>
    <hyperlink ref="V285" r:id="rId36" xr:uid="{7A83DBE2-5AF0-4C13-B099-12A3A7B48466}"/>
    <hyperlink ref="V845" r:id="rId37" xr:uid="{1A4CF112-8174-4438-8B87-57719C46C753}"/>
    <hyperlink ref="V537" r:id="rId38" xr:uid="{BAA3C2FB-EE1C-4693-919F-023DD9ACC633}"/>
    <hyperlink ref="V434:V435" r:id="rId39" display="https://wsop.gg-global-cdn.com/wsop/2ae8b531-6bbc-453f-a211-5bae2385aec4.pdf" xr:uid="{72A23343-4B17-4074-84A2-7950019C0C5E}"/>
    <hyperlink ref="V860" r:id="rId40" xr:uid="{8919A51A-440E-4BBB-8D52-4609DB371D43}"/>
    <hyperlink ref="V868" r:id="rId41" xr:uid="{5B180561-8055-4C82-887A-D3E89BD73A21}"/>
    <hyperlink ref="V882" r:id="rId42" xr:uid="{1BE748F8-D6D7-4064-82D6-877EEDACB418}"/>
    <hyperlink ref="V888" r:id="rId43" xr:uid="{118D3CFF-0AE6-4508-9882-0811F3681484}"/>
    <hyperlink ref="V900" r:id="rId44" xr:uid="{AF742700-CA73-4C10-B684-4F36E3D1943D}"/>
    <hyperlink ref="V926" r:id="rId45" xr:uid="{D38B067C-0603-4EFE-98E1-A7B03D1C34A8}"/>
    <hyperlink ref="V930" r:id="rId46" xr:uid="{6EEB14A6-64D8-4D4C-ACEC-2E9AF757D472}"/>
    <hyperlink ref="V940" r:id="rId47" xr:uid="{D089B1C6-E33F-4D4C-9114-9D5727285626}"/>
    <hyperlink ref="V965" r:id="rId48" xr:uid="{083B650C-5571-44A0-9A83-4F512C00CD6D}"/>
    <hyperlink ref="V970" r:id="rId49" xr:uid="{66FE976F-B763-411D-ABD9-049909EDA1F8}"/>
    <hyperlink ref="V982" r:id="rId50" xr:uid="{C293A568-51B9-40BD-AA49-D44AFCB7E559}"/>
    <hyperlink ref="V1004" r:id="rId51" xr:uid="{A08FD7C5-A144-40F8-A0F2-2E1D8503DDB2}"/>
    <hyperlink ref="V1008" r:id="rId52" xr:uid="{2A759B78-FA0F-4A94-94EB-528E10D20B74}"/>
    <hyperlink ref="V1017" r:id="rId53" xr:uid="{6D80196B-7AF4-447C-ABD3-C33B32B32B31}"/>
    <hyperlink ref="V1041" r:id="rId54" xr:uid="{83562B4B-BDAC-4AB3-B71B-5A48197AB7F2}"/>
    <hyperlink ref="V1045" r:id="rId55" xr:uid="{EB05CA91-770B-4DF0-9D79-AA1551F71C69}"/>
    <hyperlink ref="V1055" r:id="rId56" xr:uid="{4E278AC5-4277-41E3-A836-E98ECC90545D}"/>
    <hyperlink ref="V1079" r:id="rId57" xr:uid="{A2D2B491-D4F1-45D9-AB00-BF67473E495B}"/>
    <hyperlink ref="V812" r:id="rId58" xr:uid="{35F95E6D-BBF0-4981-BA00-7ABECAF28D4B}"/>
    <hyperlink ref="V1086" r:id="rId59" xr:uid="{F374C06F-7B5A-45FC-BDF0-B78AFE3044DD}"/>
    <hyperlink ref="V1087" r:id="rId60" xr:uid="{BD0B14F6-C0EB-4AB2-A849-8C200D701A03}"/>
    <hyperlink ref="V1096" r:id="rId61" xr:uid="{515D327F-473D-480D-B070-0B41002D11F1}"/>
    <hyperlink ref="V1121" r:id="rId62" xr:uid="{12E01A87-447D-4B6C-B119-85951B2DB773}"/>
    <hyperlink ref="V593:V594" r:id="rId63" display="https://wsop.gg-global-cdn.com/wsop/2ae8b531-6bbc-453f-a211-5bae2385aec4.pdf" xr:uid="{D7ACC7E8-FF5C-4026-BC66-5C27D7A6DA52}"/>
    <hyperlink ref="V1135" r:id="rId64" xr:uid="{C88E2B71-758A-4544-A1F2-C4A193E4337D}"/>
    <hyperlink ref="V1145" r:id="rId65" xr:uid="{E22C7F57-379B-4D0C-9525-3938B0FE76A6}"/>
    <hyperlink ref="V1158" r:id="rId66" xr:uid="{8A8BA289-4EF5-443B-B975-1D5EDE976E59}"/>
    <hyperlink ref="V1164" r:id="rId67" xr:uid="{FC021BFD-A14E-4241-A2A1-162BEE39774C}"/>
    <hyperlink ref="V1174" r:id="rId68" xr:uid="{23245C09-26FF-4AFC-9C9B-E6BFA16FDC64}"/>
    <hyperlink ref="V1200" r:id="rId69" xr:uid="{2CD0505C-8104-412C-ACD1-43AFE4A1945D}"/>
    <hyperlink ref="V1205" r:id="rId70" xr:uid="{1069E986-9279-40B0-A804-A7FF84ED6DF7}"/>
    <hyperlink ref="V1215" r:id="rId71" xr:uid="{CAEB7FD4-EC63-4D03-AD1E-21977D6BFD85}"/>
    <hyperlink ref="V1237" r:id="rId72" xr:uid="{369550E4-AC1F-44CB-814A-3986FB3AC9A0}"/>
    <hyperlink ref="V1243" r:id="rId73" xr:uid="{A19F24FE-366A-413C-99C5-CCCD55E7BEF3}"/>
    <hyperlink ref="V1254" r:id="rId74" xr:uid="{90753731-548C-4323-AD6D-B813F450A5BB}"/>
    <hyperlink ref="V1274" r:id="rId75" xr:uid="{66F3BD24-D2A0-4E84-AECF-DCA9B2A50B1A}"/>
    <hyperlink ref="V1278" r:id="rId76" xr:uid="{621E9B89-EE33-4635-B42A-527DD85370AB}"/>
    <hyperlink ref="V1289" r:id="rId77" xr:uid="{CF5A48EB-3E57-4BFB-8D0E-4031EB72376D}"/>
    <hyperlink ref="V1309" r:id="rId78" xr:uid="{BC3B8E5C-EF6E-4258-B9CC-85C0C5DDD07C}"/>
    <hyperlink ref="V1314" r:id="rId79" xr:uid="{47754EAD-6849-4C28-945A-A2E86A2DDE4C}"/>
    <hyperlink ref="V1325" r:id="rId80" xr:uid="{AA6726F2-C597-4C17-BAF6-2BE393C7BA82}"/>
    <hyperlink ref="V1344" r:id="rId81" xr:uid="{9B801D40-3304-4C8A-85B5-6B477E074474}"/>
    <hyperlink ref="V1350" r:id="rId82" xr:uid="{F64047C3-48FD-4E76-94E6-DFF29CF2D5C0}"/>
    <hyperlink ref="V1359" r:id="rId83" xr:uid="{801B5DF2-6769-4432-A499-C001A1CED5E3}"/>
    <hyperlink ref="V1381" r:id="rId84" xr:uid="{19E3C037-74C4-41E3-9689-8EA619D71C9E}"/>
    <hyperlink ref="V748:V750" r:id="rId85" display="https://wsop.gg-global-cdn.com/wsop/2ae8b531-6bbc-453f-a211-5bae2385aec4.pdf" xr:uid="{75B389E0-BA99-4FF2-B07E-8A7023147365}"/>
    <hyperlink ref="V1411" r:id="rId86" xr:uid="{D7D92F0C-2252-4603-BE5D-3143BBD1CC7E}"/>
    <hyperlink ref="V1422" r:id="rId87" xr:uid="{753717FE-7E81-4BF1-9BA9-8041DDF372F7}"/>
    <hyperlink ref="V1459" r:id="rId88" xr:uid="{6A72BEFC-5058-430F-9AA3-7C648BBFEF42}"/>
    <hyperlink ref="V1494" r:id="rId89" xr:uid="{26D758FA-BB1F-4181-A985-B6A04200E4A5}"/>
    <hyperlink ref="V1527" r:id="rId90" xr:uid="{D4EBFDDB-71E4-494F-8201-E11AA5AB22E2}"/>
    <hyperlink ref="V1558" r:id="rId91" xr:uid="{57A41F38-BF3B-438F-8F7D-A760AD67B91C}"/>
    <hyperlink ref="V1589" r:id="rId92" xr:uid="{06E7965D-2018-4EEE-BFEA-92D20B1EB042}"/>
    <hyperlink ref="V1597" r:id="rId93" xr:uid="{48478DF2-9A2F-4D64-98E0-3058E6AA1A99}"/>
    <hyperlink ref="V1606" r:id="rId94" xr:uid="{928B00E9-072A-4DD0-B80E-5117233C1FB5}"/>
    <hyperlink ref="V1623" r:id="rId95" xr:uid="{48F1D4D2-DD20-436D-A42F-5FCED6578891}"/>
    <hyperlink ref="V1009:V1010" r:id="rId96" display="https://wsop.gg-global-cdn.com/wsop/2ae8b531-6bbc-453f-a211-5bae2385aec4.pdf" xr:uid="{3E8BCF1F-B43A-4A90-922C-FEF8437CC760}"/>
    <hyperlink ref="V1637" r:id="rId97" xr:uid="{747D0765-435D-47D2-BA54-B81EB63EC644}"/>
    <hyperlink ref="V1644" r:id="rId98" xr:uid="{863F263C-4274-43F3-9126-4EE55EC03DE1}"/>
    <hyperlink ref="V1654" r:id="rId99" xr:uid="{FC4D20D0-729C-4C9B-BB43-AF5A73CFA6BE}"/>
    <hyperlink ref="V1667" r:id="rId100" xr:uid="{F81726E1-0281-4C3C-9844-B75D1AF30A99}"/>
    <hyperlink ref="V1684" r:id="rId101" xr:uid="{722DD3F0-3B87-4EE6-A597-AA314FDF02A6}"/>
    <hyperlink ref="V1054:V1055" r:id="rId102" display="https://wsop.gg-global-cdn.com/wsop/2ae8b531-6bbc-453f-a211-5bae2385aec4.pdf" xr:uid="{9098B4A4-FCAC-424F-A97E-4C14F1F8238A}"/>
    <hyperlink ref="V1694" r:id="rId103" xr:uid="{6D610D2A-6907-4FE8-ABFA-3F6EB32A8ACB}"/>
    <hyperlink ref="V1709" r:id="rId104" xr:uid="{7E56120C-23B9-4315-A4AE-1A75D9218EDB}"/>
    <hyperlink ref="V1712" r:id="rId105" xr:uid="{0B158850-5E58-4684-AD39-35B1F707C4B8}"/>
    <hyperlink ref="V1720" r:id="rId106" xr:uid="{AFE0D53A-FEB4-4183-82B3-77D524381102}"/>
    <hyperlink ref="V1737" r:id="rId107" xr:uid="{5224BC7D-AABA-4848-804A-FD9C327A28D6}"/>
    <hyperlink ref="V1740" r:id="rId108" xr:uid="{7F3A5698-4B22-4C20-B844-8D315D920B0E}"/>
    <hyperlink ref="V1747" r:id="rId109" xr:uid="{534BA2C1-62AB-4632-AAE6-520B17ABE555}"/>
    <hyperlink ref="V1761" r:id="rId110" xr:uid="{8FE0876F-E711-4F7F-846F-1AAC0372B75C}"/>
    <hyperlink ref="V457" r:id="rId111" xr:uid="{1B9A3C2F-A984-49B2-B3C5-80CA534ECFE1}"/>
    <hyperlink ref="V462" r:id="rId112" xr:uid="{04FFCFDB-806A-4C6C-8C2C-E975087D68A3}"/>
    <hyperlink ref="V471" r:id="rId113" xr:uid="{A9BC3F38-EEDB-4520-8BDE-9E7B49D8C96F}"/>
    <hyperlink ref="V494" r:id="rId114" xr:uid="{14B273FD-6393-4ECE-809E-07B67DA6CA48}"/>
    <hyperlink ref="V498" r:id="rId115" xr:uid="{2809E5B0-9B9A-4287-A13E-186C55DDA344}"/>
    <hyperlink ref="V508" r:id="rId116" xr:uid="{48A64114-5C57-472A-AC0A-88D497318B24}"/>
    <hyperlink ref="V534" r:id="rId117" xr:uid="{DCCDF90C-B469-4480-B671-2FCBCCABE8E7}"/>
    <hyperlink ref="V539" r:id="rId118" xr:uid="{361A9083-B4F3-42A5-9281-23BA9C1E9977}"/>
    <hyperlink ref="V550" r:id="rId119" xr:uid="{FCDFB6B0-F589-4444-B41A-D386C9BDA929}"/>
    <hyperlink ref="V573" r:id="rId120" xr:uid="{D74AF217-FA71-417A-8204-EEFB674B8823}"/>
    <hyperlink ref="V576" r:id="rId121" xr:uid="{D02BBCB5-BB9C-4A44-BC30-E14C72EABB65}"/>
    <hyperlink ref="V586" r:id="rId122" xr:uid="{388E8F48-E5D8-4168-ACB5-A7713232A727}"/>
    <hyperlink ref="V614" r:id="rId123" xr:uid="{0BAC7693-4BEC-4C57-A53E-14D86731EB92}"/>
    <hyperlink ref="V620" r:id="rId124" xr:uid="{07F47ACF-6E62-4F2F-BB3A-2F34ACB96C2B}"/>
    <hyperlink ref="V630" r:id="rId125" xr:uid="{04AFD69C-0CBF-4FC9-9BAB-BF5E3E14BEFA}"/>
    <hyperlink ref="V654" r:id="rId126" xr:uid="{F364DCEF-6AB8-4A09-88E1-370DBAD4C47D}"/>
    <hyperlink ref="V658" r:id="rId127" xr:uid="{18E2D49D-F1BD-4B85-8E19-FB315BA89FD2}"/>
    <hyperlink ref="V670" r:id="rId128" xr:uid="{30FD4A33-398C-4713-A40D-0002B1F388A7}"/>
    <hyperlink ref="V695" r:id="rId129" xr:uid="{8E9E2D07-DAE2-4B0F-B049-9A04DFCF378B}"/>
    <hyperlink ref="V698" r:id="rId130" xr:uid="{0F97BC77-AAF0-433D-A1BF-926C2918FCF4}"/>
    <hyperlink ref="V708" r:id="rId131" xr:uid="{F584A558-35DB-4728-AD60-0667ED762B40}"/>
    <hyperlink ref="V731" r:id="rId132" xr:uid="{34C72B28-B769-4B2E-88B5-37531CB5292D}"/>
    <hyperlink ref="V736" r:id="rId133" xr:uid="{0D4E7090-B332-4460-900B-223D4F621A17}"/>
    <hyperlink ref="V744" r:id="rId134" xr:uid="{AFE0172F-E49E-41EE-B016-93FAE93946CA}"/>
    <hyperlink ref="V768" r:id="rId135" xr:uid="{A04025BD-4E2E-49FD-8384-3ADE07F960AD}"/>
    <hyperlink ref="V773" r:id="rId136" xr:uid="{3EA8DC47-9482-4274-A868-43FE5D29885A}"/>
    <hyperlink ref="V782" r:id="rId137" xr:uid="{FF9A31B4-33C8-4565-A4D7-2CF8A14CA6EB}"/>
    <hyperlink ref="V807" r:id="rId138" xr:uid="{93331188-38E0-41ED-9173-196CDFF19DCB}"/>
    <hyperlink ref="V814" r:id="rId139" xr:uid="{AA328A4A-D979-489A-AD49-CD8286211752}"/>
    <hyperlink ref="V824" r:id="rId140" xr:uid="{D15FD0F8-7372-4613-8D9F-B07AEDBAB6C2}"/>
    <hyperlink ref="V162" r:id="rId141" xr:uid="{C7BD27E2-1964-4BFA-9DF4-95EAD8015F5E}"/>
    <hyperlink ref="V78" r:id="rId142" xr:uid="{0298F0C3-C23C-44B0-94B7-63483EA65F10}"/>
    <hyperlink ref="V102" r:id="rId143" xr:uid="{5F5DA721-9F17-4BE1-9233-A53038DDD98D}"/>
    <hyperlink ref="V129" r:id="rId144" xr:uid="{0C68A65A-C52D-4968-8591-A1A614D2672C}"/>
    <hyperlink ref="V194" r:id="rId145" xr:uid="{72542DDF-0E1B-4AC6-9815-8285B3CB5C11}"/>
    <hyperlink ref="V288" r:id="rId146" xr:uid="{7F065724-18A5-4EF7-8A54-52F688D6ECD2}"/>
    <hyperlink ref="V323" r:id="rId147" xr:uid="{01215264-7F61-40C1-89D7-4DDC05945719}"/>
    <hyperlink ref="V394" r:id="rId148" xr:uid="{621C0C4E-78AA-442C-A2C7-BF5C8CB47048}"/>
    <hyperlink ref="V317" r:id="rId149" xr:uid="{FAE1224A-56A5-488F-B203-554868E95A5A}"/>
    <hyperlink ref="V538" r:id="rId150" xr:uid="{DBE09715-119C-41C5-B17F-855A4BFE12D9}"/>
    <hyperlink ref="V541" r:id="rId151" xr:uid="{CD57B60A-CDDD-4033-A9AC-A94AF6C3D754}"/>
    <hyperlink ref="V569" r:id="rId152" xr:uid="{3E473B2A-C3D5-45B0-828C-AA5E18EE5CEC}"/>
    <hyperlink ref="V609" r:id="rId153" xr:uid="{E12E0EB6-492F-40EF-BC07-D6673F432151}"/>
    <hyperlink ref="V649" r:id="rId154" xr:uid="{E7160B38-FFA7-46EF-807A-0D25DDC2D2EF}"/>
    <hyperlink ref="V735" r:id="rId155" xr:uid="{21F2E068-266A-4E00-83F7-0C3A7A8C3077}"/>
    <hyperlink ref="V738" r:id="rId156" xr:uid="{C603386B-7E55-4BFD-A657-36CF52E0D5EA}"/>
    <hyperlink ref="V772" r:id="rId157" xr:uid="{DC13AF94-6A7B-448D-B0BD-4F2DE151A3FD}"/>
    <hyperlink ref="V775" r:id="rId158" xr:uid="{70F81142-46B4-4B37-9E09-86037E32462E}"/>
    <hyperlink ref="V887" r:id="rId159" xr:uid="{38CE039C-7EB4-4520-8E3A-C406BF108B8C}"/>
    <hyperlink ref="V891" r:id="rId160" xr:uid="{29B86151-302D-4810-B88E-BBD249C06EE9}"/>
    <hyperlink ref="V929" r:id="rId161" xr:uid="{28A61BB9-27CC-4AD2-8E8B-86380915BB5F}"/>
    <hyperlink ref="V932" r:id="rId162" xr:uid="{0D6E4CE2-C4A0-4FA8-84C8-3AA8A8F0CECE}"/>
    <hyperlink ref="V968" r:id="rId163" xr:uid="{DDD694CC-3A9F-4042-B563-E47C550F36A9}"/>
    <hyperlink ref="V973" r:id="rId164" xr:uid="{B19D5E10-33A2-4901-8253-E4DCB846FEA5}"/>
    <hyperlink ref="V1035" r:id="rId165" xr:uid="{32D3E1B2-2D70-4012-9E79-0FA71F96C135}"/>
    <hyperlink ref="V1044" r:id="rId166" xr:uid="{E15A7128-45EE-4E9D-BEA9-9FB129A387B3}"/>
    <hyperlink ref="V1047" r:id="rId167" xr:uid="{6EF175AB-88E7-47DB-BE7F-603CF8878A7E}"/>
    <hyperlink ref="V1070" r:id="rId168" xr:uid="{B7CEC25C-D585-4411-94A0-219FF6C13775}"/>
    <hyperlink ref="V1085" r:id="rId169" xr:uid="{0946B243-D946-424B-AF72-83775A7419F5}"/>
    <hyperlink ref="V1113" r:id="rId170" xr:uid="{4EE3F414-0E1B-4F3A-98BD-7787C61380E9}"/>
    <hyperlink ref="V1124" r:id="rId171" xr:uid="{8BBA9D34-B0DA-4F0F-8904-AFB41821EBB5}"/>
    <hyperlink ref="V1153" r:id="rId172" xr:uid="{E446E48B-BBEA-4847-93F5-8F5106BCAE28}"/>
    <hyperlink ref="V1163" r:id="rId173" xr:uid="{27DC8CEF-BB00-484A-B8F8-374B4EF1AA7E}"/>
    <hyperlink ref="V1194" r:id="rId174" xr:uid="{920A9E83-4A5A-454A-A72A-30020F3F62EE}"/>
    <hyperlink ref="V1204" r:id="rId175" xr:uid="{1C548D01-E172-449B-9367-F36005042EF1}"/>
    <hyperlink ref="V1231" r:id="rId176" xr:uid="{8997A387-D5D6-4CD1-B82E-32D0AAF061F8}"/>
    <hyperlink ref="V1242" r:id="rId177" xr:uid="{A807DBA4-541E-46B0-9583-C9DB0127A915}"/>
    <hyperlink ref="V1305" r:id="rId178" xr:uid="{57BCB412-BB5B-476F-A989-FB46E781CF03}"/>
    <hyperlink ref="V1312" r:id="rId179" xr:uid="{6663D614-A410-4951-B34B-B160C35FADB9}"/>
    <hyperlink ref="V1318" r:id="rId180" xr:uid="{B16AF13E-8CE2-465C-AB5D-EDE73BCC3A82}"/>
    <hyperlink ref="V1586" r:id="rId181" xr:uid="{61377241-85BB-4F64-822B-7075BD32C123}"/>
    <hyperlink ref="V1619" r:id="rId182" xr:uid="{086B4696-3AAC-4F9D-8D51-10D60692C96F}"/>
    <hyperlink ref="V1630" r:id="rId183" xr:uid="{BABC3375-BCE9-4B08-B26F-A0978A13F431}"/>
    <hyperlink ref="V1651" r:id="rId184" xr:uid="{FF571F79-BAC9-4CED-A39F-5A6AA3BB250A}"/>
    <hyperlink ref="V1680" r:id="rId185" xr:uid="{7EBB63E8-845B-4160-A811-FD0D95147AF9}"/>
    <hyperlink ref="V1741" r:id="rId186" xr:uid="{E1C035B1-989E-4556-B2C4-C209031E489B}"/>
    <hyperlink ref="V84" r:id="rId187" xr:uid="{FCA215F4-5ABD-415D-B318-4EEA741DA37D}"/>
    <hyperlink ref="V141" r:id="rId188" xr:uid="{9C0EDB0C-DD65-4896-8602-CC348A28207F}"/>
    <hyperlink ref="V173" r:id="rId189" xr:uid="{E8A1C236-A28A-4AD5-AA0B-167E0923C796}"/>
    <hyperlink ref="V461" r:id="rId190" xr:uid="{ABD560B2-FF01-4E1A-A34D-EF9C60CF7A63}"/>
    <hyperlink ref="V1659" r:id="rId191" xr:uid="{2AC963DF-15D2-418C-9FDA-78DDC9CFC1CE}"/>
    <hyperlink ref="V655" r:id="rId192" xr:uid="{2CFF0A7C-A2AE-4896-AA00-A78182BA61E3}"/>
    <hyperlink ref="V661" r:id="rId193" xr:uid="{A243D623-51F7-4174-B336-879EC2D9027F}"/>
    <hyperlink ref="V1367" r:id="rId194" display="https://wsop.gg-global-cdn.com/wsop/cc005520-f61f-427d-955f-f92a9e4c1051.pdf" xr:uid="{E995292B-70BE-4328-840E-AE6EBE71DD12}"/>
    <hyperlink ref="V1408" r:id="rId195" display="https://wsop.gg-global-cdn.com/wsop/cc005520-f61f-427d-955f-f92a9e4c1051.pdf" xr:uid="{A1F63D94-B98D-4810-BF48-F722B088AB61}"/>
    <hyperlink ref="V1447" r:id="rId196" display="https://wsop.gg-global-cdn.com/wsop/cc005520-f61f-427d-955f-f92a9e4c1051.pdf" xr:uid="{FC17A24E-114D-4E13-8395-0C15BC61CA6B}"/>
    <hyperlink ref="V1483" r:id="rId197" display="https://wsop.gg-global-cdn.com/wsop/cc005520-f61f-427d-955f-f92a9e4c1051.pdf" xr:uid="{CE550FD2-226C-445B-A688-82DD3B203E06}"/>
    <hyperlink ref="V1517" r:id="rId198" display="https://wsop.gg-global-cdn.com/wsop/cc005520-f61f-427d-955f-f92a9e4c1051.pdf" xr:uid="{10FFE94E-1460-4105-A224-D838D4F9CCFD}"/>
    <hyperlink ref="V1547" r:id="rId199" display="https://wsop.gg-global-cdn.com/wsop/cc005520-f61f-427d-955f-f92a9e4c1051.pdf" xr:uid="{4CCB42AC-85A2-4045-BE6A-CE5F56A59224}"/>
    <hyperlink ref="V1083" r:id="rId200" xr:uid="{5AFF6852-0665-4F0E-A133-8D72F5576F02}"/>
    <hyperlink ref="V1348" r:id="rId201" xr:uid="{6CF51606-9DBB-482E-B712-7597C7471C50}"/>
    <hyperlink ref="V1594" r:id="rId202" xr:uid="{D7E26319-E381-4F28-A5F2-35F80EE21C57}"/>
    <hyperlink ref="V599" r:id="rId203" xr:uid="{520D213B-7448-4035-BACE-4CA02B531D54}"/>
    <hyperlink ref="V852" r:id="rId204" xr:uid="{CB24D765-A44C-4095-9EB5-41F8713F327B}"/>
    <hyperlink ref="V303" r:id="rId205" xr:uid="{3063A527-DF5E-4BF6-8B34-DDCB3403C8CD}"/>
    <hyperlink ref="V12" r:id="rId206" xr:uid="{93DBD732-48B0-4913-B517-24FCA89C21A5}"/>
    <hyperlink ref="V16" r:id="rId207" xr:uid="{A85CA7C8-F397-44E2-93CF-06A82363143A}"/>
    <hyperlink ref="V21" r:id="rId208" xr:uid="{CE5B9DEC-9954-4D5B-B248-856743811DC5}"/>
    <hyperlink ref="V24" r:id="rId209" xr:uid="{FD63CE41-69ED-496B-8C18-648713B28D5F}"/>
    <hyperlink ref="V1179" r:id="rId210" xr:uid="{B9F33AB7-32C4-422F-BADD-340D00256138}"/>
    <hyperlink ref="V442" r:id="rId211" xr:uid="{56C7E493-829E-43BC-A4E2-235EE820011B}"/>
    <hyperlink ref="V142" r:id="rId212" xr:uid="{6C4E32F2-68DC-4B5C-A0DE-64F8AF28C4DC}"/>
    <hyperlink ref="V174" r:id="rId213" xr:uid="{AC0212BA-719A-4DEB-BF80-0E3B9D928FE5}"/>
    <hyperlink ref="V1624" r:id="rId214" xr:uid="{4FC34DC9-9CD9-4184-A2BE-3F5A4CDA42E1}"/>
    <hyperlink ref="V1656" r:id="rId215" xr:uid="{35BDA090-EC80-42EF-9E59-6E21FC7E58AE}"/>
    <hyperlink ref="V893" r:id="rId216" xr:uid="{15BC11CF-E599-44EB-9F44-6574A42B037C}"/>
    <hyperlink ref="V1787" r:id="rId217" xr:uid="{CA8A0D87-7D6B-4BA3-B780-CE086345D6B6}"/>
    <hyperlink ref="V1456" r:id="rId218" xr:uid="{B31B3D4E-FF8C-45DE-8695-60D667460788}"/>
    <hyperlink ref="V699" r:id="rId219" xr:uid="{0806C029-3792-4FF8-88AD-DC5E3BF00F7B}"/>
    <hyperlink ref="V1235" r:id="rId220" xr:uid="{74EF419C-76F7-4C7C-962C-92949A4A0C86}"/>
    <hyperlink ref="V677" r:id="rId221" xr:uid="{BAC11ACA-A2CA-4920-AAB8-17C4B1130596}"/>
    <hyperlink ref="V1857" r:id="rId222" xr:uid="{C068C101-7B09-40FA-A871-F37896838B57}"/>
    <hyperlink ref="V67" r:id="rId223" xr:uid="{6DD7BD8C-6D94-4FB5-82FB-AEBB10A5617D}"/>
    <hyperlink ref="V306" r:id="rId224" xr:uid="{E5171056-D526-4097-AD90-9036C5FDBBA8}"/>
    <hyperlink ref="V314" r:id="rId225" xr:uid="{BCD40F7F-354F-413B-8158-424D65E54ECB}"/>
    <hyperlink ref="V289:V290" r:id="rId226" display="https://t.co/6VPbbn23ge" xr:uid="{5C1F17F6-44EA-4AF5-8B05-79EFD2A07C29}"/>
    <hyperlink ref="V359" r:id="rId227" xr:uid="{832D6E84-0C43-4FCD-A65B-A4F8261488B2}"/>
    <hyperlink ref="V365" r:id="rId228" xr:uid="{CBE6D925-E2AE-4BE3-8217-AB1CFA081100}"/>
    <hyperlink ref="V378" r:id="rId229" xr:uid="{76A458B8-52A9-40B5-8C89-B6530091C2DE}"/>
    <hyperlink ref="V382" r:id="rId230" xr:uid="{084CEFE6-B6AF-4128-AF89-7C793E6CB625}"/>
    <hyperlink ref="V393" r:id="rId231" xr:uid="{94308D5E-916D-4535-9CA9-2368C540971B}"/>
    <hyperlink ref="V1297:V1300" r:id="rId232" display="https://t.co/6VPbbn23ge" xr:uid="{FB13FEB8-4017-4978-B7CF-210FEE695405}"/>
    <hyperlink ref="V436" r:id="rId233" xr:uid="{F25AA8F1-AC4F-4F57-A8D2-8DBA89A53A9F}"/>
    <hyperlink ref="V1315:V1318" r:id="rId234" display="https://t.co/6VPbbn23ge" xr:uid="{9B071273-AF7A-4677-BD04-460828EC22CE}"/>
    <hyperlink ref="V1357:V1358" r:id="rId235" display="https://t.co/6VPbbn23ge" xr:uid="{569B36B6-053B-4EE5-A3F0-F761F8699869}"/>
    <hyperlink ref="V1364:V1375" r:id="rId236" display="https://t.co/6VPbbn23ge" xr:uid="{9D87A220-68A2-46B7-A0B4-53D4C8AD9868}"/>
    <hyperlink ref="V602" r:id="rId237" xr:uid="{0022DB04-CDF8-4DCF-A9F7-77B744625C6E}"/>
    <hyperlink ref="V1389:V1393" r:id="rId238" display="https://t.co/6VPbbn23ge" xr:uid="{B6E39E31-A82E-4F87-BB6B-F9089E4DB6E4}"/>
    <hyperlink ref="V1428:V1433" r:id="rId239" display="https://t.co/6VPbbn23ge" xr:uid="{1EB5CCA9-54A0-45BD-8FB0-2D6BF136488B}"/>
    <hyperlink ref="V1573:V1585" r:id="rId240" display="https://t.co/6VPbbn23ge" xr:uid="{FABE02B8-B712-470A-96C6-BF7BBBF0F12E}"/>
    <hyperlink ref="V1590:V1591" r:id="rId241" display="https://t.co/6VPbbn23ge" xr:uid="{5CCD9155-ED0F-4C6A-9B94-EB43388F9221}"/>
    <hyperlink ref="V1604:V1613" r:id="rId242" display="https://t.co/6VPbbn23ge" xr:uid="{367258F6-72B5-4778-8230-A8DF800893A3}"/>
    <hyperlink ref="V962" r:id="rId243" xr:uid="{211C8F3C-C5E4-40F5-9453-B85C0DBD5748}"/>
    <hyperlink ref="V972" r:id="rId244" xr:uid="{85E8DB2E-3392-4D1B-8A3C-C98172742641}"/>
    <hyperlink ref="V1769:V1770" r:id="rId245" display="https://t.co/6VPbbn23ge" xr:uid="{56E1BB5B-5D3F-46A6-93D1-7A230A07C71E}"/>
    <hyperlink ref="V1782:V1784" r:id="rId246" display="https://t.co/6VPbbn23ge" xr:uid="{C6A64D68-9D6B-4548-94C7-B449E9D5B711}"/>
    <hyperlink ref="V1018" r:id="rId247" xr:uid="{79D847B8-1B6F-4C06-8C63-AF0217C96147}"/>
    <hyperlink ref="V1064" r:id="rId248" xr:uid="{485F93D4-26CB-40F4-A42F-AB9469387042}"/>
    <hyperlink ref="V1081" r:id="rId249" xr:uid="{FC075083-7C55-49BE-BB0D-3760A8A2A833}"/>
    <hyperlink ref="V1094" r:id="rId250" xr:uid="{C11D2139-301B-4F15-8469-CB93D9ABEDBD}"/>
    <hyperlink ref="V1814:V1832" r:id="rId251" display="https://t.co/6VPbbn23ge" xr:uid="{B46D1097-BF51-4546-86B6-A8197D12DBB6}"/>
    <hyperlink ref="V413" r:id="rId252" xr:uid="{2ACC80CE-FFC1-4704-9AA0-F98990570C74}"/>
    <hyperlink ref="V392" r:id="rId253" display="https://www.venetianlasvegas.com/content/dam/vlvweb/casino/poker/deepstack/2026/structures/dscps_2026-structure_28.pdf" xr:uid="{A3AB7DA3-CD2C-460B-ADC6-2E58A13EBB2F}"/>
    <hyperlink ref="V358" r:id="rId254" display="https://www.venetianlasvegas.com/content/dam/vlvweb/casino/poker/deepstack/2026/structures/dscps_2026-structure_28.pdf" xr:uid="{B7F6D1B1-C04E-45EE-90B5-B6FC7183D2B4}"/>
    <hyperlink ref="V1206" r:id="rId255" display="https://www.venetianlasvegas.com/content/dam/vlvweb/casino/poker/deepstack/2026/structures/dscps_2026-structure_30.pdf" xr:uid="{D85B89E1-C925-4670-9589-497421CB7C68}"/>
    <hyperlink ref="V1166" r:id="rId256" display="https://www.venetianlasvegas.com/content/dam/vlvweb/casino/poker/deepstack/2026/structures/dscps_2026-structure_30.pdf" xr:uid="{FA97CB25-78AF-442D-8793-35C3BF4684CF}"/>
    <hyperlink ref="V1317" r:id="rId257" display="https://www.venetianlasvegas.com/content/dam/vlvweb/casino/poker/deepstack/2026/structures/dscps_2026-structure_32.pdf" xr:uid="{9E742A14-4D2B-4709-81EE-2D80DDF15B5B}"/>
    <hyperlink ref="V1391" r:id="rId258" display="https://www.venetianlasvegas.com/content/dam/vlvweb/casino/poker/deepstack/2026/structures/dscps_2026-structure_32.pdf" xr:uid="{DC9FBCC4-B934-4050-B89B-6E1E604BE672}"/>
    <hyperlink ref="V1352" r:id="rId259" display="https://www.venetianlasvegas.com/content/dam/vlvweb/casino/poker/deepstack/2026/structures/dscps_2026-structure_32.pdf" xr:uid="{870A2971-33EB-42FD-99C3-69B12A9A7F99}"/>
    <hyperlink ref="V1745" r:id="rId260" display="https://www.venetianlasvegas.com/content/dam/vlvweb/casino/poker/deepstack/2026/structures/dscps_2026-structure_35.pdf" xr:uid="{BA6C2277-F466-4BEB-B8A6-05CC8A20494B}"/>
    <hyperlink ref="V1717" r:id="rId261" display="https://www.venetianlasvegas.com/content/dam/vlvweb/casino/poker/deepstack/2026/structures/dscps_2026-structure_35.pdf" xr:uid="{159C6CCC-A146-4694-B2C5-AD3C018BACA6}"/>
    <hyperlink ref="V1760" r:id="rId262" display="https://www.venetianlasvegas.com/content/dam/vlvweb/casino/poker/deepstack/2026/structures/dscps_2026-structure_36.pdf" xr:uid="{200A6B0A-47A3-4356-BED3-FCD3A377AA49}"/>
  </hyperlinks>
  <pageMargins left="0.7" right="0.7" top="0.75" bottom="0.75" header="0.3" footer="0.3"/>
  <pageSetup orientation="portrait" r:id="rId26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7AE1-E6E9-41A8-9F81-33BAA35DFBDE}">
  <dimension ref="A1:W36"/>
  <sheetViews>
    <sheetView workbookViewId="0"/>
  </sheetViews>
  <sheetFormatPr defaultRowHeight="14.4"/>
  <sheetData>
    <row r="1" spans="1:23">
      <c r="A1" t="s">
        <v>62</v>
      </c>
      <c r="B1" t="s">
        <v>63</v>
      </c>
      <c r="C1" s="26">
        <v>45804</v>
      </c>
      <c r="D1" s="29">
        <v>0.5</v>
      </c>
      <c r="E1" s="34" t="s">
        <v>13</v>
      </c>
      <c r="F1" t="s">
        <v>25</v>
      </c>
      <c r="G1">
        <v>3</v>
      </c>
      <c r="I1" s="14">
        <v>1000</v>
      </c>
      <c r="J1" t="s">
        <v>12</v>
      </c>
      <c r="K1" t="s">
        <v>2</v>
      </c>
      <c r="L1" t="s">
        <v>10</v>
      </c>
      <c r="M1" s="16" t="s">
        <v>22</v>
      </c>
      <c r="N1" s="18" t="s">
        <v>48</v>
      </c>
      <c r="O1" t="s">
        <v>49</v>
      </c>
      <c r="Q1">
        <f>R1*I1</f>
        <v>120</v>
      </c>
      <c r="R1" s="23">
        <v>0.12</v>
      </c>
      <c r="S1">
        <v>77</v>
      </c>
      <c r="T1" t="s">
        <v>55</v>
      </c>
      <c r="U1" s="21" t="s">
        <v>91</v>
      </c>
      <c r="V1" t="s">
        <v>77</v>
      </c>
      <c r="W1" s="10"/>
    </row>
    <row r="2" spans="1:23">
      <c r="A2" t="s">
        <v>62</v>
      </c>
      <c r="B2" t="s">
        <v>63</v>
      </c>
      <c r="C2" s="7">
        <v>45804</v>
      </c>
      <c r="D2" s="9">
        <v>0.5</v>
      </c>
      <c r="E2" s="12"/>
      <c r="F2" s="10" t="s">
        <v>80</v>
      </c>
      <c r="G2" s="10">
        <v>1</v>
      </c>
      <c r="H2" s="10"/>
      <c r="I2" s="12">
        <v>135</v>
      </c>
      <c r="J2" s="18" t="s">
        <v>98</v>
      </c>
      <c r="K2" s="18" t="s">
        <v>98</v>
      </c>
      <c r="L2" s="10">
        <v>10000</v>
      </c>
      <c r="M2" s="10">
        <v>15</v>
      </c>
      <c r="N2" s="10" t="s">
        <v>61</v>
      </c>
      <c r="O2" s="10" t="s">
        <v>49</v>
      </c>
      <c r="P2" s="13"/>
      <c r="Q2" s="13">
        <v>25</v>
      </c>
      <c r="R2" s="23">
        <f t="shared" ref="R2:R3" si="0">IF(Q2&gt;0,Q2/I2,"")</f>
        <v>0.18518518518518517</v>
      </c>
      <c r="S2" s="30">
        <v>14.9</v>
      </c>
      <c r="T2" s="10"/>
      <c r="U2" s="10" t="s">
        <v>108</v>
      </c>
      <c r="V2" s="25" t="s">
        <v>102</v>
      </c>
      <c r="W2" s="10"/>
    </row>
    <row r="3" spans="1:23">
      <c r="A3" t="s">
        <v>62</v>
      </c>
      <c r="B3" t="s">
        <v>63</v>
      </c>
      <c r="C3" s="7">
        <v>45804</v>
      </c>
      <c r="D3" s="9">
        <v>0.54166666666666663</v>
      </c>
      <c r="E3" s="12"/>
      <c r="F3" s="32" t="s">
        <v>107</v>
      </c>
      <c r="G3" s="10">
        <v>1</v>
      </c>
      <c r="H3" s="10"/>
      <c r="I3" s="12">
        <v>250</v>
      </c>
      <c r="J3" s="18" t="s">
        <v>98</v>
      </c>
      <c r="K3" s="18" t="s">
        <v>98</v>
      </c>
      <c r="L3" s="10">
        <v>25000</v>
      </c>
      <c r="M3" s="10">
        <v>30</v>
      </c>
      <c r="N3" s="10" t="s">
        <v>51</v>
      </c>
      <c r="O3" s="10" t="s">
        <v>49</v>
      </c>
      <c r="P3" s="13"/>
      <c r="Q3" s="13">
        <v>50</v>
      </c>
      <c r="R3" s="23">
        <f t="shared" si="0"/>
        <v>0.2</v>
      </c>
      <c r="S3" s="10">
        <v>44</v>
      </c>
      <c r="T3" s="10"/>
      <c r="U3" s="10" t="s">
        <v>106</v>
      </c>
      <c r="V3" s="10" t="s">
        <v>78</v>
      </c>
      <c r="W3" s="10"/>
    </row>
    <row r="4" spans="1:23">
      <c r="A4" t="s">
        <v>62</v>
      </c>
      <c r="B4" t="s">
        <v>63</v>
      </c>
      <c r="C4" s="26">
        <v>45804</v>
      </c>
      <c r="D4" s="29">
        <v>0.58333333333333337</v>
      </c>
      <c r="E4" s="34" t="s">
        <v>1</v>
      </c>
      <c r="F4" t="s">
        <v>27</v>
      </c>
      <c r="G4">
        <v>2</v>
      </c>
      <c r="I4" s="35">
        <v>500</v>
      </c>
      <c r="J4" t="s">
        <v>3</v>
      </c>
      <c r="K4" t="s">
        <v>4</v>
      </c>
      <c r="L4" t="s">
        <v>8</v>
      </c>
      <c r="M4" t="s">
        <v>7</v>
      </c>
      <c r="N4" s="18" t="s">
        <v>48</v>
      </c>
      <c r="O4" t="s">
        <v>49</v>
      </c>
      <c r="Q4">
        <f>R4*I4</f>
        <v>85</v>
      </c>
      <c r="R4" s="23">
        <v>0.17</v>
      </c>
      <c r="S4">
        <v>94</v>
      </c>
      <c r="T4" t="s">
        <v>64</v>
      </c>
      <c r="U4" s="21" t="s">
        <v>92</v>
      </c>
      <c r="W4" s="10"/>
    </row>
    <row r="5" spans="1:23">
      <c r="A5" s="8" t="s">
        <v>62</v>
      </c>
      <c r="B5" s="8" t="s">
        <v>63</v>
      </c>
      <c r="C5" s="4">
        <v>45804</v>
      </c>
      <c r="D5" s="6">
        <v>0.625</v>
      </c>
      <c r="E5" s="5"/>
      <c r="F5" s="10" t="s">
        <v>81</v>
      </c>
      <c r="G5" s="10">
        <v>1</v>
      </c>
      <c r="H5" s="10"/>
      <c r="I5" s="12">
        <v>240</v>
      </c>
      <c r="J5" s="18" t="s">
        <v>98</v>
      </c>
      <c r="K5" s="18" t="s">
        <v>98</v>
      </c>
      <c r="L5" s="10">
        <v>10000</v>
      </c>
      <c r="M5" s="10">
        <v>20</v>
      </c>
      <c r="N5" s="10" t="s">
        <v>61</v>
      </c>
      <c r="O5" s="10" t="s">
        <v>49</v>
      </c>
      <c r="P5" s="10"/>
      <c r="Q5" s="13">
        <v>31</v>
      </c>
      <c r="R5" s="23">
        <f t="shared" ref="R5:R11" si="1">IF(Q5&gt;0,Q5/I5,"")</f>
        <v>0.12916666666666668</v>
      </c>
      <c r="S5" s="10">
        <v>19.8</v>
      </c>
      <c r="T5" s="10"/>
      <c r="U5" s="10" t="s">
        <v>108</v>
      </c>
      <c r="V5" s="10" t="s">
        <v>82</v>
      </c>
      <c r="W5" s="2"/>
    </row>
    <row r="6" spans="1:23">
      <c r="A6" t="s">
        <v>62</v>
      </c>
      <c r="B6" t="s">
        <v>63</v>
      </c>
      <c r="C6" s="7">
        <v>45804</v>
      </c>
      <c r="D6" s="9">
        <v>0.66666666666666663</v>
      </c>
      <c r="E6" s="12"/>
      <c r="F6" s="10" t="s">
        <v>80</v>
      </c>
      <c r="G6" s="10">
        <v>1</v>
      </c>
      <c r="H6" s="10"/>
      <c r="I6" s="12">
        <v>240</v>
      </c>
      <c r="J6" s="18" t="s">
        <v>98</v>
      </c>
      <c r="K6" s="18" t="s">
        <v>98</v>
      </c>
      <c r="L6" s="10">
        <v>10000</v>
      </c>
      <c r="M6" s="10">
        <v>15</v>
      </c>
      <c r="N6" s="10" t="s">
        <v>61</v>
      </c>
      <c r="O6" s="10" t="s">
        <v>49</v>
      </c>
      <c r="P6" s="13"/>
      <c r="Q6" s="13">
        <v>25</v>
      </c>
      <c r="R6" s="23">
        <f t="shared" si="1"/>
        <v>0.10416666666666667</v>
      </c>
      <c r="S6" s="10">
        <v>19.8</v>
      </c>
      <c r="T6" s="10"/>
      <c r="U6" s="10" t="s">
        <v>108</v>
      </c>
      <c r="V6" s="25" t="s">
        <v>102</v>
      </c>
      <c r="W6" s="10"/>
    </row>
    <row r="7" spans="1:23">
      <c r="A7" t="s">
        <v>62</v>
      </c>
      <c r="B7" t="s">
        <v>63</v>
      </c>
      <c r="C7" s="7">
        <v>45804</v>
      </c>
      <c r="D7" s="9">
        <v>0.66666666666666663</v>
      </c>
      <c r="E7" s="12"/>
      <c r="F7" s="32" t="s">
        <v>107</v>
      </c>
      <c r="G7" s="10">
        <v>1</v>
      </c>
      <c r="H7" s="10"/>
      <c r="I7" s="12">
        <v>400</v>
      </c>
      <c r="J7" s="18" t="s">
        <v>98</v>
      </c>
      <c r="K7" s="18" t="s">
        <v>98</v>
      </c>
      <c r="L7" s="10">
        <v>30000</v>
      </c>
      <c r="M7" s="10">
        <v>20</v>
      </c>
      <c r="N7" s="2" t="s">
        <v>51</v>
      </c>
      <c r="O7" s="10" t="s">
        <v>49</v>
      </c>
      <c r="P7" s="13"/>
      <c r="Q7" s="13">
        <v>70</v>
      </c>
      <c r="R7" s="23">
        <f t="shared" si="1"/>
        <v>0.17499999999999999</v>
      </c>
      <c r="S7" s="10">
        <v>26</v>
      </c>
      <c r="T7" s="10"/>
      <c r="U7" s="10" t="s">
        <v>106</v>
      </c>
      <c r="V7" s="10" t="s">
        <v>78</v>
      </c>
      <c r="W7" s="10"/>
    </row>
    <row r="8" spans="1:23">
      <c r="A8" t="s">
        <v>62</v>
      </c>
      <c r="B8" t="s">
        <v>63</v>
      </c>
      <c r="C8" s="7">
        <v>45804</v>
      </c>
      <c r="D8" s="9">
        <v>0.79166666666666663</v>
      </c>
      <c r="E8" s="12"/>
      <c r="F8" s="10" t="s">
        <v>85</v>
      </c>
      <c r="G8" s="10">
        <v>1</v>
      </c>
      <c r="H8" s="10">
        <v>8</v>
      </c>
      <c r="I8" s="12">
        <v>580</v>
      </c>
      <c r="J8" s="18" t="s">
        <v>98</v>
      </c>
      <c r="K8" s="18" t="s">
        <v>98</v>
      </c>
      <c r="L8" s="10">
        <v>10000</v>
      </c>
      <c r="M8" s="10">
        <v>20</v>
      </c>
      <c r="N8" s="2" t="s">
        <v>61</v>
      </c>
      <c r="O8" s="10" t="s">
        <v>49</v>
      </c>
      <c r="P8" s="10"/>
      <c r="Q8" s="13">
        <v>80</v>
      </c>
      <c r="R8" s="23">
        <f t="shared" si="1"/>
        <v>0.13793103448275862</v>
      </c>
      <c r="S8" s="10">
        <v>19.8</v>
      </c>
      <c r="T8" s="10"/>
      <c r="U8" s="10" t="s">
        <v>108</v>
      </c>
      <c r="V8" s="10" t="s">
        <v>87</v>
      </c>
      <c r="W8" s="10"/>
    </row>
    <row r="9" spans="1:23">
      <c r="A9" t="s">
        <v>62</v>
      </c>
      <c r="B9" t="s">
        <v>63</v>
      </c>
      <c r="C9" s="7">
        <v>45804</v>
      </c>
      <c r="D9" s="9">
        <v>0.79166666666666663</v>
      </c>
      <c r="E9" s="12"/>
      <c r="F9" s="10" t="s">
        <v>81</v>
      </c>
      <c r="G9" s="10">
        <v>1</v>
      </c>
      <c r="H9" s="10"/>
      <c r="I9" s="12">
        <v>580</v>
      </c>
      <c r="J9" s="18" t="s">
        <v>98</v>
      </c>
      <c r="K9" s="18" t="s">
        <v>98</v>
      </c>
      <c r="L9" s="10">
        <v>10000</v>
      </c>
      <c r="M9" s="10">
        <v>20</v>
      </c>
      <c r="N9" s="10" t="s">
        <v>61</v>
      </c>
      <c r="O9" s="10" t="s">
        <v>49</v>
      </c>
      <c r="P9" s="10"/>
      <c r="Q9" s="13">
        <v>80</v>
      </c>
      <c r="R9" s="23">
        <f t="shared" si="1"/>
        <v>0.13793103448275862</v>
      </c>
      <c r="S9" s="10">
        <v>19.8</v>
      </c>
      <c r="T9" s="10"/>
      <c r="U9" s="10" t="s">
        <v>108</v>
      </c>
      <c r="V9" s="10" t="s">
        <v>83</v>
      </c>
      <c r="W9" s="10"/>
    </row>
    <row r="10" spans="1:23" s="1" customFormat="1">
      <c r="A10" t="s">
        <v>62</v>
      </c>
      <c r="B10" t="s">
        <v>63</v>
      </c>
      <c r="C10" s="7">
        <v>45804</v>
      </c>
      <c r="D10" s="9">
        <v>0.83333333333333337</v>
      </c>
      <c r="E10" s="12"/>
      <c r="F10" s="32" t="s">
        <v>107</v>
      </c>
      <c r="G10" s="10">
        <v>1</v>
      </c>
      <c r="H10" s="10"/>
      <c r="I10" s="12">
        <v>200</v>
      </c>
      <c r="J10" s="18" t="s">
        <v>98</v>
      </c>
      <c r="K10" s="18" t="s">
        <v>98</v>
      </c>
      <c r="L10" s="10">
        <v>20000</v>
      </c>
      <c r="M10" s="10">
        <v>20</v>
      </c>
      <c r="N10" s="10" t="s">
        <v>51</v>
      </c>
      <c r="O10" s="10" t="s">
        <v>49</v>
      </c>
      <c r="P10" s="13"/>
      <c r="Q10" s="13">
        <v>45</v>
      </c>
      <c r="R10" s="23">
        <f t="shared" si="1"/>
        <v>0.22500000000000001</v>
      </c>
      <c r="S10" s="10">
        <v>23</v>
      </c>
      <c r="T10" s="10"/>
      <c r="U10" s="10" t="s">
        <v>106</v>
      </c>
      <c r="V10" s="10" t="s">
        <v>78</v>
      </c>
      <c r="W10" s="10"/>
    </row>
    <row r="11" spans="1:23">
      <c r="A11" t="s">
        <v>62</v>
      </c>
      <c r="B11" t="s">
        <v>63</v>
      </c>
      <c r="C11" s="7">
        <v>45804</v>
      </c>
      <c r="D11" s="9">
        <v>0.91666666666666663</v>
      </c>
      <c r="E11" s="12"/>
      <c r="F11" s="10" t="s">
        <v>81</v>
      </c>
      <c r="G11" s="10">
        <v>1</v>
      </c>
      <c r="H11" s="10"/>
      <c r="I11" s="12">
        <v>135</v>
      </c>
      <c r="J11" s="18" t="s">
        <v>98</v>
      </c>
      <c r="K11" s="18" t="s">
        <v>98</v>
      </c>
      <c r="L11" s="10">
        <v>10000</v>
      </c>
      <c r="M11" s="10">
        <v>15</v>
      </c>
      <c r="N11" s="10" t="s">
        <v>61</v>
      </c>
      <c r="O11" s="10" t="s">
        <v>49</v>
      </c>
      <c r="P11" s="10"/>
      <c r="Q11" s="13">
        <v>30</v>
      </c>
      <c r="R11" s="23">
        <f t="shared" si="1"/>
        <v>0.22222222222222221</v>
      </c>
      <c r="S11" s="10">
        <v>14.9</v>
      </c>
      <c r="T11" s="10"/>
      <c r="U11" s="10" t="s">
        <v>108</v>
      </c>
      <c r="V11" s="10" t="s">
        <v>84</v>
      </c>
      <c r="W11" s="10"/>
    </row>
    <row r="12" spans="1:23" s="1" customFormat="1">
      <c r="A12" t="s">
        <v>62</v>
      </c>
      <c r="B12" t="s">
        <v>63</v>
      </c>
      <c r="C12" s="26">
        <v>45805</v>
      </c>
      <c r="D12" s="29">
        <v>0.41666666666666669</v>
      </c>
      <c r="E12" s="34" t="s">
        <v>14</v>
      </c>
      <c r="F12" t="s">
        <v>15</v>
      </c>
      <c r="G12">
        <v>3</v>
      </c>
      <c r="H12"/>
      <c r="I12" s="35">
        <v>1000</v>
      </c>
      <c r="J12" t="s">
        <v>12</v>
      </c>
      <c r="K12" t="s">
        <v>2</v>
      </c>
      <c r="L12" t="s">
        <v>10</v>
      </c>
      <c r="M12" s="16" t="s">
        <v>22</v>
      </c>
      <c r="N12" s="18" t="s">
        <v>48</v>
      </c>
      <c r="O12" t="s">
        <v>49</v>
      </c>
      <c r="P12"/>
      <c r="Q12">
        <f>R12*I12</f>
        <v>120</v>
      </c>
      <c r="R12" s="23">
        <v>0.12</v>
      </c>
      <c r="S12">
        <v>77</v>
      </c>
      <c r="T12" t="s">
        <v>55</v>
      </c>
      <c r="U12" s="21" t="s">
        <v>91</v>
      </c>
      <c r="V12" t="s">
        <v>77</v>
      </c>
      <c r="W12" s="10"/>
    </row>
    <row r="13" spans="1:23" s="1" customFormat="1">
      <c r="A13" t="s">
        <v>62</v>
      </c>
      <c r="B13" t="s">
        <v>63</v>
      </c>
      <c r="C13" s="26">
        <v>45805</v>
      </c>
      <c r="D13" s="29">
        <v>0.5</v>
      </c>
      <c r="E13" s="34" t="s">
        <v>16</v>
      </c>
      <c r="F13" t="s">
        <v>28</v>
      </c>
      <c r="G13">
        <v>4</v>
      </c>
      <c r="H13">
        <v>8</v>
      </c>
      <c r="I13" s="35">
        <v>5000</v>
      </c>
      <c r="J13" t="s">
        <v>3</v>
      </c>
      <c r="K13" t="s">
        <v>11</v>
      </c>
      <c r="L13" t="s">
        <v>6</v>
      </c>
      <c r="M13" t="s">
        <v>9</v>
      </c>
      <c r="N13" s="18" t="s">
        <v>48</v>
      </c>
      <c r="O13" t="s">
        <v>49</v>
      </c>
      <c r="P13"/>
      <c r="Q13">
        <f>R13*I13</f>
        <v>400</v>
      </c>
      <c r="R13" s="23">
        <v>0.08</v>
      </c>
      <c r="S13">
        <v>162</v>
      </c>
      <c r="T13"/>
      <c r="U13" s="21" t="s">
        <v>93</v>
      </c>
      <c r="V13"/>
      <c r="W13" s="10"/>
    </row>
    <row r="14" spans="1:23">
      <c r="A14" t="s">
        <v>62</v>
      </c>
      <c r="B14" t="s">
        <v>63</v>
      </c>
      <c r="C14" s="7">
        <v>45805</v>
      </c>
      <c r="D14" s="9">
        <v>0.5</v>
      </c>
      <c r="E14" s="12"/>
      <c r="F14" s="10" t="s">
        <v>80</v>
      </c>
      <c r="G14" s="10">
        <v>1</v>
      </c>
      <c r="H14" s="10"/>
      <c r="I14" s="12">
        <v>135</v>
      </c>
      <c r="J14" s="18" t="s">
        <v>98</v>
      </c>
      <c r="K14" s="18" t="s">
        <v>98</v>
      </c>
      <c r="L14" s="10">
        <v>10000</v>
      </c>
      <c r="M14" s="10">
        <v>15</v>
      </c>
      <c r="N14" s="10" t="s">
        <v>61</v>
      </c>
      <c r="O14" s="10" t="s">
        <v>49</v>
      </c>
      <c r="P14" s="13"/>
      <c r="Q14" s="13">
        <v>25</v>
      </c>
      <c r="R14" s="23">
        <f>IF(Q14&gt;0,Q14/I14,"")</f>
        <v>0.18518518518518517</v>
      </c>
      <c r="S14" s="30">
        <v>14.9</v>
      </c>
      <c r="T14" s="10"/>
      <c r="U14" s="10" t="s">
        <v>108</v>
      </c>
      <c r="V14" s="25" t="s">
        <v>102</v>
      </c>
      <c r="W14" s="10"/>
    </row>
    <row r="15" spans="1:23">
      <c r="A15" t="s">
        <v>62</v>
      </c>
      <c r="B15" t="s">
        <v>63</v>
      </c>
      <c r="C15" s="26">
        <v>45805</v>
      </c>
      <c r="D15" s="29">
        <v>0.54166666666666663</v>
      </c>
      <c r="E15" s="34" t="s">
        <v>1</v>
      </c>
      <c r="F15" t="s">
        <v>103</v>
      </c>
      <c r="G15">
        <v>2</v>
      </c>
      <c r="I15" s="35">
        <v>500</v>
      </c>
      <c r="J15" t="s">
        <v>3</v>
      </c>
      <c r="K15" t="s">
        <v>4</v>
      </c>
      <c r="L15" t="s">
        <v>8</v>
      </c>
      <c r="M15" t="s">
        <v>7</v>
      </c>
      <c r="N15" s="18" t="s">
        <v>48</v>
      </c>
      <c r="O15" t="s">
        <v>49</v>
      </c>
      <c r="Q15">
        <f>R15*I15</f>
        <v>85</v>
      </c>
      <c r="R15" s="23">
        <v>0.17</v>
      </c>
      <c r="S15">
        <v>94</v>
      </c>
      <c r="T15" t="s">
        <v>64</v>
      </c>
      <c r="U15" s="21" t="s">
        <v>92</v>
      </c>
      <c r="W15" s="10"/>
    </row>
    <row r="16" spans="1:23">
      <c r="A16" t="s">
        <v>62</v>
      </c>
      <c r="B16" t="s">
        <v>63</v>
      </c>
      <c r="C16" s="7">
        <v>45805</v>
      </c>
      <c r="D16" s="9">
        <v>0.54166666666666663</v>
      </c>
      <c r="E16" s="12"/>
      <c r="F16" s="32" t="s">
        <v>107</v>
      </c>
      <c r="G16" s="10">
        <v>1</v>
      </c>
      <c r="H16" s="10"/>
      <c r="I16" s="12">
        <v>250</v>
      </c>
      <c r="J16" s="18" t="s">
        <v>98</v>
      </c>
      <c r="K16" s="18" t="s">
        <v>98</v>
      </c>
      <c r="L16" s="10">
        <v>25000</v>
      </c>
      <c r="M16" s="10">
        <v>30</v>
      </c>
      <c r="N16" s="10" t="s">
        <v>51</v>
      </c>
      <c r="O16" s="10" t="s">
        <v>49</v>
      </c>
      <c r="P16" s="10"/>
      <c r="Q16" s="13">
        <v>50</v>
      </c>
      <c r="R16" s="23">
        <f>IF(Q16&gt;0,Q16/I16,"")</f>
        <v>0.2</v>
      </c>
      <c r="S16" s="10">
        <v>44</v>
      </c>
      <c r="T16" s="10"/>
      <c r="U16" s="10" t="s">
        <v>106</v>
      </c>
      <c r="V16" s="10" t="s">
        <v>78</v>
      </c>
      <c r="W16" s="10"/>
    </row>
    <row r="17" spans="1:23">
      <c r="A17" t="s">
        <v>62</v>
      </c>
      <c r="B17" t="s">
        <v>63</v>
      </c>
      <c r="C17" s="26">
        <v>45805</v>
      </c>
      <c r="D17" s="29">
        <v>0.58333333333333337</v>
      </c>
      <c r="E17" s="34" t="s">
        <v>17</v>
      </c>
      <c r="F17" t="s">
        <v>30</v>
      </c>
      <c r="G17">
        <v>3</v>
      </c>
      <c r="H17">
        <v>8</v>
      </c>
      <c r="I17" s="27">
        <v>1500</v>
      </c>
      <c r="J17" t="s">
        <v>5</v>
      </c>
      <c r="K17" t="s">
        <v>4</v>
      </c>
      <c r="L17" t="s">
        <v>8</v>
      </c>
      <c r="M17" s="16" t="s">
        <v>97</v>
      </c>
      <c r="N17" s="18" t="s">
        <v>48</v>
      </c>
      <c r="O17" s="22" t="s">
        <v>101</v>
      </c>
      <c r="Q17">
        <f>R17*I17</f>
        <v>172.5</v>
      </c>
      <c r="R17" s="24">
        <v>0.115</v>
      </c>
      <c r="U17" s="21" t="s">
        <v>94</v>
      </c>
      <c r="W17" s="10"/>
    </row>
    <row r="18" spans="1:23">
      <c r="A18" t="s">
        <v>62</v>
      </c>
      <c r="B18" t="s">
        <v>63</v>
      </c>
      <c r="C18" s="7">
        <v>45805</v>
      </c>
      <c r="D18" s="9">
        <v>0.625</v>
      </c>
      <c r="E18" s="12"/>
      <c r="F18" s="10" t="s">
        <v>81</v>
      </c>
      <c r="G18" s="10">
        <v>1</v>
      </c>
      <c r="H18" s="10"/>
      <c r="I18" s="12">
        <v>240</v>
      </c>
      <c r="J18" s="18" t="s">
        <v>98</v>
      </c>
      <c r="K18" s="18" t="s">
        <v>98</v>
      </c>
      <c r="L18" s="10">
        <v>10000</v>
      </c>
      <c r="M18" s="10">
        <v>20</v>
      </c>
      <c r="N18" s="10" t="s">
        <v>61</v>
      </c>
      <c r="O18" s="10" t="s">
        <v>49</v>
      </c>
      <c r="P18" s="10"/>
      <c r="Q18" s="13">
        <v>31</v>
      </c>
      <c r="R18" s="23">
        <f t="shared" ref="R18:R25" si="2">IF(Q18&gt;0,Q18/I18,"")</f>
        <v>0.12916666666666668</v>
      </c>
      <c r="S18" s="10">
        <v>19.8</v>
      </c>
      <c r="T18" s="10"/>
      <c r="U18" s="10" t="s">
        <v>108</v>
      </c>
      <c r="V18" s="10" t="s">
        <v>82</v>
      </c>
      <c r="W18" s="10"/>
    </row>
    <row r="19" spans="1:23">
      <c r="A19" t="s">
        <v>62</v>
      </c>
      <c r="B19" t="s">
        <v>63</v>
      </c>
      <c r="C19" s="7">
        <v>45805</v>
      </c>
      <c r="D19" s="9">
        <v>0.66666666666666663</v>
      </c>
      <c r="E19" s="12"/>
      <c r="F19" s="10" t="s">
        <v>80</v>
      </c>
      <c r="G19" s="10">
        <v>1</v>
      </c>
      <c r="H19" s="10"/>
      <c r="I19" s="12">
        <v>240</v>
      </c>
      <c r="J19" s="18" t="s">
        <v>98</v>
      </c>
      <c r="K19" s="18" t="s">
        <v>98</v>
      </c>
      <c r="L19" s="10">
        <v>10000</v>
      </c>
      <c r="M19" s="10">
        <v>15</v>
      </c>
      <c r="N19" s="10" t="s">
        <v>61</v>
      </c>
      <c r="O19" s="10" t="s">
        <v>49</v>
      </c>
      <c r="P19" s="13"/>
      <c r="Q19" s="13">
        <v>25</v>
      </c>
      <c r="R19" s="23">
        <f t="shared" si="2"/>
        <v>0.10416666666666667</v>
      </c>
      <c r="S19" s="10">
        <v>19.8</v>
      </c>
      <c r="T19" s="10"/>
      <c r="U19" s="10" t="s">
        <v>108</v>
      </c>
      <c r="V19" s="25" t="s">
        <v>102</v>
      </c>
      <c r="W19" s="10"/>
    </row>
    <row r="20" spans="1:23">
      <c r="A20" s="8" t="s">
        <v>62</v>
      </c>
      <c r="B20" s="8" t="s">
        <v>63</v>
      </c>
      <c r="C20" s="4">
        <v>45805</v>
      </c>
      <c r="D20" s="6">
        <v>0.66666666666666663</v>
      </c>
      <c r="E20" s="5"/>
      <c r="F20" s="33" t="s">
        <v>107</v>
      </c>
      <c r="G20" s="2">
        <v>1</v>
      </c>
      <c r="H20" s="2"/>
      <c r="I20" s="5">
        <v>400</v>
      </c>
      <c r="J20" s="17" t="s">
        <v>98</v>
      </c>
      <c r="K20" s="17" t="s">
        <v>98</v>
      </c>
      <c r="L20" s="2">
        <v>30000</v>
      </c>
      <c r="M20" s="2">
        <v>20</v>
      </c>
      <c r="N20" s="2" t="s">
        <v>51</v>
      </c>
      <c r="O20" s="2" t="s">
        <v>49</v>
      </c>
      <c r="P20" s="2"/>
      <c r="Q20" s="3">
        <v>70</v>
      </c>
      <c r="R20" s="28">
        <f t="shared" si="2"/>
        <v>0.17499999999999999</v>
      </c>
      <c r="S20" s="2">
        <v>26</v>
      </c>
      <c r="T20" s="2"/>
      <c r="U20" s="2" t="s">
        <v>106</v>
      </c>
      <c r="V20" s="2" t="s">
        <v>78</v>
      </c>
      <c r="W20" s="2"/>
    </row>
    <row r="21" spans="1:23">
      <c r="A21" s="8" t="s">
        <v>62</v>
      </c>
      <c r="B21" s="8" t="s">
        <v>63</v>
      </c>
      <c r="C21" s="4">
        <v>45805</v>
      </c>
      <c r="D21" s="6">
        <v>0.79166666666666663</v>
      </c>
      <c r="E21" s="5"/>
      <c r="F21" s="2" t="s">
        <v>81</v>
      </c>
      <c r="G21" s="2">
        <v>1</v>
      </c>
      <c r="H21" s="2"/>
      <c r="I21" s="5">
        <v>580</v>
      </c>
      <c r="J21" s="17" t="s">
        <v>98</v>
      </c>
      <c r="K21" s="17" t="s">
        <v>98</v>
      </c>
      <c r="L21" s="2">
        <v>10000</v>
      </c>
      <c r="M21" s="2">
        <v>20</v>
      </c>
      <c r="N21" s="2" t="s">
        <v>61</v>
      </c>
      <c r="O21" s="2" t="s">
        <v>49</v>
      </c>
      <c r="P21" s="2"/>
      <c r="Q21" s="3">
        <v>80</v>
      </c>
      <c r="R21" s="28">
        <f t="shared" si="2"/>
        <v>0.13793103448275862</v>
      </c>
      <c r="S21" s="2">
        <v>19.8</v>
      </c>
      <c r="T21" s="2"/>
      <c r="U21" s="2" t="s">
        <v>108</v>
      </c>
      <c r="V21" s="2" t="s">
        <v>83</v>
      </c>
      <c r="W21" s="2"/>
    </row>
    <row r="22" spans="1:23">
      <c r="A22" t="s">
        <v>62</v>
      </c>
      <c r="B22" t="s">
        <v>63</v>
      </c>
      <c r="C22" s="7">
        <v>45805</v>
      </c>
      <c r="D22" s="9">
        <v>0.79166666666666663</v>
      </c>
      <c r="E22" s="12"/>
      <c r="F22" s="10" t="s">
        <v>86</v>
      </c>
      <c r="G22" s="10">
        <v>1</v>
      </c>
      <c r="H22" s="10"/>
      <c r="I22" s="12">
        <v>580</v>
      </c>
      <c r="J22" s="18" t="s">
        <v>98</v>
      </c>
      <c r="K22" s="18" t="s">
        <v>98</v>
      </c>
      <c r="L22" s="10">
        <v>10000</v>
      </c>
      <c r="M22" s="10">
        <v>20</v>
      </c>
      <c r="N22" s="10" t="s">
        <v>61</v>
      </c>
      <c r="O22" s="10" t="s">
        <v>57</v>
      </c>
      <c r="P22" s="13"/>
      <c r="Q22" s="13">
        <v>80</v>
      </c>
      <c r="R22" s="23">
        <f t="shared" si="2"/>
        <v>0.13793103448275862</v>
      </c>
      <c r="S22" s="10"/>
      <c r="T22" s="10"/>
      <c r="U22" s="10" t="s">
        <v>108</v>
      </c>
      <c r="V22" s="10" t="s">
        <v>88</v>
      </c>
    </row>
    <row r="23" spans="1:23">
      <c r="A23" t="s">
        <v>62</v>
      </c>
      <c r="B23" t="s">
        <v>63</v>
      </c>
      <c r="C23" s="7">
        <v>45805</v>
      </c>
      <c r="D23" s="9">
        <v>0.83333333333333337</v>
      </c>
      <c r="E23" s="12"/>
      <c r="F23" s="32" t="s">
        <v>107</v>
      </c>
      <c r="G23" s="10">
        <v>1</v>
      </c>
      <c r="H23" s="10"/>
      <c r="I23" s="12">
        <v>200</v>
      </c>
      <c r="J23" s="18" t="s">
        <v>98</v>
      </c>
      <c r="K23" s="18" t="s">
        <v>98</v>
      </c>
      <c r="L23" s="10">
        <v>20000</v>
      </c>
      <c r="M23" s="10">
        <v>20</v>
      </c>
      <c r="N23" s="10" t="s">
        <v>51</v>
      </c>
      <c r="O23" s="10" t="s">
        <v>49</v>
      </c>
      <c r="P23" s="10"/>
      <c r="Q23" s="13">
        <v>45</v>
      </c>
      <c r="R23" s="23">
        <f t="shared" si="2"/>
        <v>0.22500000000000001</v>
      </c>
      <c r="S23" s="10">
        <v>23</v>
      </c>
      <c r="T23" s="10"/>
      <c r="U23" s="10" t="s">
        <v>106</v>
      </c>
      <c r="V23" s="10" t="s">
        <v>78</v>
      </c>
    </row>
    <row r="24" spans="1:23">
      <c r="A24" t="s">
        <v>62</v>
      </c>
      <c r="B24" t="s">
        <v>63</v>
      </c>
      <c r="C24" s="7">
        <v>45805</v>
      </c>
      <c r="D24" s="9">
        <v>0.91666666666666663</v>
      </c>
      <c r="E24" s="12"/>
      <c r="F24" s="10" t="s">
        <v>81</v>
      </c>
      <c r="G24" s="10">
        <v>1</v>
      </c>
      <c r="H24" s="10"/>
      <c r="I24" s="12">
        <v>135</v>
      </c>
      <c r="J24" s="18" t="s">
        <v>98</v>
      </c>
      <c r="K24" s="18" t="s">
        <v>98</v>
      </c>
      <c r="L24" s="10">
        <v>10000</v>
      </c>
      <c r="M24" s="10">
        <v>15</v>
      </c>
      <c r="N24" s="10" t="s">
        <v>61</v>
      </c>
      <c r="O24" s="10" t="s">
        <v>49</v>
      </c>
      <c r="P24" s="10"/>
      <c r="Q24" s="13">
        <v>30</v>
      </c>
      <c r="R24" s="23">
        <f t="shared" si="2"/>
        <v>0.22222222222222221</v>
      </c>
      <c r="S24" s="10">
        <v>14.9</v>
      </c>
      <c r="T24" s="10"/>
      <c r="U24" s="10" t="s">
        <v>108</v>
      </c>
      <c r="V24" s="10" t="s">
        <v>84</v>
      </c>
      <c r="W24" s="10"/>
    </row>
    <row r="25" spans="1:23">
      <c r="A25" t="s">
        <v>62</v>
      </c>
      <c r="B25" t="s">
        <v>63</v>
      </c>
      <c r="C25" s="7">
        <v>45806</v>
      </c>
      <c r="D25" s="9">
        <v>0.375</v>
      </c>
      <c r="E25" s="12"/>
      <c r="F25" s="10" t="s">
        <v>79</v>
      </c>
      <c r="G25" s="10">
        <v>1</v>
      </c>
      <c r="H25" s="10"/>
      <c r="I25" s="12">
        <v>250</v>
      </c>
      <c r="J25" s="18" t="s">
        <v>98</v>
      </c>
      <c r="K25" s="18" t="s">
        <v>98</v>
      </c>
      <c r="L25" s="10">
        <v>25000</v>
      </c>
      <c r="M25" s="10">
        <v>30</v>
      </c>
      <c r="N25" s="10" t="s">
        <v>51</v>
      </c>
      <c r="O25" s="10" t="s">
        <v>49</v>
      </c>
      <c r="P25" s="10"/>
      <c r="Q25" s="13">
        <v>50</v>
      </c>
      <c r="R25" s="23">
        <f t="shared" si="2"/>
        <v>0.2</v>
      </c>
      <c r="S25" s="10">
        <v>44</v>
      </c>
      <c r="T25" s="18" t="s">
        <v>54</v>
      </c>
      <c r="U25" s="10" t="s">
        <v>106</v>
      </c>
      <c r="V25" s="10" t="s">
        <v>24</v>
      </c>
      <c r="W25" s="10"/>
    </row>
    <row r="26" spans="1:23">
      <c r="A26" t="s">
        <v>62</v>
      </c>
      <c r="B26" t="s">
        <v>63</v>
      </c>
      <c r="C26" s="26">
        <v>45806</v>
      </c>
      <c r="D26" s="29">
        <v>0.41666666666666669</v>
      </c>
      <c r="E26" s="34" t="s">
        <v>18</v>
      </c>
      <c r="F26" t="s">
        <v>19</v>
      </c>
      <c r="G26">
        <v>3</v>
      </c>
      <c r="I26" s="35">
        <v>1000</v>
      </c>
      <c r="J26" t="s">
        <v>12</v>
      </c>
      <c r="K26" t="s">
        <v>2</v>
      </c>
      <c r="L26" t="s">
        <v>10</v>
      </c>
      <c r="M26" s="16" t="s">
        <v>22</v>
      </c>
      <c r="N26" s="18" t="s">
        <v>48</v>
      </c>
      <c r="O26" t="s">
        <v>49</v>
      </c>
      <c r="Q26">
        <f>R26*I26</f>
        <v>120</v>
      </c>
      <c r="R26" s="23">
        <v>0.12</v>
      </c>
      <c r="S26">
        <v>77</v>
      </c>
      <c r="T26" t="s">
        <v>55</v>
      </c>
      <c r="U26" s="21" t="s">
        <v>91</v>
      </c>
      <c r="V26" t="s">
        <v>77</v>
      </c>
      <c r="W26" s="10"/>
    </row>
    <row r="27" spans="1:23">
      <c r="A27" t="s">
        <v>62</v>
      </c>
      <c r="B27" t="s">
        <v>63</v>
      </c>
      <c r="C27" s="26">
        <v>45806</v>
      </c>
      <c r="D27" s="29">
        <v>0.5</v>
      </c>
      <c r="E27" s="34" t="s">
        <v>16</v>
      </c>
      <c r="F27" t="s">
        <v>104</v>
      </c>
      <c r="G27">
        <v>4</v>
      </c>
      <c r="H27">
        <v>8</v>
      </c>
      <c r="I27" s="14">
        <v>5000</v>
      </c>
      <c r="J27" t="s">
        <v>3</v>
      </c>
      <c r="K27" t="s">
        <v>11</v>
      </c>
      <c r="L27" t="s">
        <v>6</v>
      </c>
      <c r="M27" t="s">
        <v>9</v>
      </c>
      <c r="N27" s="18" t="s">
        <v>48</v>
      </c>
      <c r="O27" t="s">
        <v>49</v>
      </c>
      <c r="Q27">
        <f>R27*I27</f>
        <v>400</v>
      </c>
      <c r="R27" s="23">
        <v>0.08</v>
      </c>
      <c r="S27">
        <v>162</v>
      </c>
      <c r="U27" s="21" t="s">
        <v>93</v>
      </c>
      <c r="W27" s="10"/>
    </row>
    <row r="28" spans="1:23">
      <c r="A28" t="s">
        <v>62</v>
      </c>
      <c r="B28" t="s">
        <v>63</v>
      </c>
      <c r="C28" s="26">
        <v>45806</v>
      </c>
      <c r="D28" s="29">
        <v>0.5</v>
      </c>
      <c r="E28" s="34" t="s">
        <v>20</v>
      </c>
      <c r="F28" t="s">
        <v>29</v>
      </c>
      <c r="G28">
        <v>3</v>
      </c>
      <c r="H28">
        <v>8</v>
      </c>
      <c r="I28" s="27">
        <v>5000</v>
      </c>
      <c r="J28" t="s">
        <v>1</v>
      </c>
      <c r="K28" t="s">
        <v>2</v>
      </c>
      <c r="L28" t="s">
        <v>6</v>
      </c>
      <c r="M28" s="16" t="s">
        <v>97</v>
      </c>
      <c r="N28" s="18" t="s">
        <v>48</v>
      </c>
      <c r="O28" t="s">
        <v>57</v>
      </c>
      <c r="Q28">
        <f>R28*I28</f>
        <v>400</v>
      </c>
      <c r="R28" s="23">
        <v>0.08</v>
      </c>
      <c r="U28" s="21" t="s">
        <v>95</v>
      </c>
      <c r="W28" s="10"/>
    </row>
    <row r="29" spans="1:23">
      <c r="A29" t="s">
        <v>62</v>
      </c>
      <c r="B29" t="s">
        <v>63</v>
      </c>
      <c r="C29" s="7">
        <v>45806</v>
      </c>
      <c r="D29" s="9">
        <v>0.5</v>
      </c>
      <c r="E29" s="12"/>
      <c r="F29" s="10" t="s">
        <v>80</v>
      </c>
      <c r="G29" s="10">
        <v>1</v>
      </c>
      <c r="H29" s="10"/>
      <c r="I29" s="12">
        <v>135</v>
      </c>
      <c r="J29" s="18" t="s">
        <v>98</v>
      </c>
      <c r="K29" s="18" t="s">
        <v>98</v>
      </c>
      <c r="L29" s="10">
        <v>10000</v>
      </c>
      <c r="M29" s="10">
        <v>15</v>
      </c>
      <c r="N29" s="10" t="s">
        <v>61</v>
      </c>
      <c r="O29" s="10" t="s">
        <v>49</v>
      </c>
      <c r="P29" s="13"/>
      <c r="Q29" s="13">
        <v>25</v>
      </c>
      <c r="R29" s="23">
        <f>IF(Q29&gt;0,Q29/I29,"")</f>
        <v>0.18518518518518517</v>
      </c>
      <c r="S29" s="30">
        <v>14.9</v>
      </c>
      <c r="T29" s="10"/>
      <c r="U29" s="10" t="s">
        <v>108</v>
      </c>
      <c r="V29" s="25" t="s">
        <v>102</v>
      </c>
      <c r="W29" s="10"/>
    </row>
    <row r="30" spans="1:23">
      <c r="A30" t="s">
        <v>62</v>
      </c>
      <c r="B30" t="s">
        <v>63</v>
      </c>
      <c r="C30" s="26">
        <v>45806</v>
      </c>
      <c r="D30" s="29">
        <v>0.54166666666666663</v>
      </c>
      <c r="E30" s="34" t="s">
        <v>17</v>
      </c>
      <c r="F30" t="s">
        <v>105</v>
      </c>
      <c r="G30">
        <v>3</v>
      </c>
      <c r="H30">
        <v>8</v>
      </c>
      <c r="I30" s="11">
        <v>1500</v>
      </c>
      <c r="J30" t="s">
        <v>5</v>
      </c>
      <c r="K30" t="s">
        <v>4</v>
      </c>
      <c r="L30" t="s">
        <v>8</v>
      </c>
      <c r="M30" s="16" t="s">
        <v>97</v>
      </c>
      <c r="N30" s="18" t="s">
        <v>48</v>
      </c>
      <c r="O30" s="22" t="s">
        <v>101</v>
      </c>
      <c r="Q30">
        <f>R30*I30</f>
        <v>172.5</v>
      </c>
      <c r="R30" s="24">
        <v>0.115</v>
      </c>
      <c r="U30" s="21" t="s">
        <v>94</v>
      </c>
      <c r="W30" s="10"/>
    </row>
    <row r="31" spans="1:23">
      <c r="A31" t="s">
        <v>62</v>
      </c>
      <c r="B31" t="s">
        <v>63</v>
      </c>
      <c r="C31" s="7">
        <v>45806</v>
      </c>
      <c r="D31" s="9">
        <v>0.54166666666666663</v>
      </c>
      <c r="E31" s="12"/>
      <c r="F31" s="32" t="s">
        <v>107</v>
      </c>
      <c r="G31" s="10">
        <v>1</v>
      </c>
      <c r="H31" s="10"/>
      <c r="I31" s="12">
        <v>250</v>
      </c>
      <c r="J31" s="18" t="s">
        <v>98</v>
      </c>
      <c r="K31" s="18" t="s">
        <v>98</v>
      </c>
      <c r="L31" s="10">
        <v>25000</v>
      </c>
      <c r="M31" s="10">
        <v>30</v>
      </c>
      <c r="N31" s="10" t="s">
        <v>51</v>
      </c>
      <c r="O31" s="10" t="s">
        <v>49</v>
      </c>
      <c r="P31" s="10"/>
      <c r="Q31" s="13">
        <v>50</v>
      </c>
      <c r="R31" s="23">
        <f>IF(Q31&gt;0,Q31/I31,"")</f>
        <v>0.2</v>
      </c>
      <c r="S31" s="10">
        <v>44</v>
      </c>
      <c r="T31" s="10"/>
      <c r="U31" s="10" t="s">
        <v>106</v>
      </c>
      <c r="V31" s="10" t="s">
        <v>78</v>
      </c>
      <c r="W31" s="10"/>
    </row>
    <row r="32" spans="1:23">
      <c r="A32" t="s">
        <v>62</v>
      </c>
      <c r="B32" t="s">
        <v>63</v>
      </c>
      <c r="C32" s="26">
        <v>45806</v>
      </c>
      <c r="D32" s="29">
        <v>0.58333333333333337</v>
      </c>
      <c r="E32" s="34" t="s">
        <v>21</v>
      </c>
      <c r="F32" t="s">
        <v>26</v>
      </c>
      <c r="G32">
        <v>3</v>
      </c>
      <c r="I32" s="27">
        <v>1500</v>
      </c>
      <c r="J32" t="s">
        <v>5</v>
      </c>
      <c r="K32" t="s">
        <v>4</v>
      </c>
      <c r="L32" t="s">
        <v>8</v>
      </c>
      <c r="M32" s="16" t="s">
        <v>97</v>
      </c>
      <c r="N32" s="18" t="s">
        <v>48</v>
      </c>
      <c r="O32" t="s">
        <v>75</v>
      </c>
      <c r="Q32">
        <f>R32*I32</f>
        <v>172.5</v>
      </c>
      <c r="R32" s="24">
        <v>0.115</v>
      </c>
      <c r="S32" s="8"/>
      <c r="U32" s="21" t="s">
        <v>96</v>
      </c>
      <c r="W32" s="10"/>
    </row>
    <row r="33" spans="1:23" s="1" customFormat="1">
      <c r="A33" t="s">
        <v>62</v>
      </c>
      <c r="B33" t="s">
        <v>63</v>
      </c>
      <c r="C33" s="7">
        <v>45806</v>
      </c>
      <c r="D33" s="9">
        <v>0.625</v>
      </c>
      <c r="E33" s="12"/>
      <c r="F33" s="10" t="s">
        <v>81</v>
      </c>
      <c r="G33" s="10">
        <v>1</v>
      </c>
      <c r="H33" s="10"/>
      <c r="I33" s="12">
        <v>240</v>
      </c>
      <c r="J33" s="18" t="s">
        <v>98</v>
      </c>
      <c r="K33" s="18" t="s">
        <v>98</v>
      </c>
      <c r="L33" s="10">
        <v>10000</v>
      </c>
      <c r="M33" s="10">
        <v>20</v>
      </c>
      <c r="N33" s="10" t="s">
        <v>61</v>
      </c>
      <c r="O33" s="10" t="s">
        <v>49</v>
      </c>
      <c r="P33" s="10"/>
      <c r="Q33" s="13">
        <v>31</v>
      </c>
      <c r="R33" s="23">
        <f t="shared" ref="R33:R36" si="3">IF(Q33&gt;0,Q33/I33,"")</f>
        <v>0.12916666666666668</v>
      </c>
      <c r="S33" s="10">
        <v>19.8</v>
      </c>
      <c r="T33" s="10"/>
      <c r="U33" s="10" t="s">
        <v>108</v>
      </c>
      <c r="V33" s="10" t="s">
        <v>82</v>
      </c>
      <c r="W33" s="10"/>
    </row>
    <row r="34" spans="1:23" s="1" customFormat="1">
      <c r="A34" t="s">
        <v>62</v>
      </c>
      <c r="B34" t="s">
        <v>63</v>
      </c>
      <c r="C34" s="7">
        <v>45806</v>
      </c>
      <c r="D34" s="9">
        <v>0.66666666666666663</v>
      </c>
      <c r="E34" s="12"/>
      <c r="F34" s="10" t="s">
        <v>80</v>
      </c>
      <c r="G34" s="10">
        <v>1</v>
      </c>
      <c r="H34" s="10"/>
      <c r="I34" s="12">
        <v>240</v>
      </c>
      <c r="J34" s="18" t="s">
        <v>98</v>
      </c>
      <c r="K34" s="18" t="s">
        <v>98</v>
      </c>
      <c r="L34" s="10">
        <v>10000</v>
      </c>
      <c r="M34" s="10">
        <v>15</v>
      </c>
      <c r="N34" s="10" t="s">
        <v>61</v>
      </c>
      <c r="O34" s="10" t="s">
        <v>49</v>
      </c>
      <c r="P34" s="13"/>
      <c r="Q34" s="13">
        <v>25</v>
      </c>
      <c r="R34" s="23">
        <f t="shared" si="3"/>
        <v>0.10416666666666667</v>
      </c>
      <c r="S34" s="10">
        <v>19.8</v>
      </c>
      <c r="T34" s="10"/>
      <c r="U34" s="10" t="s">
        <v>108</v>
      </c>
      <c r="V34" s="25" t="s">
        <v>102</v>
      </c>
      <c r="W34" s="10"/>
    </row>
    <row r="35" spans="1:23" s="1" customFormat="1">
      <c r="A35" t="s">
        <v>62</v>
      </c>
      <c r="B35" t="s">
        <v>63</v>
      </c>
      <c r="C35" s="7">
        <v>45806</v>
      </c>
      <c r="D35" s="9">
        <v>0.66666666666666663</v>
      </c>
      <c r="E35" s="12"/>
      <c r="F35" s="32" t="s">
        <v>107</v>
      </c>
      <c r="G35" s="10">
        <v>1</v>
      </c>
      <c r="H35" s="10"/>
      <c r="I35" s="12">
        <v>400</v>
      </c>
      <c r="J35" s="18" t="s">
        <v>98</v>
      </c>
      <c r="K35" s="18" t="s">
        <v>98</v>
      </c>
      <c r="L35" s="10">
        <v>30000</v>
      </c>
      <c r="M35" s="10">
        <v>20</v>
      </c>
      <c r="N35" s="10" t="s">
        <v>51</v>
      </c>
      <c r="O35" s="10" t="s">
        <v>49</v>
      </c>
      <c r="P35" s="10"/>
      <c r="Q35" s="13">
        <v>70</v>
      </c>
      <c r="R35" s="23">
        <f t="shared" si="3"/>
        <v>0.17499999999999999</v>
      </c>
      <c r="S35" s="10">
        <v>26</v>
      </c>
      <c r="T35" s="10"/>
      <c r="U35" s="10" t="s">
        <v>106</v>
      </c>
      <c r="V35" s="10" t="s">
        <v>78</v>
      </c>
      <c r="W35" s="10"/>
    </row>
    <row r="36" spans="1:23">
      <c r="A36" t="s">
        <v>62</v>
      </c>
      <c r="B36" t="s">
        <v>63</v>
      </c>
      <c r="C36" s="7">
        <v>45806</v>
      </c>
      <c r="D36" s="9">
        <v>0.75</v>
      </c>
      <c r="E36" s="12"/>
      <c r="F36" s="10" t="s">
        <v>89</v>
      </c>
      <c r="G36" s="10">
        <v>1</v>
      </c>
      <c r="H36" s="10"/>
      <c r="I36" s="12">
        <v>2700</v>
      </c>
      <c r="J36" s="18" t="s">
        <v>98</v>
      </c>
      <c r="K36" s="18" t="s">
        <v>98</v>
      </c>
      <c r="L36" s="10">
        <v>20000</v>
      </c>
      <c r="M36" s="10">
        <v>15</v>
      </c>
      <c r="N36" s="10" t="s">
        <v>61</v>
      </c>
      <c r="O36" s="10" t="s">
        <v>49</v>
      </c>
      <c r="P36" s="13"/>
      <c r="Q36" s="13">
        <v>200</v>
      </c>
      <c r="R36" s="23">
        <f t="shared" si="3"/>
        <v>7.407407407407407E-2</v>
      </c>
      <c r="S36" s="10"/>
      <c r="T36" s="20" t="s">
        <v>100</v>
      </c>
      <c r="U36" s="10" t="s">
        <v>108</v>
      </c>
      <c r="V36" t="s">
        <v>90</v>
      </c>
      <c r="W36" s="10"/>
    </row>
  </sheetData>
  <hyperlinks>
    <hyperlink ref="U1" r:id="rId1" xr:uid="{87C9A2D4-3305-412D-B703-66B99CC0A733}"/>
    <hyperlink ref="U12" r:id="rId2" xr:uid="{0D770F75-F6A8-4754-A0A4-F10D9C48DF8A}"/>
    <hyperlink ref="U26" r:id="rId3" xr:uid="{0B618ECB-EF34-4F6D-9948-72E7B07F4D95}"/>
    <hyperlink ref="U32" r:id="rId4" xr:uid="{805039AB-8D15-4C3A-8BF3-0D4326B2C1A2}"/>
    <hyperlink ref="U4" r:id="rId5" xr:uid="{5723F119-A3F5-4943-81FC-67679C3AE4E2}"/>
    <hyperlink ref="U13" r:id="rId6" xr:uid="{E4467D9D-3878-48F0-8155-DACC572F722D}"/>
    <hyperlink ref="U17" r:id="rId7" xr:uid="{A9C74C73-9041-49F8-8E03-87B460A290BF}"/>
    <hyperlink ref="U28" r:id="rId8" xr:uid="{8D48F4EF-A3D8-4957-A8EB-17A48CBFD68F}"/>
    <hyperlink ref="U15" r:id="rId9" xr:uid="{1A386D1D-802F-4F92-B780-8B359DE1A836}"/>
    <hyperlink ref="U27" r:id="rId10" xr:uid="{21C51FE8-FD7F-4CE0-B229-BED16085A35D}"/>
    <hyperlink ref="U30" r:id="rId11" xr:uid="{25EE9B33-6557-4182-8724-66258799DEE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753151-cad2-406f-bf4a-123fcb45e0f6}" enabled="1" method="Standard" siteId="{00ba9218-5be4-4186-9d71-2a543b44bf6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2026_Dates</vt:lpstr>
      <vt:lpstr>2026 Summer Poker</vt:lpstr>
      <vt:lpstr>2025 WSOP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Unger</dc:creator>
  <cp:lastModifiedBy>Kim Unger</cp:lastModifiedBy>
  <dcterms:created xsi:type="dcterms:W3CDTF">2025-02-18T15:18:16Z</dcterms:created>
  <dcterms:modified xsi:type="dcterms:W3CDTF">2026-06-08T14:44:31Z</dcterms:modified>
</cp:coreProperties>
</file>